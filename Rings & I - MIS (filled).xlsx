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vallp-my.sharepoint.com/personal/darshan_mehta_avallp_in/Documents/.FRS/DHPL_Pareto/Req/"/>
    </mc:Choice>
  </mc:AlternateContent>
  <xr:revisionPtr revIDLastSave="7" documentId="8_{17CF7634-55E8-4F92-A25F-CE46B7FD74EB}" xr6:coauthVersionLast="47" xr6:coauthVersionMax="47" xr10:uidLastSave="{F11FC172-B1FC-4682-B81C-AAEB416115EA}"/>
  <bookViews>
    <workbookView xWindow="-110" yWindow="-110" windowWidth="19420" windowHeight="11500" firstSheet="8" activeTab="11" xr2:uid="{12523BC3-D76C-41CB-95C4-61FFC12F15DB}"/>
  </bookViews>
  <sheets>
    <sheet name="Cover" sheetId="31" r:id="rId1"/>
    <sheet name="Index" sheetId="22" r:id="rId2"/>
    <sheet name="Financial KPIs&gt;&gt;&gt;" sheetId="23" r:id="rId3"/>
    <sheet name="P&amp;L" sheetId="8" r:id="rId4"/>
    <sheet name="Store P&amp;L" sheetId="27" r:id="rId5"/>
    <sheet name="Online P&amp;L" sheetId="19" r:id="rId6"/>
    <sheet name="CFS" sheetId="36" state="hidden" r:id="rId7"/>
    <sheet name="Additional KPIs" sheetId="9" r:id="rId8"/>
    <sheet name="Operational KPIs&gt;&gt;&gt; " sheetId="25" r:id="rId9"/>
    <sheet name="Repeat Rate" sheetId="30" r:id="rId10"/>
    <sheet name="CAC &amp; ROAS" sheetId="24" r:id="rId11"/>
    <sheet name="SKU Spread" sheetId="28" r:id="rId12"/>
  </sheets>
  <externalReferences>
    <externalReference r:id="rId13"/>
    <externalReference r:id="rId14"/>
  </externalReferences>
  <definedNames>
    <definedName name="\0">#REF!</definedName>
    <definedName name="\a">#REF!</definedName>
    <definedName name="\A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INC">#REF!</definedName>
    <definedName name="\J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PRINT_ALL">#REF!</definedName>
    <definedName name="\PRINT_YEAR">#REF!</definedName>
    <definedName name="\Q">#REF!</definedName>
    <definedName name="\R">#REF!</definedName>
    <definedName name="\s">#REF!</definedName>
    <definedName name="\T">#REF!</definedName>
    <definedName name="\TSL">#REF!</definedName>
    <definedName name="\U">#REF!</definedName>
    <definedName name="\V">#REF!</definedName>
    <definedName name="\VIEW_ALL">#REF!</definedName>
    <definedName name="\w">#REF!</definedName>
    <definedName name="\x">#REF!</definedName>
    <definedName name="\Z">#REF!</definedName>
    <definedName name="_">#REF!</definedName>
    <definedName name="____________________________________________kim1" localSheetId="7">{#N/A,#N/A,TRUE,"ADVANCE SUMM.";#N/A,#N/A,TRUE,"KEITH";#N/A,#N/A,TRUE,"WES"}</definedName>
    <definedName name="____________________________________________kim1" localSheetId="10" hidden="1">{#N/A,#N/A,TRUE,"ADVANCE SUMM.";#N/A,#N/A,TRUE,"KEITH";#N/A,#N/A,TRUE,"WES"}</definedName>
    <definedName name="____________________________________________kim1" localSheetId="0" hidden="1">{#N/A,#N/A,TRUE,"ADVANCE SUMM.";#N/A,#N/A,TRUE,"KEITH";#N/A,#N/A,TRUE,"WES"}</definedName>
    <definedName name="____________________________________________kim1" localSheetId="9" hidden="1">{#N/A,#N/A,TRUE,"ADVANCE SUMM.";#N/A,#N/A,TRUE,"KEITH";#N/A,#N/A,TRUE,"WES"}</definedName>
    <definedName name="____________________________________________kim1" localSheetId="11" hidden="1">{#N/A,#N/A,TRUE,"ADVANCE SUMM.";#N/A,#N/A,TRUE,"KEITH";#N/A,#N/A,TRUE,"WES"}</definedName>
    <definedName name="____________________________________________kim1" hidden="1">{#N/A,#N/A,TRUE,"ADVANCE SUMM.";#N/A,#N/A,TRUE,"KEITH";#N/A,#N/A,TRUE,"WES"}</definedName>
    <definedName name="____________________________________________kim2" localSheetId="7">{#N/A,#N/A,TRUE,"ADVANCE SUMM.";#N/A,#N/A,TRUE,"KEITH";#N/A,#N/A,TRUE,"WES"}</definedName>
    <definedName name="____________________________________________kim2" localSheetId="10" hidden="1">{#N/A,#N/A,TRUE,"ADVANCE SUMM.";#N/A,#N/A,TRUE,"KEITH";#N/A,#N/A,TRUE,"WES"}</definedName>
    <definedName name="____________________________________________kim2" localSheetId="0" hidden="1">{#N/A,#N/A,TRUE,"ADVANCE SUMM.";#N/A,#N/A,TRUE,"KEITH";#N/A,#N/A,TRUE,"WES"}</definedName>
    <definedName name="____________________________________________kim2" localSheetId="9" hidden="1">{#N/A,#N/A,TRUE,"ADVANCE SUMM.";#N/A,#N/A,TRUE,"KEITH";#N/A,#N/A,TRUE,"WES"}</definedName>
    <definedName name="____________________________________________kim2" localSheetId="11" hidden="1">{#N/A,#N/A,TRUE,"ADVANCE SUMM.";#N/A,#N/A,TRUE,"KEITH";#N/A,#N/A,TRUE,"WES"}</definedName>
    <definedName name="____________________________________________kim2" hidden="1">{#N/A,#N/A,TRUE,"ADVANCE SUMM.";#N/A,#N/A,TRUE,"KEITH";#N/A,#N/A,TRUE,"WES"}</definedName>
    <definedName name="__________________________________________kim1" localSheetId="7">{#N/A,#N/A,TRUE,"ADVANCE SUMM.";#N/A,#N/A,TRUE,"KEITH";#N/A,#N/A,TRUE,"WES"}</definedName>
    <definedName name="__________________________________________kim1" localSheetId="10" hidden="1">{#N/A,#N/A,TRUE,"ADVANCE SUMM.";#N/A,#N/A,TRUE,"KEITH";#N/A,#N/A,TRUE,"WES"}</definedName>
    <definedName name="__________________________________________kim1" localSheetId="0" hidden="1">{#N/A,#N/A,TRUE,"ADVANCE SUMM.";#N/A,#N/A,TRUE,"KEITH";#N/A,#N/A,TRUE,"WES"}</definedName>
    <definedName name="__________________________________________kim1" localSheetId="9" hidden="1">{#N/A,#N/A,TRUE,"ADVANCE SUMM.";#N/A,#N/A,TRUE,"KEITH";#N/A,#N/A,TRUE,"WES"}</definedName>
    <definedName name="__________________________________________kim1" localSheetId="11" hidden="1">{#N/A,#N/A,TRUE,"ADVANCE SUMM.";#N/A,#N/A,TRUE,"KEITH";#N/A,#N/A,TRUE,"WES"}</definedName>
    <definedName name="__________________________________________kim1" hidden="1">{#N/A,#N/A,TRUE,"ADVANCE SUMM.";#N/A,#N/A,TRUE,"KEITH";#N/A,#N/A,TRUE,"WES"}</definedName>
    <definedName name="__________________________________________kim2" localSheetId="7">{#N/A,#N/A,TRUE,"ADVANCE SUMM.";#N/A,#N/A,TRUE,"KEITH";#N/A,#N/A,TRUE,"WES"}</definedName>
    <definedName name="__________________________________________kim2" localSheetId="10" hidden="1">{#N/A,#N/A,TRUE,"ADVANCE SUMM.";#N/A,#N/A,TRUE,"KEITH";#N/A,#N/A,TRUE,"WES"}</definedName>
    <definedName name="__________________________________________kim2" localSheetId="0" hidden="1">{#N/A,#N/A,TRUE,"ADVANCE SUMM.";#N/A,#N/A,TRUE,"KEITH";#N/A,#N/A,TRUE,"WES"}</definedName>
    <definedName name="__________________________________________kim2" localSheetId="9" hidden="1">{#N/A,#N/A,TRUE,"ADVANCE SUMM.";#N/A,#N/A,TRUE,"KEITH";#N/A,#N/A,TRUE,"WES"}</definedName>
    <definedName name="__________________________________________kim2" localSheetId="11" hidden="1">{#N/A,#N/A,TRUE,"ADVANCE SUMM.";#N/A,#N/A,TRUE,"KEITH";#N/A,#N/A,TRUE,"WES"}</definedName>
    <definedName name="__________________________________________kim2" hidden="1">{#N/A,#N/A,TRUE,"ADVANCE SUMM.";#N/A,#N/A,TRUE,"KEITH";#N/A,#N/A,TRUE,"WES"}</definedName>
    <definedName name="_________________________________________kim1" localSheetId="7">{#N/A,#N/A,TRUE,"ADVANCE SUMM.";#N/A,#N/A,TRUE,"KEITH";#N/A,#N/A,TRUE,"WES"}</definedName>
    <definedName name="_________________________________________kim1" localSheetId="10" hidden="1">{#N/A,#N/A,TRUE,"ADVANCE SUMM.";#N/A,#N/A,TRUE,"KEITH";#N/A,#N/A,TRUE,"WES"}</definedName>
    <definedName name="_________________________________________kim1" localSheetId="0" hidden="1">{#N/A,#N/A,TRUE,"ADVANCE SUMM.";#N/A,#N/A,TRUE,"KEITH";#N/A,#N/A,TRUE,"WES"}</definedName>
    <definedName name="_________________________________________kim1" localSheetId="9" hidden="1">{#N/A,#N/A,TRUE,"ADVANCE SUMM.";#N/A,#N/A,TRUE,"KEITH";#N/A,#N/A,TRUE,"WES"}</definedName>
    <definedName name="_________________________________________kim1" localSheetId="11" hidden="1">{#N/A,#N/A,TRUE,"ADVANCE SUMM.";#N/A,#N/A,TRUE,"KEITH";#N/A,#N/A,TRUE,"WES"}</definedName>
    <definedName name="_________________________________________kim1" hidden="1">{#N/A,#N/A,TRUE,"ADVANCE SUMM.";#N/A,#N/A,TRUE,"KEITH";#N/A,#N/A,TRUE,"WES"}</definedName>
    <definedName name="_________________________________________kim2" localSheetId="7">{#N/A,#N/A,TRUE,"ADVANCE SUMM.";#N/A,#N/A,TRUE,"KEITH";#N/A,#N/A,TRUE,"WES"}</definedName>
    <definedName name="_________________________________________kim2" localSheetId="10" hidden="1">{#N/A,#N/A,TRUE,"ADVANCE SUMM.";#N/A,#N/A,TRUE,"KEITH";#N/A,#N/A,TRUE,"WES"}</definedName>
    <definedName name="_________________________________________kim2" localSheetId="0" hidden="1">{#N/A,#N/A,TRUE,"ADVANCE SUMM.";#N/A,#N/A,TRUE,"KEITH";#N/A,#N/A,TRUE,"WES"}</definedName>
    <definedName name="_________________________________________kim2" localSheetId="9" hidden="1">{#N/A,#N/A,TRUE,"ADVANCE SUMM.";#N/A,#N/A,TRUE,"KEITH";#N/A,#N/A,TRUE,"WES"}</definedName>
    <definedName name="_________________________________________kim2" localSheetId="11" hidden="1">{#N/A,#N/A,TRUE,"ADVANCE SUMM.";#N/A,#N/A,TRUE,"KEITH";#N/A,#N/A,TRUE,"WES"}</definedName>
    <definedName name="_________________________________________kim2" hidden="1">{#N/A,#N/A,TRUE,"ADVANCE SUMM.";#N/A,#N/A,TRUE,"KEITH";#N/A,#N/A,TRUE,"WES"}</definedName>
    <definedName name="_______________________________________kim1" localSheetId="7">{#N/A,#N/A,TRUE,"ADVANCE SUMM.";#N/A,#N/A,TRUE,"KEITH";#N/A,#N/A,TRUE,"WES"}</definedName>
    <definedName name="_______________________________________kim1" localSheetId="10" hidden="1">{#N/A,#N/A,TRUE,"ADVANCE SUMM.";#N/A,#N/A,TRUE,"KEITH";#N/A,#N/A,TRUE,"WES"}</definedName>
    <definedName name="_______________________________________kim1" localSheetId="0" hidden="1">{#N/A,#N/A,TRUE,"ADVANCE SUMM.";#N/A,#N/A,TRUE,"KEITH";#N/A,#N/A,TRUE,"WES"}</definedName>
    <definedName name="_______________________________________kim1" localSheetId="9" hidden="1">{#N/A,#N/A,TRUE,"ADVANCE SUMM.";#N/A,#N/A,TRUE,"KEITH";#N/A,#N/A,TRUE,"WES"}</definedName>
    <definedName name="_______________________________________kim1" localSheetId="11" hidden="1">{#N/A,#N/A,TRUE,"ADVANCE SUMM.";#N/A,#N/A,TRUE,"KEITH";#N/A,#N/A,TRUE,"WES"}</definedName>
    <definedName name="_______________________________________kim1" hidden="1">{#N/A,#N/A,TRUE,"ADVANCE SUMM.";#N/A,#N/A,TRUE,"KEITH";#N/A,#N/A,TRUE,"WES"}</definedName>
    <definedName name="_______________________________________kim2" localSheetId="7">{#N/A,#N/A,TRUE,"ADVANCE SUMM.";#N/A,#N/A,TRUE,"KEITH";#N/A,#N/A,TRUE,"WES"}</definedName>
    <definedName name="_______________________________________kim2" localSheetId="10" hidden="1">{#N/A,#N/A,TRUE,"ADVANCE SUMM.";#N/A,#N/A,TRUE,"KEITH";#N/A,#N/A,TRUE,"WES"}</definedName>
    <definedName name="_______________________________________kim2" localSheetId="0" hidden="1">{#N/A,#N/A,TRUE,"ADVANCE SUMM.";#N/A,#N/A,TRUE,"KEITH";#N/A,#N/A,TRUE,"WES"}</definedName>
    <definedName name="_______________________________________kim2" localSheetId="9" hidden="1">{#N/A,#N/A,TRUE,"ADVANCE SUMM.";#N/A,#N/A,TRUE,"KEITH";#N/A,#N/A,TRUE,"WES"}</definedName>
    <definedName name="_______________________________________kim2" localSheetId="11" hidden="1">{#N/A,#N/A,TRUE,"ADVANCE SUMM.";#N/A,#N/A,TRUE,"KEITH";#N/A,#N/A,TRUE,"WES"}</definedName>
    <definedName name="_______________________________________kim2" hidden="1">{#N/A,#N/A,TRUE,"ADVANCE SUMM.";#N/A,#N/A,TRUE,"KEITH";#N/A,#N/A,TRUE,"WES"}</definedName>
    <definedName name="______________________________________kim1" localSheetId="7">{#N/A,#N/A,TRUE,"ADVANCE SUMM.";#N/A,#N/A,TRUE,"KEITH";#N/A,#N/A,TRUE,"WES"}</definedName>
    <definedName name="______________________________________kim1" localSheetId="10" hidden="1">{#N/A,#N/A,TRUE,"ADVANCE SUMM.";#N/A,#N/A,TRUE,"KEITH";#N/A,#N/A,TRUE,"WES"}</definedName>
    <definedName name="______________________________________kim1" localSheetId="0" hidden="1">{#N/A,#N/A,TRUE,"ADVANCE SUMM.";#N/A,#N/A,TRUE,"KEITH";#N/A,#N/A,TRUE,"WES"}</definedName>
    <definedName name="______________________________________kim1" localSheetId="9" hidden="1">{#N/A,#N/A,TRUE,"ADVANCE SUMM.";#N/A,#N/A,TRUE,"KEITH";#N/A,#N/A,TRUE,"WES"}</definedName>
    <definedName name="______________________________________kim1" localSheetId="11" hidden="1">{#N/A,#N/A,TRUE,"ADVANCE SUMM.";#N/A,#N/A,TRUE,"KEITH";#N/A,#N/A,TRUE,"WES"}</definedName>
    <definedName name="______________________________________kim1" hidden="1">{#N/A,#N/A,TRUE,"ADVANCE SUMM.";#N/A,#N/A,TRUE,"KEITH";#N/A,#N/A,TRUE,"WES"}</definedName>
    <definedName name="______________________________________kim2" localSheetId="7">{#N/A,#N/A,TRUE,"ADVANCE SUMM.";#N/A,#N/A,TRUE,"KEITH";#N/A,#N/A,TRUE,"WES"}</definedName>
    <definedName name="______________________________________kim2" localSheetId="10" hidden="1">{#N/A,#N/A,TRUE,"ADVANCE SUMM.";#N/A,#N/A,TRUE,"KEITH";#N/A,#N/A,TRUE,"WES"}</definedName>
    <definedName name="______________________________________kim2" localSheetId="0" hidden="1">{#N/A,#N/A,TRUE,"ADVANCE SUMM.";#N/A,#N/A,TRUE,"KEITH";#N/A,#N/A,TRUE,"WES"}</definedName>
    <definedName name="______________________________________kim2" localSheetId="9" hidden="1">{#N/A,#N/A,TRUE,"ADVANCE SUMM.";#N/A,#N/A,TRUE,"KEITH";#N/A,#N/A,TRUE,"WES"}</definedName>
    <definedName name="______________________________________kim2" localSheetId="11" hidden="1">{#N/A,#N/A,TRUE,"ADVANCE SUMM.";#N/A,#N/A,TRUE,"KEITH";#N/A,#N/A,TRUE,"WES"}</definedName>
    <definedName name="______________________________________kim2" hidden="1">{#N/A,#N/A,TRUE,"ADVANCE SUMM.";#N/A,#N/A,TRUE,"KEITH";#N/A,#N/A,TRUE,"WES"}</definedName>
    <definedName name="_____________________________________kim1" localSheetId="7">{#N/A,#N/A,TRUE,"ADVANCE SUMM.";#N/A,#N/A,TRUE,"KEITH";#N/A,#N/A,TRUE,"WES"}</definedName>
    <definedName name="_____________________________________kim1" localSheetId="10" hidden="1">{#N/A,#N/A,TRUE,"ADVANCE SUMM.";#N/A,#N/A,TRUE,"KEITH";#N/A,#N/A,TRUE,"WES"}</definedName>
    <definedName name="_____________________________________kim1" localSheetId="0" hidden="1">{#N/A,#N/A,TRUE,"ADVANCE SUMM.";#N/A,#N/A,TRUE,"KEITH";#N/A,#N/A,TRUE,"WES"}</definedName>
    <definedName name="_____________________________________kim1" localSheetId="9" hidden="1">{#N/A,#N/A,TRUE,"ADVANCE SUMM.";#N/A,#N/A,TRUE,"KEITH";#N/A,#N/A,TRUE,"WES"}</definedName>
    <definedName name="_____________________________________kim1" localSheetId="11" hidden="1">{#N/A,#N/A,TRUE,"ADVANCE SUMM.";#N/A,#N/A,TRUE,"KEITH";#N/A,#N/A,TRUE,"WES"}</definedName>
    <definedName name="_____________________________________kim1" hidden="1">{#N/A,#N/A,TRUE,"ADVANCE SUMM.";#N/A,#N/A,TRUE,"KEITH";#N/A,#N/A,TRUE,"WES"}</definedName>
    <definedName name="_____________________________________kim2" localSheetId="7">{#N/A,#N/A,TRUE,"ADVANCE SUMM.";#N/A,#N/A,TRUE,"KEITH";#N/A,#N/A,TRUE,"WES"}</definedName>
    <definedName name="_____________________________________kim2" localSheetId="10" hidden="1">{#N/A,#N/A,TRUE,"ADVANCE SUMM.";#N/A,#N/A,TRUE,"KEITH";#N/A,#N/A,TRUE,"WES"}</definedName>
    <definedName name="_____________________________________kim2" localSheetId="0" hidden="1">{#N/A,#N/A,TRUE,"ADVANCE SUMM.";#N/A,#N/A,TRUE,"KEITH";#N/A,#N/A,TRUE,"WES"}</definedName>
    <definedName name="_____________________________________kim2" localSheetId="9" hidden="1">{#N/A,#N/A,TRUE,"ADVANCE SUMM.";#N/A,#N/A,TRUE,"KEITH";#N/A,#N/A,TRUE,"WES"}</definedName>
    <definedName name="_____________________________________kim2" localSheetId="11" hidden="1">{#N/A,#N/A,TRUE,"ADVANCE SUMM.";#N/A,#N/A,TRUE,"KEITH";#N/A,#N/A,TRUE,"WES"}</definedName>
    <definedName name="_____________________________________kim2" hidden="1">{#N/A,#N/A,TRUE,"ADVANCE SUMM.";#N/A,#N/A,TRUE,"KEITH";#N/A,#N/A,TRUE,"WES"}</definedName>
    <definedName name="____________________________________kim1" localSheetId="7">{#N/A,#N/A,TRUE,"ADVANCE SUMM.";#N/A,#N/A,TRUE,"KEITH";#N/A,#N/A,TRUE,"WES"}</definedName>
    <definedName name="____________________________________kim1" localSheetId="10" hidden="1">{#N/A,#N/A,TRUE,"ADVANCE SUMM.";#N/A,#N/A,TRUE,"KEITH";#N/A,#N/A,TRUE,"WES"}</definedName>
    <definedName name="____________________________________kim1" localSheetId="0" hidden="1">{#N/A,#N/A,TRUE,"ADVANCE SUMM.";#N/A,#N/A,TRUE,"KEITH";#N/A,#N/A,TRUE,"WES"}</definedName>
    <definedName name="____________________________________kim1" localSheetId="9" hidden="1">{#N/A,#N/A,TRUE,"ADVANCE SUMM.";#N/A,#N/A,TRUE,"KEITH";#N/A,#N/A,TRUE,"WES"}</definedName>
    <definedName name="____________________________________kim1" localSheetId="11" hidden="1">{#N/A,#N/A,TRUE,"ADVANCE SUMM.";#N/A,#N/A,TRUE,"KEITH";#N/A,#N/A,TRUE,"WES"}</definedName>
    <definedName name="____________________________________kim1" hidden="1">{#N/A,#N/A,TRUE,"ADVANCE SUMM.";#N/A,#N/A,TRUE,"KEITH";#N/A,#N/A,TRUE,"WES"}</definedName>
    <definedName name="____________________________________kim2" localSheetId="7">{#N/A,#N/A,TRUE,"ADVANCE SUMM.";#N/A,#N/A,TRUE,"KEITH";#N/A,#N/A,TRUE,"WES"}</definedName>
    <definedName name="____________________________________kim2" localSheetId="10" hidden="1">{#N/A,#N/A,TRUE,"ADVANCE SUMM.";#N/A,#N/A,TRUE,"KEITH";#N/A,#N/A,TRUE,"WES"}</definedName>
    <definedName name="____________________________________kim2" localSheetId="0" hidden="1">{#N/A,#N/A,TRUE,"ADVANCE SUMM.";#N/A,#N/A,TRUE,"KEITH";#N/A,#N/A,TRUE,"WES"}</definedName>
    <definedName name="____________________________________kim2" localSheetId="9" hidden="1">{#N/A,#N/A,TRUE,"ADVANCE SUMM.";#N/A,#N/A,TRUE,"KEITH";#N/A,#N/A,TRUE,"WES"}</definedName>
    <definedName name="____________________________________kim2" localSheetId="11" hidden="1">{#N/A,#N/A,TRUE,"ADVANCE SUMM.";#N/A,#N/A,TRUE,"KEITH";#N/A,#N/A,TRUE,"WES"}</definedName>
    <definedName name="____________________________________kim2" hidden="1">{#N/A,#N/A,TRUE,"ADVANCE SUMM.";#N/A,#N/A,TRUE,"KEITH";#N/A,#N/A,TRUE,"WES"}</definedName>
    <definedName name="___________________________________kim1" localSheetId="7">{#N/A,#N/A,TRUE,"ADVANCE SUMM.";#N/A,#N/A,TRUE,"KEITH";#N/A,#N/A,TRUE,"WES"}</definedName>
    <definedName name="___________________________________kim1" localSheetId="10" hidden="1">{#N/A,#N/A,TRUE,"ADVANCE SUMM.";#N/A,#N/A,TRUE,"KEITH";#N/A,#N/A,TRUE,"WES"}</definedName>
    <definedName name="___________________________________kim1" localSheetId="0" hidden="1">{#N/A,#N/A,TRUE,"ADVANCE SUMM.";#N/A,#N/A,TRUE,"KEITH";#N/A,#N/A,TRUE,"WES"}</definedName>
    <definedName name="___________________________________kim1" localSheetId="9" hidden="1">{#N/A,#N/A,TRUE,"ADVANCE SUMM.";#N/A,#N/A,TRUE,"KEITH";#N/A,#N/A,TRUE,"WES"}</definedName>
    <definedName name="___________________________________kim1" localSheetId="11" hidden="1">{#N/A,#N/A,TRUE,"ADVANCE SUMM.";#N/A,#N/A,TRUE,"KEITH";#N/A,#N/A,TRUE,"WES"}</definedName>
    <definedName name="___________________________________kim1" hidden="1">{#N/A,#N/A,TRUE,"ADVANCE SUMM.";#N/A,#N/A,TRUE,"KEITH";#N/A,#N/A,TRUE,"WES"}</definedName>
    <definedName name="___________________________________kim2" localSheetId="7">{#N/A,#N/A,TRUE,"ADVANCE SUMM.";#N/A,#N/A,TRUE,"KEITH";#N/A,#N/A,TRUE,"WES"}</definedName>
    <definedName name="___________________________________kim2" localSheetId="10" hidden="1">{#N/A,#N/A,TRUE,"ADVANCE SUMM.";#N/A,#N/A,TRUE,"KEITH";#N/A,#N/A,TRUE,"WES"}</definedName>
    <definedName name="___________________________________kim2" localSheetId="0" hidden="1">{#N/A,#N/A,TRUE,"ADVANCE SUMM.";#N/A,#N/A,TRUE,"KEITH";#N/A,#N/A,TRUE,"WES"}</definedName>
    <definedName name="___________________________________kim2" localSheetId="9" hidden="1">{#N/A,#N/A,TRUE,"ADVANCE SUMM.";#N/A,#N/A,TRUE,"KEITH";#N/A,#N/A,TRUE,"WES"}</definedName>
    <definedName name="___________________________________kim2" localSheetId="11" hidden="1">{#N/A,#N/A,TRUE,"ADVANCE SUMM.";#N/A,#N/A,TRUE,"KEITH";#N/A,#N/A,TRUE,"WES"}</definedName>
    <definedName name="___________________________________kim2" hidden="1">{#N/A,#N/A,TRUE,"ADVANCE SUMM.";#N/A,#N/A,TRUE,"KEITH";#N/A,#N/A,TRUE,"WES"}</definedName>
    <definedName name="__________________________________kim1" localSheetId="7">{#N/A,#N/A,TRUE,"ADVANCE SUMM.";#N/A,#N/A,TRUE,"KEITH";#N/A,#N/A,TRUE,"WES"}</definedName>
    <definedName name="__________________________________kim1" localSheetId="10" hidden="1">{#N/A,#N/A,TRUE,"ADVANCE SUMM.";#N/A,#N/A,TRUE,"KEITH";#N/A,#N/A,TRUE,"WES"}</definedName>
    <definedName name="__________________________________kim1" localSheetId="0" hidden="1">{#N/A,#N/A,TRUE,"ADVANCE SUMM.";#N/A,#N/A,TRUE,"KEITH";#N/A,#N/A,TRUE,"WES"}</definedName>
    <definedName name="__________________________________kim1" localSheetId="9" hidden="1">{#N/A,#N/A,TRUE,"ADVANCE SUMM.";#N/A,#N/A,TRUE,"KEITH";#N/A,#N/A,TRUE,"WES"}</definedName>
    <definedName name="__________________________________kim1" localSheetId="11" hidden="1">{#N/A,#N/A,TRUE,"ADVANCE SUMM.";#N/A,#N/A,TRUE,"KEITH";#N/A,#N/A,TRUE,"WES"}</definedName>
    <definedName name="__________________________________kim1" hidden="1">{#N/A,#N/A,TRUE,"ADVANCE SUMM.";#N/A,#N/A,TRUE,"KEITH";#N/A,#N/A,TRUE,"WES"}</definedName>
    <definedName name="__________________________________kim2" localSheetId="7">{#N/A,#N/A,TRUE,"ADVANCE SUMM.";#N/A,#N/A,TRUE,"KEITH";#N/A,#N/A,TRUE,"WES"}</definedName>
    <definedName name="__________________________________kim2" localSheetId="10" hidden="1">{#N/A,#N/A,TRUE,"ADVANCE SUMM.";#N/A,#N/A,TRUE,"KEITH";#N/A,#N/A,TRUE,"WES"}</definedName>
    <definedName name="__________________________________kim2" localSheetId="0" hidden="1">{#N/A,#N/A,TRUE,"ADVANCE SUMM.";#N/A,#N/A,TRUE,"KEITH";#N/A,#N/A,TRUE,"WES"}</definedName>
    <definedName name="__________________________________kim2" localSheetId="9" hidden="1">{#N/A,#N/A,TRUE,"ADVANCE SUMM.";#N/A,#N/A,TRUE,"KEITH";#N/A,#N/A,TRUE,"WES"}</definedName>
    <definedName name="__________________________________kim2" localSheetId="11" hidden="1">{#N/A,#N/A,TRUE,"ADVANCE SUMM.";#N/A,#N/A,TRUE,"KEITH";#N/A,#N/A,TRUE,"WES"}</definedName>
    <definedName name="__________________________________kim2" hidden="1">{#N/A,#N/A,TRUE,"ADVANCE SUMM.";#N/A,#N/A,TRUE,"KEITH";#N/A,#N/A,TRUE,"WES"}</definedName>
    <definedName name="_________________________________kim1" localSheetId="7">{#N/A,#N/A,TRUE,"ADVANCE SUMM.";#N/A,#N/A,TRUE,"KEITH";#N/A,#N/A,TRUE,"WES"}</definedName>
    <definedName name="_________________________________kim1" localSheetId="10" hidden="1">{#N/A,#N/A,TRUE,"ADVANCE SUMM.";#N/A,#N/A,TRUE,"KEITH";#N/A,#N/A,TRUE,"WES"}</definedName>
    <definedName name="_________________________________kim1" localSheetId="0" hidden="1">{#N/A,#N/A,TRUE,"ADVANCE SUMM.";#N/A,#N/A,TRUE,"KEITH";#N/A,#N/A,TRUE,"WES"}</definedName>
    <definedName name="_________________________________kim1" localSheetId="9" hidden="1">{#N/A,#N/A,TRUE,"ADVANCE SUMM.";#N/A,#N/A,TRUE,"KEITH";#N/A,#N/A,TRUE,"WES"}</definedName>
    <definedName name="_________________________________kim1" localSheetId="11" hidden="1">{#N/A,#N/A,TRUE,"ADVANCE SUMM.";#N/A,#N/A,TRUE,"KEITH";#N/A,#N/A,TRUE,"WES"}</definedName>
    <definedName name="_________________________________kim1" hidden="1">{#N/A,#N/A,TRUE,"ADVANCE SUMM.";#N/A,#N/A,TRUE,"KEITH";#N/A,#N/A,TRUE,"WES"}</definedName>
    <definedName name="_________________________________kim2" localSheetId="7">{#N/A,#N/A,TRUE,"ADVANCE SUMM.";#N/A,#N/A,TRUE,"KEITH";#N/A,#N/A,TRUE,"WES"}</definedName>
    <definedName name="_________________________________kim2" localSheetId="10" hidden="1">{#N/A,#N/A,TRUE,"ADVANCE SUMM.";#N/A,#N/A,TRUE,"KEITH";#N/A,#N/A,TRUE,"WES"}</definedName>
    <definedName name="_________________________________kim2" localSheetId="0" hidden="1">{#N/A,#N/A,TRUE,"ADVANCE SUMM.";#N/A,#N/A,TRUE,"KEITH";#N/A,#N/A,TRUE,"WES"}</definedName>
    <definedName name="_________________________________kim2" localSheetId="9" hidden="1">{#N/A,#N/A,TRUE,"ADVANCE SUMM.";#N/A,#N/A,TRUE,"KEITH";#N/A,#N/A,TRUE,"WES"}</definedName>
    <definedName name="_________________________________kim2" localSheetId="11" hidden="1">{#N/A,#N/A,TRUE,"ADVANCE SUMM.";#N/A,#N/A,TRUE,"KEITH";#N/A,#N/A,TRUE,"WES"}</definedName>
    <definedName name="_________________________________kim2" hidden="1">{#N/A,#N/A,TRUE,"ADVANCE SUMM.";#N/A,#N/A,TRUE,"KEITH";#N/A,#N/A,TRUE,"WES"}</definedName>
    <definedName name="________________________________kim1" localSheetId="7">{#N/A,#N/A,TRUE,"ADVANCE SUMM.";#N/A,#N/A,TRUE,"KEITH";#N/A,#N/A,TRUE,"WES"}</definedName>
    <definedName name="________________________________kim1" localSheetId="10" hidden="1">{#N/A,#N/A,TRUE,"ADVANCE SUMM.";#N/A,#N/A,TRUE,"KEITH";#N/A,#N/A,TRUE,"WES"}</definedName>
    <definedName name="________________________________kim1" localSheetId="0" hidden="1">{#N/A,#N/A,TRUE,"ADVANCE SUMM.";#N/A,#N/A,TRUE,"KEITH";#N/A,#N/A,TRUE,"WES"}</definedName>
    <definedName name="________________________________kim1" localSheetId="9" hidden="1">{#N/A,#N/A,TRUE,"ADVANCE SUMM.";#N/A,#N/A,TRUE,"KEITH";#N/A,#N/A,TRUE,"WES"}</definedName>
    <definedName name="________________________________kim1" localSheetId="11" hidden="1">{#N/A,#N/A,TRUE,"ADVANCE SUMM.";#N/A,#N/A,TRUE,"KEITH";#N/A,#N/A,TRUE,"WES"}</definedName>
    <definedName name="________________________________kim1" hidden="1">{#N/A,#N/A,TRUE,"ADVANCE SUMM.";#N/A,#N/A,TRUE,"KEITH";#N/A,#N/A,TRUE,"WES"}</definedName>
    <definedName name="________________________________kim2" localSheetId="7">{#N/A,#N/A,TRUE,"ADVANCE SUMM.";#N/A,#N/A,TRUE,"KEITH";#N/A,#N/A,TRUE,"WES"}</definedName>
    <definedName name="________________________________kim2" localSheetId="10" hidden="1">{#N/A,#N/A,TRUE,"ADVANCE SUMM.";#N/A,#N/A,TRUE,"KEITH";#N/A,#N/A,TRUE,"WES"}</definedName>
    <definedName name="________________________________kim2" localSheetId="0" hidden="1">{#N/A,#N/A,TRUE,"ADVANCE SUMM.";#N/A,#N/A,TRUE,"KEITH";#N/A,#N/A,TRUE,"WES"}</definedName>
    <definedName name="________________________________kim2" localSheetId="9" hidden="1">{#N/A,#N/A,TRUE,"ADVANCE SUMM.";#N/A,#N/A,TRUE,"KEITH";#N/A,#N/A,TRUE,"WES"}</definedName>
    <definedName name="________________________________kim2" localSheetId="11" hidden="1">{#N/A,#N/A,TRUE,"ADVANCE SUMM.";#N/A,#N/A,TRUE,"KEITH";#N/A,#N/A,TRUE,"WES"}</definedName>
    <definedName name="________________________________kim2" hidden="1">{#N/A,#N/A,TRUE,"ADVANCE SUMM.";#N/A,#N/A,TRUE,"KEITH";#N/A,#N/A,TRUE,"WES"}</definedName>
    <definedName name="_______________________________kim1" localSheetId="7">{#N/A,#N/A,TRUE,"ADVANCE SUMM.";#N/A,#N/A,TRUE,"KEITH";#N/A,#N/A,TRUE,"WES"}</definedName>
    <definedName name="_______________________________kim1" localSheetId="10" hidden="1">{#N/A,#N/A,TRUE,"ADVANCE SUMM.";#N/A,#N/A,TRUE,"KEITH";#N/A,#N/A,TRUE,"WES"}</definedName>
    <definedName name="_______________________________kim1" localSheetId="0" hidden="1">{#N/A,#N/A,TRUE,"ADVANCE SUMM.";#N/A,#N/A,TRUE,"KEITH";#N/A,#N/A,TRUE,"WES"}</definedName>
    <definedName name="_______________________________kim1" localSheetId="9" hidden="1">{#N/A,#N/A,TRUE,"ADVANCE SUMM.";#N/A,#N/A,TRUE,"KEITH";#N/A,#N/A,TRUE,"WES"}</definedName>
    <definedName name="_______________________________kim1" localSheetId="11" hidden="1">{#N/A,#N/A,TRUE,"ADVANCE SUMM.";#N/A,#N/A,TRUE,"KEITH";#N/A,#N/A,TRUE,"WES"}</definedName>
    <definedName name="_______________________________kim1" hidden="1">{#N/A,#N/A,TRUE,"ADVANCE SUMM.";#N/A,#N/A,TRUE,"KEITH";#N/A,#N/A,TRUE,"WES"}</definedName>
    <definedName name="_______________________________kim2" localSheetId="7">{#N/A,#N/A,TRUE,"ADVANCE SUMM.";#N/A,#N/A,TRUE,"KEITH";#N/A,#N/A,TRUE,"WES"}</definedName>
    <definedName name="_______________________________kim2" localSheetId="10" hidden="1">{#N/A,#N/A,TRUE,"ADVANCE SUMM.";#N/A,#N/A,TRUE,"KEITH";#N/A,#N/A,TRUE,"WES"}</definedName>
    <definedName name="_______________________________kim2" localSheetId="0" hidden="1">{#N/A,#N/A,TRUE,"ADVANCE SUMM.";#N/A,#N/A,TRUE,"KEITH";#N/A,#N/A,TRUE,"WES"}</definedName>
    <definedName name="_______________________________kim2" localSheetId="9" hidden="1">{#N/A,#N/A,TRUE,"ADVANCE SUMM.";#N/A,#N/A,TRUE,"KEITH";#N/A,#N/A,TRUE,"WES"}</definedName>
    <definedName name="_______________________________kim2" localSheetId="11" hidden="1">{#N/A,#N/A,TRUE,"ADVANCE SUMM.";#N/A,#N/A,TRUE,"KEITH";#N/A,#N/A,TRUE,"WES"}</definedName>
    <definedName name="_______________________________kim2" hidden="1">{#N/A,#N/A,TRUE,"ADVANCE SUMM.";#N/A,#N/A,TRUE,"KEITH";#N/A,#N/A,TRUE,"WES"}</definedName>
    <definedName name="______________________________kim1" localSheetId="7">{#N/A,#N/A,TRUE,"ADVANCE SUMM.";#N/A,#N/A,TRUE,"KEITH";#N/A,#N/A,TRUE,"WES"}</definedName>
    <definedName name="______________________________kim1" localSheetId="10" hidden="1">{#N/A,#N/A,TRUE,"ADVANCE SUMM.";#N/A,#N/A,TRUE,"KEITH";#N/A,#N/A,TRUE,"WES"}</definedName>
    <definedName name="______________________________kim1" localSheetId="0" hidden="1">{#N/A,#N/A,TRUE,"ADVANCE SUMM.";#N/A,#N/A,TRUE,"KEITH";#N/A,#N/A,TRUE,"WES"}</definedName>
    <definedName name="______________________________kim1" localSheetId="9" hidden="1">{#N/A,#N/A,TRUE,"ADVANCE SUMM.";#N/A,#N/A,TRUE,"KEITH";#N/A,#N/A,TRUE,"WES"}</definedName>
    <definedName name="______________________________kim1" localSheetId="11" hidden="1">{#N/A,#N/A,TRUE,"ADVANCE SUMM.";#N/A,#N/A,TRUE,"KEITH";#N/A,#N/A,TRUE,"WES"}</definedName>
    <definedName name="______________________________kim1" hidden="1">{#N/A,#N/A,TRUE,"ADVANCE SUMM.";#N/A,#N/A,TRUE,"KEITH";#N/A,#N/A,TRUE,"WES"}</definedName>
    <definedName name="______________________________kim2" localSheetId="7">{#N/A,#N/A,TRUE,"ADVANCE SUMM.";#N/A,#N/A,TRUE,"KEITH";#N/A,#N/A,TRUE,"WES"}</definedName>
    <definedName name="______________________________kim2" localSheetId="10" hidden="1">{#N/A,#N/A,TRUE,"ADVANCE SUMM.";#N/A,#N/A,TRUE,"KEITH";#N/A,#N/A,TRUE,"WES"}</definedName>
    <definedName name="______________________________kim2" localSheetId="0" hidden="1">{#N/A,#N/A,TRUE,"ADVANCE SUMM.";#N/A,#N/A,TRUE,"KEITH";#N/A,#N/A,TRUE,"WES"}</definedName>
    <definedName name="______________________________kim2" localSheetId="9" hidden="1">{#N/A,#N/A,TRUE,"ADVANCE SUMM.";#N/A,#N/A,TRUE,"KEITH";#N/A,#N/A,TRUE,"WES"}</definedName>
    <definedName name="______________________________kim2" localSheetId="11" hidden="1">{#N/A,#N/A,TRUE,"ADVANCE SUMM.";#N/A,#N/A,TRUE,"KEITH";#N/A,#N/A,TRUE,"WES"}</definedName>
    <definedName name="______________________________kim2" hidden="1">{#N/A,#N/A,TRUE,"ADVANCE SUMM.";#N/A,#N/A,TRUE,"KEITH";#N/A,#N/A,TRUE,"WES"}</definedName>
    <definedName name="_____________________________kim1" localSheetId="7">{#N/A,#N/A,TRUE,"ADVANCE SUMM.";#N/A,#N/A,TRUE,"KEITH";#N/A,#N/A,TRUE,"WES"}</definedName>
    <definedName name="_____________________________kim1" localSheetId="10" hidden="1">{#N/A,#N/A,TRUE,"ADVANCE SUMM.";#N/A,#N/A,TRUE,"KEITH";#N/A,#N/A,TRUE,"WES"}</definedName>
    <definedName name="_____________________________kim1" localSheetId="0" hidden="1">{#N/A,#N/A,TRUE,"ADVANCE SUMM.";#N/A,#N/A,TRUE,"KEITH";#N/A,#N/A,TRUE,"WES"}</definedName>
    <definedName name="_____________________________kim1" localSheetId="9" hidden="1">{#N/A,#N/A,TRUE,"ADVANCE SUMM.";#N/A,#N/A,TRUE,"KEITH";#N/A,#N/A,TRUE,"WES"}</definedName>
    <definedName name="_____________________________kim1" localSheetId="11" hidden="1">{#N/A,#N/A,TRUE,"ADVANCE SUMM.";#N/A,#N/A,TRUE,"KEITH";#N/A,#N/A,TRUE,"WES"}</definedName>
    <definedName name="_____________________________kim1" hidden="1">{#N/A,#N/A,TRUE,"ADVANCE SUMM.";#N/A,#N/A,TRUE,"KEITH";#N/A,#N/A,TRUE,"WES"}</definedName>
    <definedName name="_____________________________kim2" localSheetId="7">{#N/A,#N/A,TRUE,"ADVANCE SUMM.";#N/A,#N/A,TRUE,"KEITH";#N/A,#N/A,TRUE,"WES"}</definedName>
    <definedName name="_____________________________kim2" localSheetId="10" hidden="1">{#N/A,#N/A,TRUE,"ADVANCE SUMM.";#N/A,#N/A,TRUE,"KEITH";#N/A,#N/A,TRUE,"WES"}</definedName>
    <definedName name="_____________________________kim2" localSheetId="0" hidden="1">{#N/A,#N/A,TRUE,"ADVANCE SUMM.";#N/A,#N/A,TRUE,"KEITH";#N/A,#N/A,TRUE,"WES"}</definedName>
    <definedName name="_____________________________kim2" localSheetId="9" hidden="1">{#N/A,#N/A,TRUE,"ADVANCE SUMM.";#N/A,#N/A,TRUE,"KEITH";#N/A,#N/A,TRUE,"WES"}</definedName>
    <definedName name="_____________________________kim2" localSheetId="11" hidden="1">{#N/A,#N/A,TRUE,"ADVANCE SUMM.";#N/A,#N/A,TRUE,"KEITH";#N/A,#N/A,TRUE,"WES"}</definedName>
    <definedName name="_____________________________kim2" hidden="1">{#N/A,#N/A,TRUE,"ADVANCE SUMM.";#N/A,#N/A,TRUE,"KEITH";#N/A,#N/A,TRUE,"WES"}</definedName>
    <definedName name="____________________________kim1" localSheetId="7">{#N/A,#N/A,TRUE,"ADVANCE SUMM.";#N/A,#N/A,TRUE,"KEITH";#N/A,#N/A,TRUE,"WES"}</definedName>
    <definedName name="____________________________kim1" localSheetId="10" hidden="1">{#N/A,#N/A,TRUE,"ADVANCE SUMM.";#N/A,#N/A,TRUE,"KEITH";#N/A,#N/A,TRUE,"WES"}</definedName>
    <definedName name="____________________________kim1" localSheetId="0" hidden="1">{#N/A,#N/A,TRUE,"ADVANCE SUMM.";#N/A,#N/A,TRUE,"KEITH";#N/A,#N/A,TRUE,"WES"}</definedName>
    <definedName name="____________________________kim1" localSheetId="9" hidden="1">{#N/A,#N/A,TRUE,"ADVANCE SUMM.";#N/A,#N/A,TRUE,"KEITH";#N/A,#N/A,TRUE,"WES"}</definedName>
    <definedName name="____________________________kim1" localSheetId="11" hidden="1">{#N/A,#N/A,TRUE,"ADVANCE SUMM.";#N/A,#N/A,TRUE,"KEITH";#N/A,#N/A,TRUE,"WES"}</definedName>
    <definedName name="____________________________kim1" hidden="1">{#N/A,#N/A,TRUE,"ADVANCE SUMM.";#N/A,#N/A,TRUE,"KEITH";#N/A,#N/A,TRUE,"WES"}</definedName>
    <definedName name="____________________________kim2" localSheetId="7">{#N/A,#N/A,TRUE,"ADVANCE SUMM.";#N/A,#N/A,TRUE,"KEITH";#N/A,#N/A,TRUE,"WES"}</definedName>
    <definedName name="____________________________kim2" localSheetId="10" hidden="1">{#N/A,#N/A,TRUE,"ADVANCE SUMM.";#N/A,#N/A,TRUE,"KEITH";#N/A,#N/A,TRUE,"WES"}</definedName>
    <definedName name="____________________________kim2" localSheetId="0" hidden="1">{#N/A,#N/A,TRUE,"ADVANCE SUMM.";#N/A,#N/A,TRUE,"KEITH";#N/A,#N/A,TRUE,"WES"}</definedName>
    <definedName name="____________________________kim2" localSheetId="9" hidden="1">{#N/A,#N/A,TRUE,"ADVANCE SUMM.";#N/A,#N/A,TRUE,"KEITH";#N/A,#N/A,TRUE,"WES"}</definedName>
    <definedName name="____________________________kim2" localSheetId="11" hidden="1">{#N/A,#N/A,TRUE,"ADVANCE SUMM.";#N/A,#N/A,TRUE,"KEITH";#N/A,#N/A,TRUE,"WES"}</definedName>
    <definedName name="____________________________kim2" hidden="1">{#N/A,#N/A,TRUE,"ADVANCE SUMM.";#N/A,#N/A,TRUE,"KEITH";#N/A,#N/A,TRUE,"WES"}</definedName>
    <definedName name="___________________________kim1" localSheetId="7">{#N/A,#N/A,TRUE,"ADVANCE SUMM.";#N/A,#N/A,TRUE,"KEITH";#N/A,#N/A,TRUE,"WES"}</definedName>
    <definedName name="___________________________kim1" localSheetId="10" hidden="1">{#N/A,#N/A,TRUE,"ADVANCE SUMM.";#N/A,#N/A,TRUE,"KEITH";#N/A,#N/A,TRUE,"WES"}</definedName>
    <definedName name="___________________________kim1" localSheetId="0" hidden="1">{#N/A,#N/A,TRUE,"ADVANCE SUMM.";#N/A,#N/A,TRUE,"KEITH";#N/A,#N/A,TRUE,"WES"}</definedName>
    <definedName name="___________________________kim1" localSheetId="9" hidden="1">{#N/A,#N/A,TRUE,"ADVANCE SUMM.";#N/A,#N/A,TRUE,"KEITH";#N/A,#N/A,TRUE,"WES"}</definedName>
    <definedName name="___________________________kim1" localSheetId="11" hidden="1">{#N/A,#N/A,TRUE,"ADVANCE SUMM.";#N/A,#N/A,TRUE,"KEITH";#N/A,#N/A,TRUE,"WES"}</definedName>
    <definedName name="___________________________kim1" hidden="1">{#N/A,#N/A,TRUE,"ADVANCE SUMM.";#N/A,#N/A,TRUE,"KEITH";#N/A,#N/A,TRUE,"WES"}</definedName>
    <definedName name="___________________________kim10" localSheetId="7">{#N/A,#N/A,TRUE,"ADVANCE SUMM.";#N/A,#N/A,TRUE,"KEITH";#N/A,#N/A,TRUE,"WES"}</definedName>
    <definedName name="___________________________kim10" localSheetId="10" hidden="1">{#N/A,#N/A,TRUE,"ADVANCE SUMM.";#N/A,#N/A,TRUE,"KEITH";#N/A,#N/A,TRUE,"WES"}</definedName>
    <definedName name="___________________________kim10" localSheetId="0" hidden="1">{#N/A,#N/A,TRUE,"ADVANCE SUMM.";#N/A,#N/A,TRUE,"KEITH";#N/A,#N/A,TRUE,"WES"}</definedName>
    <definedName name="___________________________kim10" localSheetId="9" hidden="1">{#N/A,#N/A,TRUE,"ADVANCE SUMM.";#N/A,#N/A,TRUE,"KEITH";#N/A,#N/A,TRUE,"WES"}</definedName>
    <definedName name="___________________________kim10" localSheetId="11" hidden="1">{#N/A,#N/A,TRUE,"ADVANCE SUMM.";#N/A,#N/A,TRUE,"KEITH";#N/A,#N/A,TRUE,"WES"}</definedName>
    <definedName name="___________________________kim10" hidden="1">{#N/A,#N/A,TRUE,"ADVANCE SUMM.";#N/A,#N/A,TRUE,"KEITH";#N/A,#N/A,TRUE,"WES"}</definedName>
    <definedName name="___________________________kim2" localSheetId="7">{#N/A,#N/A,TRUE,"ADVANCE SUMM.";#N/A,#N/A,TRUE,"KEITH";#N/A,#N/A,TRUE,"WES"}</definedName>
    <definedName name="___________________________kim2" localSheetId="10" hidden="1">{#N/A,#N/A,TRUE,"ADVANCE SUMM.";#N/A,#N/A,TRUE,"KEITH";#N/A,#N/A,TRUE,"WES"}</definedName>
    <definedName name="___________________________kim2" localSheetId="0" hidden="1">{#N/A,#N/A,TRUE,"ADVANCE SUMM.";#N/A,#N/A,TRUE,"KEITH";#N/A,#N/A,TRUE,"WES"}</definedName>
    <definedName name="___________________________kim2" localSheetId="9" hidden="1">{#N/A,#N/A,TRUE,"ADVANCE SUMM.";#N/A,#N/A,TRUE,"KEITH";#N/A,#N/A,TRUE,"WES"}</definedName>
    <definedName name="___________________________kim2" localSheetId="11" hidden="1">{#N/A,#N/A,TRUE,"ADVANCE SUMM.";#N/A,#N/A,TRUE,"KEITH";#N/A,#N/A,TRUE,"WES"}</definedName>
    <definedName name="___________________________kim2" hidden="1">{#N/A,#N/A,TRUE,"ADVANCE SUMM.";#N/A,#N/A,TRUE,"KEITH";#N/A,#N/A,TRUE,"WES"}</definedName>
    <definedName name="___________________________ss1" localSheetId="7">{#N/A,#N/A,TRUE,"ADVANCE SUMM.";#N/A,#N/A,TRUE,"KEITH";#N/A,#N/A,TRUE,"WES"}</definedName>
    <definedName name="___________________________ss1" localSheetId="10" hidden="1">{#N/A,#N/A,TRUE,"ADVANCE SUMM.";#N/A,#N/A,TRUE,"KEITH";#N/A,#N/A,TRUE,"WES"}</definedName>
    <definedName name="___________________________ss1" localSheetId="0" hidden="1">{#N/A,#N/A,TRUE,"ADVANCE SUMM.";#N/A,#N/A,TRUE,"KEITH";#N/A,#N/A,TRUE,"WES"}</definedName>
    <definedName name="___________________________ss1" localSheetId="9" hidden="1">{#N/A,#N/A,TRUE,"ADVANCE SUMM.";#N/A,#N/A,TRUE,"KEITH";#N/A,#N/A,TRUE,"WES"}</definedName>
    <definedName name="___________________________ss1" localSheetId="11" hidden="1">{#N/A,#N/A,TRUE,"ADVANCE SUMM.";#N/A,#N/A,TRUE,"KEITH";#N/A,#N/A,TRUE,"WES"}</definedName>
    <definedName name="___________________________ss1" hidden="1">{#N/A,#N/A,TRUE,"ADVANCE SUMM.";#N/A,#N/A,TRUE,"KEITH";#N/A,#N/A,TRUE,"WES"}</definedName>
    <definedName name="__________________________kim1" localSheetId="7">{#N/A,#N/A,TRUE,"ADVANCE SUMM.";#N/A,#N/A,TRUE,"KEITH";#N/A,#N/A,TRUE,"WES"}</definedName>
    <definedName name="__________________________kim1" localSheetId="10" hidden="1">{#N/A,#N/A,TRUE,"ADVANCE SUMM.";#N/A,#N/A,TRUE,"KEITH";#N/A,#N/A,TRUE,"WES"}</definedName>
    <definedName name="__________________________kim1" localSheetId="0" hidden="1">{#N/A,#N/A,TRUE,"ADVANCE SUMM.";#N/A,#N/A,TRUE,"KEITH";#N/A,#N/A,TRUE,"WES"}</definedName>
    <definedName name="__________________________kim1" localSheetId="9" hidden="1">{#N/A,#N/A,TRUE,"ADVANCE SUMM.";#N/A,#N/A,TRUE,"KEITH";#N/A,#N/A,TRUE,"WES"}</definedName>
    <definedName name="__________________________kim1" localSheetId="11" hidden="1">{#N/A,#N/A,TRUE,"ADVANCE SUMM.";#N/A,#N/A,TRUE,"KEITH";#N/A,#N/A,TRUE,"WES"}</definedName>
    <definedName name="__________________________kim1" hidden="1">{#N/A,#N/A,TRUE,"ADVANCE SUMM.";#N/A,#N/A,TRUE,"KEITH";#N/A,#N/A,TRUE,"WES"}</definedName>
    <definedName name="__________________________kim10" localSheetId="7">{#N/A,#N/A,TRUE,"ADVANCE SUMM.";#N/A,#N/A,TRUE,"KEITH";#N/A,#N/A,TRUE,"WES"}</definedName>
    <definedName name="__________________________kim10" localSheetId="10" hidden="1">{#N/A,#N/A,TRUE,"ADVANCE SUMM.";#N/A,#N/A,TRUE,"KEITH";#N/A,#N/A,TRUE,"WES"}</definedName>
    <definedName name="__________________________kim10" localSheetId="0" hidden="1">{#N/A,#N/A,TRUE,"ADVANCE SUMM.";#N/A,#N/A,TRUE,"KEITH";#N/A,#N/A,TRUE,"WES"}</definedName>
    <definedName name="__________________________kim10" localSheetId="9" hidden="1">{#N/A,#N/A,TRUE,"ADVANCE SUMM.";#N/A,#N/A,TRUE,"KEITH";#N/A,#N/A,TRUE,"WES"}</definedName>
    <definedName name="__________________________kim10" localSheetId="11" hidden="1">{#N/A,#N/A,TRUE,"ADVANCE SUMM.";#N/A,#N/A,TRUE,"KEITH";#N/A,#N/A,TRUE,"WES"}</definedName>
    <definedName name="__________________________kim10" hidden="1">{#N/A,#N/A,TRUE,"ADVANCE SUMM.";#N/A,#N/A,TRUE,"KEITH";#N/A,#N/A,TRUE,"WES"}</definedName>
    <definedName name="__________________________kim2" localSheetId="7">{#N/A,#N/A,TRUE,"ADVANCE SUMM.";#N/A,#N/A,TRUE,"KEITH";#N/A,#N/A,TRUE,"WES"}</definedName>
    <definedName name="__________________________kim2" localSheetId="10" hidden="1">{#N/A,#N/A,TRUE,"ADVANCE SUMM.";#N/A,#N/A,TRUE,"KEITH";#N/A,#N/A,TRUE,"WES"}</definedName>
    <definedName name="__________________________kim2" localSheetId="0" hidden="1">{#N/A,#N/A,TRUE,"ADVANCE SUMM.";#N/A,#N/A,TRUE,"KEITH";#N/A,#N/A,TRUE,"WES"}</definedName>
    <definedName name="__________________________kim2" localSheetId="9" hidden="1">{#N/A,#N/A,TRUE,"ADVANCE SUMM.";#N/A,#N/A,TRUE,"KEITH";#N/A,#N/A,TRUE,"WES"}</definedName>
    <definedName name="__________________________kim2" localSheetId="11" hidden="1">{#N/A,#N/A,TRUE,"ADVANCE SUMM.";#N/A,#N/A,TRUE,"KEITH";#N/A,#N/A,TRUE,"WES"}</definedName>
    <definedName name="__________________________kim2" hidden="1">{#N/A,#N/A,TRUE,"ADVANCE SUMM.";#N/A,#N/A,TRUE,"KEITH";#N/A,#N/A,TRUE,"WES"}</definedName>
    <definedName name="__________________________ss1" localSheetId="7">{#N/A,#N/A,TRUE,"ADVANCE SUMM.";#N/A,#N/A,TRUE,"KEITH";#N/A,#N/A,TRUE,"WES"}</definedName>
    <definedName name="__________________________ss1" localSheetId="10" hidden="1">{#N/A,#N/A,TRUE,"ADVANCE SUMM.";#N/A,#N/A,TRUE,"KEITH";#N/A,#N/A,TRUE,"WES"}</definedName>
    <definedName name="__________________________ss1" localSheetId="0" hidden="1">{#N/A,#N/A,TRUE,"ADVANCE SUMM.";#N/A,#N/A,TRUE,"KEITH";#N/A,#N/A,TRUE,"WES"}</definedName>
    <definedName name="__________________________ss1" localSheetId="9" hidden="1">{#N/A,#N/A,TRUE,"ADVANCE SUMM.";#N/A,#N/A,TRUE,"KEITH";#N/A,#N/A,TRUE,"WES"}</definedName>
    <definedName name="__________________________ss1" localSheetId="11" hidden="1">{#N/A,#N/A,TRUE,"ADVANCE SUMM.";#N/A,#N/A,TRUE,"KEITH";#N/A,#N/A,TRUE,"WES"}</definedName>
    <definedName name="__________________________ss1" hidden="1">{#N/A,#N/A,TRUE,"ADVANCE SUMM.";#N/A,#N/A,TRUE,"KEITH";#N/A,#N/A,TRUE,"WES"}</definedName>
    <definedName name="_________________________kim1" localSheetId="7">{#N/A,#N/A,TRUE,"ADVANCE SUMM.";#N/A,#N/A,TRUE,"KEITH";#N/A,#N/A,TRUE,"WES"}</definedName>
    <definedName name="_________________________kim1" localSheetId="10" hidden="1">{#N/A,#N/A,TRUE,"ADVANCE SUMM.";#N/A,#N/A,TRUE,"KEITH";#N/A,#N/A,TRUE,"WES"}</definedName>
    <definedName name="_________________________kim1" localSheetId="0" hidden="1">{#N/A,#N/A,TRUE,"ADVANCE SUMM.";#N/A,#N/A,TRUE,"KEITH";#N/A,#N/A,TRUE,"WES"}</definedName>
    <definedName name="_________________________kim1" localSheetId="9" hidden="1">{#N/A,#N/A,TRUE,"ADVANCE SUMM.";#N/A,#N/A,TRUE,"KEITH";#N/A,#N/A,TRUE,"WES"}</definedName>
    <definedName name="_________________________kim1" localSheetId="11" hidden="1">{#N/A,#N/A,TRUE,"ADVANCE SUMM.";#N/A,#N/A,TRUE,"KEITH";#N/A,#N/A,TRUE,"WES"}</definedName>
    <definedName name="_________________________kim1" hidden="1">{#N/A,#N/A,TRUE,"ADVANCE SUMM.";#N/A,#N/A,TRUE,"KEITH";#N/A,#N/A,TRUE,"WES"}</definedName>
    <definedName name="_________________________kim10" localSheetId="7">{#N/A,#N/A,TRUE,"ADVANCE SUMM.";#N/A,#N/A,TRUE,"KEITH";#N/A,#N/A,TRUE,"WES"}</definedName>
    <definedName name="_________________________kim10" localSheetId="10" hidden="1">{#N/A,#N/A,TRUE,"ADVANCE SUMM.";#N/A,#N/A,TRUE,"KEITH";#N/A,#N/A,TRUE,"WES"}</definedName>
    <definedName name="_________________________kim10" localSheetId="0" hidden="1">{#N/A,#N/A,TRUE,"ADVANCE SUMM.";#N/A,#N/A,TRUE,"KEITH";#N/A,#N/A,TRUE,"WES"}</definedName>
    <definedName name="_________________________kim10" localSheetId="9" hidden="1">{#N/A,#N/A,TRUE,"ADVANCE SUMM.";#N/A,#N/A,TRUE,"KEITH";#N/A,#N/A,TRUE,"WES"}</definedName>
    <definedName name="_________________________kim10" localSheetId="11" hidden="1">{#N/A,#N/A,TRUE,"ADVANCE SUMM.";#N/A,#N/A,TRUE,"KEITH";#N/A,#N/A,TRUE,"WES"}</definedName>
    <definedName name="_________________________kim10" hidden="1">{#N/A,#N/A,TRUE,"ADVANCE SUMM.";#N/A,#N/A,TRUE,"KEITH";#N/A,#N/A,TRUE,"WES"}</definedName>
    <definedName name="_________________________kim2" localSheetId="7">{#N/A,#N/A,TRUE,"ADVANCE SUMM.";#N/A,#N/A,TRUE,"KEITH";#N/A,#N/A,TRUE,"WES"}</definedName>
    <definedName name="_________________________kim2" localSheetId="10" hidden="1">{#N/A,#N/A,TRUE,"ADVANCE SUMM.";#N/A,#N/A,TRUE,"KEITH";#N/A,#N/A,TRUE,"WES"}</definedName>
    <definedName name="_________________________kim2" localSheetId="0" hidden="1">{#N/A,#N/A,TRUE,"ADVANCE SUMM.";#N/A,#N/A,TRUE,"KEITH";#N/A,#N/A,TRUE,"WES"}</definedName>
    <definedName name="_________________________kim2" localSheetId="9" hidden="1">{#N/A,#N/A,TRUE,"ADVANCE SUMM.";#N/A,#N/A,TRUE,"KEITH";#N/A,#N/A,TRUE,"WES"}</definedName>
    <definedName name="_________________________kim2" localSheetId="11" hidden="1">{#N/A,#N/A,TRUE,"ADVANCE SUMM.";#N/A,#N/A,TRUE,"KEITH";#N/A,#N/A,TRUE,"WES"}</definedName>
    <definedName name="_________________________kim2" hidden="1">{#N/A,#N/A,TRUE,"ADVANCE SUMM.";#N/A,#N/A,TRUE,"KEITH";#N/A,#N/A,TRUE,"WES"}</definedName>
    <definedName name="_________________________ss1" localSheetId="7">{#N/A,#N/A,TRUE,"ADVANCE SUMM.";#N/A,#N/A,TRUE,"KEITH";#N/A,#N/A,TRUE,"WES"}</definedName>
    <definedName name="_________________________ss1" localSheetId="10" hidden="1">{#N/A,#N/A,TRUE,"ADVANCE SUMM.";#N/A,#N/A,TRUE,"KEITH";#N/A,#N/A,TRUE,"WES"}</definedName>
    <definedName name="_________________________ss1" localSheetId="0" hidden="1">{#N/A,#N/A,TRUE,"ADVANCE SUMM.";#N/A,#N/A,TRUE,"KEITH";#N/A,#N/A,TRUE,"WES"}</definedName>
    <definedName name="_________________________ss1" localSheetId="9" hidden="1">{#N/A,#N/A,TRUE,"ADVANCE SUMM.";#N/A,#N/A,TRUE,"KEITH";#N/A,#N/A,TRUE,"WES"}</definedName>
    <definedName name="_________________________ss1" localSheetId="11" hidden="1">{#N/A,#N/A,TRUE,"ADVANCE SUMM.";#N/A,#N/A,TRUE,"KEITH";#N/A,#N/A,TRUE,"WES"}</definedName>
    <definedName name="_________________________ss1" hidden="1">{#N/A,#N/A,TRUE,"ADVANCE SUMM.";#N/A,#N/A,TRUE,"KEITH";#N/A,#N/A,TRUE,"WES"}</definedName>
    <definedName name="________________________kim1" localSheetId="7">{#N/A,#N/A,TRUE,"ADVANCE SUMM.";#N/A,#N/A,TRUE,"KEITH";#N/A,#N/A,TRUE,"WES"}</definedName>
    <definedName name="________________________kim1" localSheetId="10" hidden="1">{#N/A,#N/A,TRUE,"ADVANCE SUMM.";#N/A,#N/A,TRUE,"KEITH";#N/A,#N/A,TRUE,"WES"}</definedName>
    <definedName name="________________________kim1" localSheetId="0" hidden="1">{#N/A,#N/A,TRUE,"ADVANCE SUMM.";#N/A,#N/A,TRUE,"KEITH";#N/A,#N/A,TRUE,"WES"}</definedName>
    <definedName name="________________________kim1" localSheetId="9" hidden="1">{#N/A,#N/A,TRUE,"ADVANCE SUMM.";#N/A,#N/A,TRUE,"KEITH";#N/A,#N/A,TRUE,"WES"}</definedName>
    <definedName name="________________________kim1" localSheetId="11" hidden="1">{#N/A,#N/A,TRUE,"ADVANCE SUMM.";#N/A,#N/A,TRUE,"KEITH";#N/A,#N/A,TRUE,"WES"}</definedName>
    <definedName name="________________________kim1" hidden="1">{#N/A,#N/A,TRUE,"ADVANCE SUMM.";#N/A,#N/A,TRUE,"KEITH";#N/A,#N/A,TRUE,"WES"}</definedName>
    <definedName name="________________________kim10" localSheetId="7">{#N/A,#N/A,TRUE,"ADVANCE SUMM.";#N/A,#N/A,TRUE,"KEITH";#N/A,#N/A,TRUE,"WES"}</definedName>
    <definedName name="________________________kim10" localSheetId="10" hidden="1">{#N/A,#N/A,TRUE,"ADVANCE SUMM.";#N/A,#N/A,TRUE,"KEITH";#N/A,#N/A,TRUE,"WES"}</definedName>
    <definedName name="________________________kim10" localSheetId="0" hidden="1">{#N/A,#N/A,TRUE,"ADVANCE SUMM.";#N/A,#N/A,TRUE,"KEITH";#N/A,#N/A,TRUE,"WES"}</definedName>
    <definedName name="________________________kim10" localSheetId="9" hidden="1">{#N/A,#N/A,TRUE,"ADVANCE SUMM.";#N/A,#N/A,TRUE,"KEITH";#N/A,#N/A,TRUE,"WES"}</definedName>
    <definedName name="________________________kim10" localSheetId="11" hidden="1">{#N/A,#N/A,TRUE,"ADVANCE SUMM.";#N/A,#N/A,TRUE,"KEITH";#N/A,#N/A,TRUE,"WES"}</definedName>
    <definedName name="________________________kim10" hidden="1">{#N/A,#N/A,TRUE,"ADVANCE SUMM.";#N/A,#N/A,TRUE,"KEITH";#N/A,#N/A,TRUE,"WES"}</definedName>
    <definedName name="________________________kim2" localSheetId="7">{#N/A,#N/A,TRUE,"ADVANCE SUMM.";#N/A,#N/A,TRUE,"KEITH";#N/A,#N/A,TRUE,"WES"}</definedName>
    <definedName name="________________________kim2" localSheetId="10" hidden="1">{#N/A,#N/A,TRUE,"ADVANCE SUMM.";#N/A,#N/A,TRUE,"KEITH";#N/A,#N/A,TRUE,"WES"}</definedName>
    <definedName name="________________________kim2" localSheetId="0" hidden="1">{#N/A,#N/A,TRUE,"ADVANCE SUMM.";#N/A,#N/A,TRUE,"KEITH";#N/A,#N/A,TRUE,"WES"}</definedName>
    <definedName name="________________________kim2" localSheetId="9" hidden="1">{#N/A,#N/A,TRUE,"ADVANCE SUMM.";#N/A,#N/A,TRUE,"KEITH";#N/A,#N/A,TRUE,"WES"}</definedName>
    <definedName name="________________________kim2" localSheetId="11" hidden="1">{#N/A,#N/A,TRUE,"ADVANCE SUMM.";#N/A,#N/A,TRUE,"KEITH";#N/A,#N/A,TRUE,"WES"}</definedName>
    <definedName name="________________________kim2" hidden="1">{#N/A,#N/A,TRUE,"ADVANCE SUMM.";#N/A,#N/A,TRUE,"KEITH";#N/A,#N/A,TRUE,"WES"}</definedName>
    <definedName name="________________________ss1" localSheetId="7">{#N/A,#N/A,TRUE,"ADVANCE SUMM.";#N/A,#N/A,TRUE,"KEITH";#N/A,#N/A,TRUE,"WES"}</definedName>
    <definedName name="________________________ss1" localSheetId="10" hidden="1">{#N/A,#N/A,TRUE,"ADVANCE SUMM.";#N/A,#N/A,TRUE,"KEITH";#N/A,#N/A,TRUE,"WES"}</definedName>
    <definedName name="________________________ss1" localSheetId="0" hidden="1">{#N/A,#N/A,TRUE,"ADVANCE SUMM.";#N/A,#N/A,TRUE,"KEITH";#N/A,#N/A,TRUE,"WES"}</definedName>
    <definedName name="________________________ss1" localSheetId="9" hidden="1">{#N/A,#N/A,TRUE,"ADVANCE SUMM.";#N/A,#N/A,TRUE,"KEITH";#N/A,#N/A,TRUE,"WES"}</definedName>
    <definedName name="________________________ss1" localSheetId="11" hidden="1">{#N/A,#N/A,TRUE,"ADVANCE SUMM.";#N/A,#N/A,TRUE,"KEITH";#N/A,#N/A,TRUE,"WES"}</definedName>
    <definedName name="________________________ss1" hidden="1">{#N/A,#N/A,TRUE,"ADVANCE SUMM.";#N/A,#N/A,TRUE,"KEITH";#N/A,#N/A,TRUE,"WES"}</definedName>
    <definedName name="_______________________kim1" localSheetId="7">{#N/A,#N/A,TRUE,"ADVANCE SUMM.";#N/A,#N/A,TRUE,"KEITH";#N/A,#N/A,TRUE,"WES"}</definedName>
    <definedName name="_______________________kim1" localSheetId="10" hidden="1">{#N/A,#N/A,TRUE,"ADVANCE SUMM.";#N/A,#N/A,TRUE,"KEITH";#N/A,#N/A,TRUE,"WES"}</definedName>
    <definedName name="_______________________kim1" localSheetId="0" hidden="1">{#N/A,#N/A,TRUE,"ADVANCE SUMM.";#N/A,#N/A,TRUE,"KEITH";#N/A,#N/A,TRUE,"WES"}</definedName>
    <definedName name="_______________________kim1" localSheetId="9" hidden="1">{#N/A,#N/A,TRUE,"ADVANCE SUMM.";#N/A,#N/A,TRUE,"KEITH";#N/A,#N/A,TRUE,"WES"}</definedName>
    <definedName name="_______________________kim1" localSheetId="11" hidden="1">{#N/A,#N/A,TRUE,"ADVANCE SUMM.";#N/A,#N/A,TRUE,"KEITH";#N/A,#N/A,TRUE,"WES"}</definedName>
    <definedName name="_______________________kim1" hidden="1">{#N/A,#N/A,TRUE,"ADVANCE SUMM.";#N/A,#N/A,TRUE,"KEITH";#N/A,#N/A,TRUE,"WES"}</definedName>
    <definedName name="_______________________kim10" localSheetId="7">{#N/A,#N/A,TRUE,"ADVANCE SUMM.";#N/A,#N/A,TRUE,"KEITH";#N/A,#N/A,TRUE,"WES"}</definedName>
    <definedName name="_______________________kim10" localSheetId="10" hidden="1">{#N/A,#N/A,TRUE,"ADVANCE SUMM.";#N/A,#N/A,TRUE,"KEITH";#N/A,#N/A,TRUE,"WES"}</definedName>
    <definedName name="_______________________kim10" localSheetId="0" hidden="1">{#N/A,#N/A,TRUE,"ADVANCE SUMM.";#N/A,#N/A,TRUE,"KEITH";#N/A,#N/A,TRUE,"WES"}</definedName>
    <definedName name="_______________________kim10" localSheetId="9" hidden="1">{#N/A,#N/A,TRUE,"ADVANCE SUMM.";#N/A,#N/A,TRUE,"KEITH";#N/A,#N/A,TRUE,"WES"}</definedName>
    <definedName name="_______________________kim10" localSheetId="11" hidden="1">{#N/A,#N/A,TRUE,"ADVANCE SUMM.";#N/A,#N/A,TRUE,"KEITH";#N/A,#N/A,TRUE,"WES"}</definedName>
    <definedName name="_______________________kim10" hidden="1">{#N/A,#N/A,TRUE,"ADVANCE SUMM.";#N/A,#N/A,TRUE,"KEITH";#N/A,#N/A,TRUE,"WES"}</definedName>
    <definedName name="_______________________kim2" localSheetId="7">{#N/A,#N/A,TRUE,"ADVANCE SUMM.";#N/A,#N/A,TRUE,"KEITH";#N/A,#N/A,TRUE,"WES"}</definedName>
    <definedName name="_______________________kim2" localSheetId="10" hidden="1">{#N/A,#N/A,TRUE,"ADVANCE SUMM.";#N/A,#N/A,TRUE,"KEITH";#N/A,#N/A,TRUE,"WES"}</definedName>
    <definedName name="_______________________kim2" localSheetId="0" hidden="1">{#N/A,#N/A,TRUE,"ADVANCE SUMM.";#N/A,#N/A,TRUE,"KEITH";#N/A,#N/A,TRUE,"WES"}</definedName>
    <definedName name="_______________________kim2" localSheetId="9" hidden="1">{#N/A,#N/A,TRUE,"ADVANCE SUMM.";#N/A,#N/A,TRUE,"KEITH";#N/A,#N/A,TRUE,"WES"}</definedName>
    <definedName name="_______________________kim2" localSheetId="11" hidden="1">{#N/A,#N/A,TRUE,"ADVANCE SUMM.";#N/A,#N/A,TRUE,"KEITH";#N/A,#N/A,TRUE,"WES"}</definedName>
    <definedName name="_______________________kim2" hidden="1">{#N/A,#N/A,TRUE,"ADVANCE SUMM.";#N/A,#N/A,TRUE,"KEITH";#N/A,#N/A,TRUE,"WES"}</definedName>
    <definedName name="_______________________ss1" localSheetId="7">{#N/A,#N/A,TRUE,"ADVANCE SUMM.";#N/A,#N/A,TRUE,"KEITH";#N/A,#N/A,TRUE,"WES"}</definedName>
    <definedName name="_______________________ss1" localSheetId="10" hidden="1">{#N/A,#N/A,TRUE,"ADVANCE SUMM.";#N/A,#N/A,TRUE,"KEITH";#N/A,#N/A,TRUE,"WES"}</definedName>
    <definedName name="_______________________ss1" localSheetId="0" hidden="1">{#N/A,#N/A,TRUE,"ADVANCE SUMM.";#N/A,#N/A,TRUE,"KEITH";#N/A,#N/A,TRUE,"WES"}</definedName>
    <definedName name="_______________________ss1" localSheetId="9" hidden="1">{#N/A,#N/A,TRUE,"ADVANCE SUMM.";#N/A,#N/A,TRUE,"KEITH";#N/A,#N/A,TRUE,"WES"}</definedName>
    <definedName name="_______________________ss1" localSheetId="11" hidden="1">{#N/A,#N/A,TRUE,"ADVANCE SUMM.";#N/A,#N/A,TRUE,"KEITH";#N/A,#N/A,TRUE,"WES"}</definedName>
    <definedName name="_______________________ss1" hidden="1">{#N/A,#N/A,TRUE,"ADVANCE SUMM.";#N/A,#N/A,TRUE,"KEITH";#N/A,#N/A,TRUE,"WES"}</definedName>
    <definedName name="______________________kim1" localSheetId="7">{#N/A,#N/A,TRUE,"ADVANCE SUMM.";#N/A,#N/A,TRUE,"KEITH";#N/A,#N/A,TRUE,"WES"}</definedName>
    <definedName name="______________________kim1" localSheetId="10" hidden="1">{#N/A,#N/A,TRUE,"ADVANCE SUMM.";#N/A,#N/A,TRUE,"KEITH";#N/A,#N/A,TRUE,"WES"}</definedName>
    <definedName name="______________________kim1" localSheetId="0" hidden="1">{#N/A,#N/A,TRUE,"ADVANCE SUMM.";#N/A,#N/A,TRUE,"KEITH";#N/A,#N/A,TRUE,"WES"}</definedName>
    <definedName name="______________________kim1" localSheetId="9" hidden="1">{#N/A,#N/A,TRUE,"ADVANCE SUMM.";#N/A,#N/A,TRUE,"KEITH";#N/A,#N/A,TRUE,"WES"}</definedName>
    <definedName name="______________________kim1" localSheetId="11" hidden="1">{#N/A,#N/A,TRUE,"ADVANCE SUMM.";#N/A,#N/A,TRUE,"KEITH";#N/A,#N/A,TRUE,"WES"}</definedName>
    <definedName name="______________________kim1" hidden="1">{#N/A,#N/A,TRUE,"ADVANCE SUMM.";#N/A,#N/A,TRUE,"KEITH";#N/A,#N/A,TRUE,"WES"}</definedName>
    <definedName name="______________________kim10" localSheetId="7">{#N/A,#N/A,TRUE,"ADVANCE SUMM.";#N/A,#N/A,TRUE,"KEITH";#N/A,#N/A,TRUE,"WES"}</definedName>
    <definedName name="______________________kim10" localSheetId="10" hidden="1">{#N/A,#N/A,TRUE,"ADVANCE SUMM.";#N/A,#N/A,TRUE,"KEITH";#N/A,#N/A,TRUE,"WES"}</definedName>
    <definedName name="______________________kim10" localSheetId="0" hidden="1">{#N/A,#N/A,TRUE,"ADVANCE SUMM.";#N/A,#N/A,TRUE,"KEITH";#N/A,#N/A,TRUE,"WES"}</definedName>
    <definedName name="______________________kim10" localSheetId="9" hidden="1">{#N/A,#N/A,TRUE,"ADVANCE SUMM.";#N/A,#N/A,TRUE,"KEITH";#N/A,#N/A,TRUE,"WES"}</definedName>
    <definedName name="______________________kim10" localSheetId="11" hidden="1">{#N/A,#N/A,TRUE,"ADVANCE SUMM.";#N/A,#N/A,TRUE,"KEITH";#N/A,#N/A,TRUE,"WES"}</definedName>
    <definedName name="______________________kim10" hidden="1">{#N/A,#N/A,TRUE,"ADVANCE SUMM.";#N/A,#N/A,TRUE,"KEITH";#N/A,#N/A,TRUE,"WES"}</definedName>
    <definedName name="______________________kim2" localSheetId="7">{#N/A,#N/A,TRUE,"ADVANCE SUMM.";#N/A,#N/A,TRUE,"KEITH";#N/A,#N/A,TRUE,"WES"}</definedName>
    <definedName name="______________________kim2" localSheetId="10" hidden="1">{#N/A,#N/A,TRUE,"ADVANCE SUMM.";#N/A,#N/A,TRUE,"KEITH";#N/A,#N/A,TRUE,"WES"}</definedName>
    <definedName name="______________________kim2" localSheetId="0" hidden="1">{#N/A,#N/A,TRUE,"ADVANCE SUMM.";#N/A,#N/A,TRUE,"KEITH";#N/A,#N/A,TRUE,"WES"}</definedName>
    <definedName name="______________________kim2" localSheetId="9" hidden="1">{#N/A,#N/A,TRUE,"ADVANCE SUMM.";#N/A,#N/A,TRUE,"KEITH";#N/A,#N/A,TRUE,"WES"}</definedName>
    <definedName name="______________________kim2" localSheetId="11" hidden="1">{#N/A,#N/A,TRUE,"ADVANCE SUMM.";#N/A,#N/A,TRUE,"KEITH";#N/A,#N/A,TRUE,"WES"}</definedName>
    <definedName name="______________________kim2" hidden="1">{#N/A,#N/A,TRUE,"ADVANCE SUMM.";#N/A,#N/A,TRUE,"KEITH";#N/A,#N/A,TRUE,"WES"}</definedName>
    <definedName name="______________________ss1" localSheetId="7">{#N/A,#N/A,TRUE,"ADVANCE SUMM.";#N/A,#N/A,TRUE,"KEITH";#N/A,#N/A,TRUE,"WES"}</definedName>
    <definedName name="______________________ss1" localSheetId="10" hidden="1">{#N/A,#N/A,TRUE,"ADVANCE SUMM.";#N/A,#N/A,TRUE,"KEITH";#N/A,#N/A,TRUE,"WES"}</definedName>
    <definedName name="______________________ss1" localSheetId="0" hidden="1">{#N/A,#N/A,TRUE,"ADVANCE SUMM.";#N/A,#N/A,TRUE,"KEITH";#N/A,#N/A,TRUE,"WES"}</definedName>
    <definedName name="______________________ss1" localSheetId="9" hidden="1">{#N/A,#N/A,TRUE,"ADVANCE SUMM.";#N/A,#N/A,TRUE,"KEITH";#N/A,#N/A,TRUE,"WES"}</definedName>
    <definedName name="______________________ss1" localSheetId="11" hidden="1">{#N/A,#N/A,TRUE,"ADVANCE SUMM.";#N/A,#N/A,TRUE,"KEITH";#N/A,#N/A,TRUE,"WES"}</definedName>
    <definedName name="______________________ss1" hidden="1">{#N/A,#N/A,TRUE,"ADVANCE SUMM.";#N/A,#N/A,TRUE,"KEITH";#N/A,#N/A,TRUE,"WES"}</definedName>
    <definedName name="_____________________kim1" localSheetId="7">{#N/A,#N/A,TRUE,"ADVANCE SUMM.";#N/A,#N/A,TRUE,"KEITH";#N/A,#N/A,TRUE,"WES"}</definedName>
    <definedName name="_____________________kim1" localSheetId="10" hidden="1">{#N/A,#N/A,TRUE,"ADVANCE SUMM.";#N/A,#N/A,TRUE,"KEITH";#N/A,#N/A,TRUE,"WES"}</definedName>
    <definedName name="_____________________kim1" localSheetId="0" hidden="1">{#N/A,#N/A,TRUE,"ADVANCE SUMM.";#N/A,#N/A,TRUE,"KEITH";#N/A,#N/A,TRUE,"WES"}</definedName>
    <definedName name="_____________________kim1" localSheetId="9" hidden="1">{#N/A,#N/A,TRUE,"ADVANCE SUMM.";#N/A,#N/A,TRUE,"KEITH";#N/A,#N/A,TRUE,"WES"}</definedName>
    <definedName name="_____________________kim1" localSheetId="11" hidden="1">{#N/A,#N/A,TRUE,"ADVANCE SUMM.";#N/A,#N/A,TRUE,"KEITH";#N/A,#N/A,TRUE,"WES"}</definedName>
    <definedName name="_____________________kim1" hidden="1">{#N/A,#N/A,TRUE,"ADVANCE SUMM.";#N/A,#N/A,TRUE,"KEITH";#N/A,#N/A,TRUE,"WES"}</definedName>
    <definedName name="_____________________kim10" localSheetId="7">{#N/A,#N/A,TRUE,"ADVANCE SUMM.";#N/A,#N/A,TRUE,"KEITH";#N/A,#N/A,TRUE,"WES"}</definedName>
    <definedName name="_____________________kim10" localSheetId="10" hidden="1">{#N/A,#N/A,TRUE,"ADVANCE SUMM.";#N/A,#N/A,TRUE,"KEITH";#N/A,#N/A,TRUE,"WES"}</definedName>
    <definedName name="_____________________kim10" localSheetId="0" hidden="1">{#N/A,#N/A,TRUE,"ADVANCE SUMM.";#N/A,#N/A,TRUE,"KEITH";#N/A,#N/A,TRUE,"WES"}</definedName>
    <definedName name="_____________________kim10" localSheetId="9" hidden="1">{#N/A,#N/A,TRUE,"ADVANCE SUMM.";#N/A,#N/A,TRUE,"KEITH";#N/A,#N/A,TRUE,"WES"}</definedName>
    <definedName name="_____________________kim10" localSheetId="11" hidden="1">{#N/A,#N/A,TRUE,"ADVANCE SUMM.";#N/A,#N/A,TRUE,"KEITH";#N/A,#N/A,TRUE,"WES"}</definedName>
    <definedName name="_____________________kim10" hidden="1">{#N/A,#N/A,TRUE,"ADVANCE SUMM.";#N/A,#N/A,TRUE,"KEITH";#N/A,#N/A,TRUE,"WES"}</definedName>
    <definedName name="_____________________kim2" localSheetId="7">{#N/A,#N/A,TRUE,"ADVANCE SUMM.";#N/A,#N/A,TRUE,"KEITH";#N/A,#N/A,TRUE,"WES"}</definedName>
    <definedName name="_____________________kim2" localSheetId="10" hidden="1">{#N/A,#N/A,TRUE,"ADVANCE SUMM.";#N/A,#N/A,TRUE,"KEITH";#N/A,#N/A,TRUE,"WES"}</definedName>
    <definedName name="_____________________kim2" localSheetId="0" hidden="1">{#N/A,#N/A,TRUE,"ADVANCE SUMM.";#N/A,#N/A,TRUE,"KEITH";#N/A,#N/A,TRUE,"WES"}</definedName>
    <definedName name="_____________________kim2" localSheetId="9" hidden="1">{#N/A,#N/A,TRUE,"ADVANCE SUMM.";#N/A,#N/A,TRUE,"KEITH";#N/A,#N/A,TRUE,"WES"}</definedName>
    <definedName name="_____________________kim2" localSheetId="11" hidden="1">{#N/A,#N/A,TRUE,"ADVANCE SUMM.";#N/A,#N/A,TRUE,"KEITH";#N/A,#N/A,TRUE,"WES"}</definedName>
    <definedName name="_____________________kim2" hidden="1">{#N/A,#N/A,TRUE,"ADVANCE SUMM.";#N/A,#N/A,TRUE,"KEITH";#N/A,#N/A,TRUE,"WES"}</definedName>
    <definedName name="_____________________ss1" localSheetId="7">{#N/A,#N/A,TRUE,"ADVANCE SUMM.";#N/A,#N/A,TRUE,"KEITH";#N/A,#N/A,TRUE,"WES"}</definedName>
    <definedName name="_____________________ss1" localSheetId="10" hidden="1">{#N/A,#N/A,TRUE,"ADVANCE SUMM.";#N/A,#N/A,TRUE,"KEITH";#N/A,#N/A,TRUE,"WES"}</definedName>
    <definedName name="_____________________ss1" localSheetId="0" hidden="1">{#N/A,#N/A,TRUE,"ADVANCE SUMM.";#N/A,#N/A,TRUE,"KEITH";#N/A,#N/A,TRUE,"WES"}</definedName>
    <definedName name="_____________________ss1" localSheetId="9" hidden="1">{#N/A,#N/A,TRUE,"ADVANCE SUMM.";#N/A,#N/A,TRUE,"KEITH";#N/A,#N/A,TRUE,"WES"}</definedName>
    <definedName name="_____________________ss1" localSheetId="11" hidden="1">{#N/A,#N/A,TRUE,"ADVANCE SUMM.";#N/A,#N/A,TRUE,"KEITH";#N/A,#N/A,TRUE,"WES"}</definedName>
    <definedName name="_____________________ss1" hidden="1">{#N/A,#N/A,TRUE,"ADVANCE SUMM.";#N/A,#N/A,TRUE,"KEITH";#N/A,#N/A,TRUE,"WES"}</definedName>
    <definedName name="____________________kim1" localSheetId="7">{#N/A,#N/A,TRUE,"ADVANCE SUMM.";#N/A,#N/A,TRUE,"KEITH";#N/A,#N/A,TRUE,"WES"}</definedName>
    <definedName name="____________________kim1" localSheetId="10" hidden="1">{#N/A,#N/A,TRUE,"ADVANCE SUMM.";#N/A,#N/A,TRUE,"KEITH";#N/A,#N/A,TRUE,"WES"}</definedName>
    <definedName name="____________________kim1" localSheetId="0" hidden="1">{#N/A,#N/A,TRUE,"ADVANCE SUMM.";#N/A,#N/A,TRUE,"KEITH";#N/A,#N/A,TRUE,"WES"}</definedName>
    <definedName name="____________________kim1" localSheetId="9" hidden="1">{#N/A,#N/A,TRUE,"ADVANCE SUMM.";#N/A,#N/A,TRUE,"KEITH";#N/A,#N/A,TRUE,"WES"}</definedName>
    <definedName name="____________________kim1" localSheetId="11" hidden="1">{#N/A,#N/A,TRUE,"ADVANCE SUMM.";#N/A,#N/A,TRUE,"KEITH";#N/A,#N/A,TRUE,"WES"}</definedName>
    <definedName name="____________________kim1" hidden="1">{#N/A,#N/A,TRUE,"ADVANCE SUMM.";#N/A,#N/A,TRUE,"KEITH";#N/A,#N/A,TRUE,"WES"}</definedName>
    <definedName name="____________________kim10" localSheetId="7">{#N/A,#N/A,TRUE,"ADVANCE SUMM.";#N/A,#N/A,TRUE,"KEITH";#N/A,#N/A,TRUE,"WES"}</definedName>
    <definedName name="____________________kim10" localSheetId="10" hidden="1">{#N/A,#N/A,TRUE,"ADVANCE SUMM.";#N/A,#N/A,TRUE,"KEITH";#N/A,#N/A,TRUE,"WES"}</definedName>
    <definedName name="____________________kim10" localSheetId="0" hidden="1">{#N/A,#N/A,TRUE,"ADVANCE SUMM.";#N/A,#N/A,TRUE,"KEITH";#N/A,#N/A,TRUE,"WES"}</definedName>
    <definedName name="____________________kim10" localSheetId="9" hidden="1">{#N/A,#N/A,TRUE,"ADVANCE SUMM.";#N/A,#N/A,TRUE,"KEITH";#N/A,#N/A,TRUE,"WES"}</definedName>
    <definedName name="____________________kim10" localSheetId="11" hidden="1">{#N/A,#N/A,TRUE,"ADVANCE SUMM.";#N/A,#N/A,TRUE,"KEITH";#N/A,#N/A,TRUE,"WES"}</definedName>
    <definedName name="____________________kim10" hidden="1">{#N/A,#N/A,TRUE,"ADVANCE SUMM.";#N/A,#N/A,TRUE,"KEITH";#N/A,#N/A,TRUE,"WES"}</definedName>
    <definedName name="____________________kim2" localSheetId="7">{#N/A,#N/A,TRUE,"ADVANCE SUMM.";#N/A,#N/A,TRUE,"KEITH";#N/A,#N/A,TRUE,"WES"}</definedName>
    <definedName name="____________________kim2" localSheetId="10" hidden="1">{#N/A,#N/A,TRUE,"ADVANCE SUMM.";#N/A,#N/A,TRUE,"KEITH";#N/A,#N/A,TRUE,"WES"}</definedName>
    <definedName name="____________________kim2" localSheetId="0" hidden="1">{#N/A,#N/A,TRUE,"ADVANCE SUMM.";#N/A,#N/A,TRUE,"KEITH";#N/A,#N/A,TRUE,"WES"}</definedName>
    <definedName name="____________________kim2" localSheetId="9" hidden="1">{#N/A,#N/A,TRUE,"ADVANCE SUMM.";#N/A,#N/A,TRUE,"KEITH";#N/A,#N/A,TRUE,"WES"}</definedName>
    <definedName name="____________________kim2" localSheetId="11" hidden="1">{#N/A,#N/A,TRUE,"ADVANCE SUMM.";#N/A,#N/A,TRUE,"KEITH";#N/A,#N/A,TRUE,"WES"}</definedName>
    <definedName name="____________________kim2" hidden="1">{#N/A,#N/A,TRUE,"ADVANCE SUMM.";#N/A,#N/A,TRUE,"KEITH";#N/A,#N/A,TRUE,"WES"}</definedName>
    <definedName name="____________________ss1" localSheetId="7">{#N/A,#N/A,TRUE,"ADVANCE SUMM.";#N/A,#N/A,TRUE,"KEITH";#N/A,#N/A,TRUE,"WES"}</definedName>
    <definedName name="____________________ss1" localSheetId="10" hidden="1">{#N/A,#N/A,TRUE,"ADVANCE SUMM.";#N/A,#N/A,TRUE,"KEITH";#N/A,#N/A,TRUE,"WES"}</definedName>
    <definedName name="____________________ss1" localSheetId="0" hidden="1">{#N/A,#N/A,TRUE,"ADVANCE SUMM.";#N/A,#N/A,TRUE,"KEITH";#N/A,#N/A,TRUE,"WES"}</definedName>
    <definedName name="____________________ss1" localSheetId="9" hidden="1">{#N/A,#N/A,TRUE,"ADVANCE SUMM.";#N/A,#N/A,TRUE,"KEITH";#N/A,#N/A,TRUE,"WES"}</definedName>
    <definedName name="____________________ss1" localSheetId="11" hidden="1">{#N/A,#N/A,TRUE,"ADVANCE SUMM.";#N/A,#N/A,TRUE,"KEITH";#N/A,#N/A,TRUE,"WES"}</definedName>
    <definedName name="____________________ss1" hidden="1">{#N/A,#N/A,TRUE,"ADVANCE SUMM.";#N/A,#N/A,TRUE,"KEITH";#N/A,#N/A,TRUE,"WES"}</definedName>
    <definedName name="___________________kim1" localSheetId="7">{#N/A,#N/A,TRUE,"ADVANCE SUMM.";#N/A,#N/A,TRUE,"KEITH";#N/A,#N/A,TRUE,"WES"}</definedName>
    <definedName name="___________________kim1" localSheetId="10" hidden="1">{#N/A,#N/A,TRUE,"ADVANCE SUMM.";#N/A,#N/A,TRUE,"KEITH";#N/A,#N/A,TRUE,"WES"}</definedName>
    <definedName name="___________________kim1" localSheetId="0" hidden="1">{#N/A,#N/A,TRUE,"ADVANCE SUMM.";#N/A,#N/A,TRUE,"KEITH";#N/A,#N/A,TRUE,"WES"}</definedName>
    <definedName name="___________________kim1" localSheetId="9" hidden="1">{#N/A,#N/A,TRUE,"ADVANCE SUMM.";#N/A,#N/A,TRUE,"KEITH";#N/A,#N/A,TRUE,"WES"}</definedName>
    <definedName name="___________________kim1" localSheetId="11" hidden="1">{#N/A,#N/A,TRUE,"ADVANCE SUMM.";#N/A,#N/A,TRUE,"KEITH";#N/A,#N/A,TRUE,"WES"}</definedName>
    <definedName name="___________________kim1" hidden="1">{#N/A,#N/A,TRUE,"ADVANCE SUMM.";#N/A,#N/A,TRUE,"KEITH";#N/A,#N/A,TRUE,"WES"}</definedName>
    <definedName name="___________________kim10" localSheetId="7">{#N/A,#N/A,TRUE,"ADVANCE SUMM.";#N/A,#N/A,TRUE,"KEITH";#N/A,#N/A,TRUE,"WES"}</definedName>
    <definedName name="___________________kim10" localSheetId="10" hidden="1">{#N/A,#N/A,TRUE,"ADVANCE SUMM.";#N/A,#N/A,TRUE,"KEITH";#N/A,#N/A,TRUE,"WES"}</definedName>
    <definedName name="___________________kim10" localSheetId="0" hidden="1">{#N/A,#N/A,TRUE,"ADVANCE SUMM.";#N/A,#N/A,TRUE,"KEITH";#N/A,#N/A,TRUE,"WES"}</definedName>
    <definedName name="___________________kim10" localSheetId="9" hidden="1">{#N/A,#N/A,TRUE,"ADVANCE SUMM.";#N/A,#N/A,TRUE,"KEITH";#N/A,#N/A,TRUE,"WES"}</definedName>
    <definedName name="___________________kim10" localSheetId="11" hidden="1">{#N/A,#N/A,TRUE,"ADVANCE SUMM.";#N/A,#N/A,TRUE,"KEITH";#N/A,#N/A,TRUE,"WES"}</definedName>
    <definedName name="___________________kim10" hidden="1">{#N/A,#N/A,TRUE,"ADVANCE SUMM.";#N/A,#N/A,TRUE,"KEITH";#N/A,#N/A,TRUE,"WES"}</definedName>
    <definedName name="___________________kim2" localSheetId="7">{#N/A,#N/A,TRUE,"ADVANCE SUMM.";#N/A,#N/A,TRUE,"KEITH";#N/A,#N/A,TRUE,"WES"}</definedName>
    <definedName name="___________________kim2" localSheetId="10" hidden="1">{#N/A,#N/A,TRUE,"ADVANCE SUMM.";#N/A,#N/A,TRUE,"KEITH";#N/A,#N/A,TRUE,"WES"}</definedName>
    <definedName name="___________________kim2" localSheetId="0" hidden="1">{#N/A,#N/A,TRUE,"ADVANCE SUMM.";#N/A,#N/A,TRUE,"KEITH";#N/A,#N/A,TRUE,"WES"}</definedName>
    <definedName name="___________________kim2" localSheetId="9" hidden="1">{#N/A,#N/A,TRUE,"ADVANCE SUMM.";#N/A,#N/A,TRUE,"KEITH";#N/A,#N/A,TRUE,"WES"}</definedName>
    <definedName name="___________________kim2" localSheetId="11" hidden="1">{#N/A,#N/A,TRUE,"ADVANCE SUMM.";#N/A,#N/A,TRUE,"KEITH";#N/A,#N/A,TRUE,"WES"}</definedName>
    <definedName name="___________________kim2" hidden="1">{#N/A,#N/A,TRUE,"ADVANCE SUMM.";#N/A,#N/A,TRUE,"KEITH";#N/A,#N/A,TRUE,"WES"}</definedName>
    <definedName name="___________________ss1" localSheetId="7">{#N/A,#N/A,TRUE,"ADVANCE SUMM.";#N/A,#N/A,TRUE,"KEITH";#N/A,#N/A,TRUE,"WES"}</definedName>
    <definedName name="___________________ss1" localSheetId="10" hidden="1">{#N/A,#N/A,TRUE,"ADVANCE SUMM.";#N/A,#N/A,TRUE,"KEITH";#N/A,#N/A,TRUE,"WES"}</definedName>
    <definedName name="___________________ss1" localSheetId="0" hidden="1">{#N/A,#N/A,TRUE,"ADVANCE SUMM.";#N/A,#N/A,TRUE,"KEITH";#N/A,#N/A,TRUE,"WES"}</definedName>
    <definedName name="___________________ss1" localSheetId="9" hidden="1">{#N/A,#N/A,TRUE,"ADVANCE SUMM.";#N/A,#N/A,TRUE,"KEITH";#N/A,#N/A,TRUE,"WES"}</definedName>
    <definedName name="___________________ss1" localSheetId="11" hidden="1">{#N/A,#N/A,TRUE,"ADVANCE SUMM.";#N/A,#N/A,TRUE,"KEITH";#N/A,#N/A,TRUE,"WES"}</definedName>
    <definedName name="___________________ss1" hidden="1">{#N/A,#N/A,TRUE,"ADVANCE SUMM.";#N/A,#N/A,TRUE,"KEITH";#N/A,#N/A,TRUE,"WES"}</definedName>
    <definedName name="__________________kim1" localSheetId="7">{#N/A,#N/A,TRUE,"ADVANCE SUMM.";#N/A,#N/A,TRUE,"KEITH";#N/A,#N/A,TRUE,"WES"}</definedName>
    <definedName name="__________________kim1" localSheetId="10" hidden="1">{#N/A,#N/A,TRUE,"ADVANCE SUMM.";#N/A,#N/A,TRUE,"KEITH";#N/A,#N/A,TRUE,"WES"}</definedName>
    <definedName name="__________________kim1" localSheetId="0" hidden="1">{#N/A,#N/A,TRUE,"ADVANCE SUMM.";#N/A,#N/A,TRUE,"KEITH";#N/A,#N/A,TRUE,"WES"}</definedName>
    <definedName name="__________________kim1" localSheetId="9" hidden="1">{#N/A,#N/A,TRUE,"ADVANCE SUMM.";#N/A,#N/A,TRUE,"KEITH";#N/A,#N/A,TRUE,"WES"}</definedName>
    <definedName name="__________________kim1" localSheetId="11" hidden="1">{#N/A,#N/A,TRUE,"ADVANCE SUMM.";#N/A,#N/A,TRUE,"KEITH";#N/A,#N/A,TRUE,"WES"}</definedName>
    <definedName name="__________________kim1" hidden="1">{#N/A,#N/A,TRUE,"ADVANCE SUMM.";#N/A,#N/A,TRUE,"KEITH";#N/A,#N/A,TRUE,"WES"}</definedName>
    <definedName name="__________________kim10" localSheetId="7">{#N/A,#N/A,TRUE,"ADVANCE SUMM.";#N/A,#N/A,TRUE,"KEITH";#N/A,#N/A,TRUE,"WES"}</definedName>
    <definedName name="__________________kim10" localSheetId="10" hidden="1">{#N/A,#N/A,TRUE,"ADVANCE SUMM.";#N/A,#N/A,TRUE,"KEITH";#N/A,#N/A,TRUE,"WES"}</definedName>
    <definedName name="__________________kim10" localSheetId="0" hidden="1">{#N/A,#N/A,TRUE,"ADVANCE SUMM.";#N/A,#N/A,TRUE,"KEITH";#N/A,#N/A,TRUE,"WES"}</definedName>
    <definedName name="__________________kim10" localSheetId="9" hidden="1">{#N/A,#N/A,TRUE,"ADVANCE SUMM.";#N/A,#N/A,TRUE,"KEITH";#N/A,#N/A,TRUE,"WES"}</definedName>
    <definedName name="__________________kim10" localSheetId="11" hidden="1">{#N/A,#N/A,TRUE,"ADVANCE SUMM.";#N/A,#N/A,TRUE,"KEITH";#N/A,#N/A,TRUE,"WES"}</definedName>
    <definedName name="__________________kim10" hidden="1">{#N/A,#N/A,TRUE,"ADVANCE SUMM.";#N/A,#N/A,TRUE,"KEITH";#N/A,#N/A,TRUE,"WES"}</definedName>
    <definedName name="__________________kim2" localSheetId="7">{#N/A,#N/A,TRUE,"ADVANCE SUMM.";#N/A,#N/A,TRUE,"KEITH";#N/A,#N/A,TRUE,"WES"}</definedName>
    <definedName name="__________________kim2" localSheetId="10" hidden="1">{#N/A,#N/A,TRUE,"ADVANCE SUMM.";#N/A,#N/A,TRUE,"KEITH";#N/A,#N/A,TRUE,"WES"}</definedName>
    <definedName name="__________________kim2" localSheetId="0" hidden="1">{#N/A,#N/A,TRUE,"ADVANCE SUMM.";#N/A,#N/A,TRUE,"KEITH";#N/A,#N/A,TRUE,"WES"}</definedName>
    <definedName name="__________________kim2" localSheetId="9" hidden="1">{#N/A,#N/A,TRUE,"ADVANCE SUMM.";#N/A,#N/A,TRUE,"KEITH";#N/A,#N/A,TRUE,"WES"}</definedName>
    <definedName name="__________________kim2" localSheetId="11" hidden="1">{#N/A,#N/A,TRUE,"ADVANCE SUMM.";#N/A,#N/A,TRUE,"KEITH";#N/A,#N/A,TRUE,"WES"}</definedName>
    <definedName name="__________________kim2" hidden="1">{#N/A,#N/A,TRUE,"ADVANCE SUMM.";#N/A,#N/A,TRUE,"KEITH";#N/A,#N/A,TRUE,"WES"}</definedName>
    <definedName name="__________________ss1" localSheetId="7">{#N/A,#N/A,TRUE,"ADVANCE SUMM.";#N/A,#N/A,TRUE,"KEITH";#N/A,#N/A,TRUE,"WES"}</definedName>
    <definedName name="__________________ss1" localSheetId="10" hidden="1">{#N/A,#N/A,TRUE,"ADVANCE SUMM.";#N/A,#N/A,TRUE,"KEITH";#N/A,#N/A,TRUE,"WES"}</definedName>
    <definedName name="__________________ss1" localSheetId="0" hidden="1">{#N/A,#N/A,TRUE,"ADVANCE SUMM.";#N/A,#N/A,TRUE,"KEITH";#N/A,#N/A,TRUE,"WES"}</definedName>
    <definedName name="__________________ss1" localSheetId="9" hidden="1">{#N/A,#N/A,TRUE,"ADVANCE SUMM.";#N/A,#N/A,TRUE,"KEITH";#N/A,#N/A,TRUE,"WES"}</definedName>
    <definedName name="__________________ss1" localSheetId="11" hidden="1">{#N/A,#N/A,TRUE,"ADVANCE SUMM.";#N/A,#N/A,TRUE,"KEITH";#N/A,#N/A,TRUE,"WES"}</definedName>
    <definedName name="__________________ss1" hidden="1">{#N/A,#N/A,TRUE,"ADVANCE SUMM.";#N/A,#N/A,TRUE,"KEITH";#N/A,#N/A,TRUE,"WES"}</definedName>
    <definedName name="_________________kim1" localSheetId="7">{#N/A,#N/A,TRUE,"ADVANCE SUMM.";#N/A,#N/A,TRUE,"KEITH";#N/A,#N/A,TRUE,"WES"}</definedName>
    <definedName name="_________________kim1" localSheetId="10" hidden="1">{#N/A,#N/A,TRUE,"ADVANCE SUMM.";#N/A,#N/A,TRUE,"KEITH";#N/A,#N/A,TRUE,"WES"}</definedName>
    <definedName name="_________________kim1" localSheetId="0" hidden="1">{#N/A,#N/A,TRUE,"ADVANCE SUMM.";#N/A,#N/A,TRUE,"KEITH";#N/A,#N/A,TRUE,"WES"}</definedName>
    <definedName name="_________________kim1" localSheetId="9" hidden="1">{#N/A,#N/A,TRUE,"ADVANCE SUMM.";#N/A,#N/A,TRUE,"KEITH";#N/A,#N/A,TRUE,"WES"}</definedName>
    <definedName name="_________________kim1" localSheetId="11" hidden="1">{#N/A,#N/A,TRUE,"ADVANCE SUMM.";#N/A,#N/A,TRUE,"KEITH";#N/A,#N/A,TRUE,"WES"}</definedName>
    <definedName name="_________________kim1" hidden="1">{#N/A,#N/A,TRUE,"ADVANCE SUMM.";#N/A,#N/A,TRUE,"KEITH";#N/A,#N/A,TRUE,"WES"}</definedName>
    <definedName name="_________________kim10" localSheetId="7">{#N/A,#N/A,TRUE,"ADVANCE SUMM.";#N/A,#N/A,TRUE,"KEITH";#N/A,#N/A,TRUE,"WES"}</definedName>
    <definedName name="_________________kim10" localSheetId="10" hidden="1">{#N/A,#N/A,TRUE,"ADVANCE SUMM.";#N/A,#N/A,TRUE,"KEITH";#N/A,#N/A,TRUE,"WES"}</definedName>
    <definedName name="_________________kim10" localSheetId="0" hidden="1">{#N/A,#N/A,TRUE,"ADVANCE SUMM.";#N/A,#N/A,TRUE,"KEITH";#N/A,#N/A,TRUE,"WES"}</definedName>
    <definedName name="_________________kim10" localSheetId="9" hidden="1">{#N/A,#N/A,TRUE,"ADVANCE SUMM.";#N/A,#N/A,TRUE,"KEITH";#N/A,#N/A,TRUE,"WES"}</definedName>
    <definedName name="_________________kim10" localSheetId="11" hidden="1">{#N/A,#N/A,TRUE,"ADVANCE SUMM.";#N/A,#N/A,TRUE,"KEITH";#N/A,#N/A,TRUE,"WES"}</definedName>
    <definedName name="_________________kim10" hidden="1">{#N/A,#N/A,TRUE,"ADVANCE SUMM.";#N/A,#N/A,TRUE,"KEITH";#N/A,#N/A,TRUE,"WES"}</definedName>
    <definedName name="_________________kim2" localSheetId="7">{#N/A,#N/A,TRUE,"ADVANCE SUMM.";#N/A,#N/A,TRUE,"KEITH";#N/A,#N/A,TRUE,"WES"}</definedName>
    <definedName name="_________________kim2" localSheetId="10" hidden="1">{#N/A,#N/A,TRUE,"ADVANCE SUMM.";#N/A,#N/A,TRUE,"KEITH";#N/A,#N/A,TRUE,"WES"}</definedName>
    <definedName name="_________________kim2" localSheetId="0" hidden="1">{#N/A,#N/A,TRUE,"ADVANCE SUMM.";#N/A,#N/A,TRUE,"KEITH";#N/A,#N/A,TRUE,"WES"}</definedName>
    <definedName name="_________________kim2" localSheetId="9" hidden="1">{#N/A,#N/A,TRUE,"ADVANCE SUMM.";#N/A,#N/A,TRUE,"KEITH";#N/A,#N/A,TRUE,"WES"}</definedName>
    <definedName name="_________________kim2" localSheetId="11" hidden="1">{#N/A,#N/A,TRUE,"ADVANCE SUMM.";#N/A,#N/A,TRUE,"KEITH";#N/A,#N/A,TRUE,"WES"}</definedName>
    <definedName name="_________________kim2" hidden="1">{#N/A,#N/A,TRUE,"ADVANCE SUMM.";#N/A,#N/A,TRUE,"KEITH";#N/A,#N/A,TRUE,"WES"}</definedName>
    <definedName name="_________________ss1" localSheetId="7">{#N/A,#N/A,TRUE,"ADVANCE SUMM.";#N/A,#N/A,TRUE,"KEITH";#N/A,#N/A,TRUE,"WES"}</definedName>
    <definedName name="_________________ss1" localSheetId="10" hidden="1">{#N/A,#N/A,TRUE,"ADVANCE SUMM.";#N/A,#N/A,TRUE,"KEITH";#N/A,#N/A,TRUE,"WES"}</definedName>
    <definedName name="_________________ss1" localSheetId="0" hidden="1">{#N/A,#N/A,TRUE,"ADVANCE SUMM.";#N/A,#N/A,TRUE,"KEITH";#N/A,#N/A,TRUE,"WES"}</definedName>
    <definedName name="_________________ss1" localSheetId="9" hidden="1">{#N/A,#N/A,TRUE,"ADVANCE SUMM.";#N/A,#N/A,TRUE,"KEITH";#N/A,#N/A,TRUE,"WES"}</definedName>
    <definedName name="_________________ss1" localSheetId="11" hidden="1">{#N/A,#N/A,TRUE,"ADVANCE SUMM.";#N/A,#N/A,TRUE,"KEITH";#N/A,#N/A,TRUE,"WES"}</definedName>
    <definedName name="_________________ss1" hidden="1">{#N/A,#N/A,TRUE,"ADVANCE SUMM.";#N/A,#N/A,TRUE,"KEITH";#N/A,#N/A,TRUE,"WES"}</definedName>
    <definedName name="________________kim1" localSheetId="7">{#N/A,#N/A,TRUE,"ADVANCE SUMM.";#N/A,#N/A,TRUE,"KEITH";#N/A,#N/A,TRUE,"WES"}</definedName>
    <definedName name="________________kim1" localSheetId="10" hidden="1">{#N/A,#N/A,TRUE,"ADVANCE SUMM.";#N/A,#N/A,TRUE,"KEITH";#N/A,#N/A,TRUE,"WES"}</definedName>
    <definedName name="________________kim1" localSheetId="0" hidden="1">{#N/A,#N/A,TRUE,"ADVANCE SUMM.";#N/A,#N/A,TRUE,"KEITH";#N/A,#N/A,TRUE,"WES"}</definedName>
    <definedName name="________________kim1" localSheetId="9" hidden="1">{#N/A,#N/A,TRUE,"ADVANCE SUMM.";#N/A,#N/A,TRUE,"KEITH";#N/A,#N/A,TRUE,"WES"}</definedName>
    <definedName name="________________kim1" localSheetId="11" hidden="1">{#N/A,#N/A,TRUE,"ADVANCE SUMM.";#N/A,#N/A,TRUE,"KEITH";#N/A,#N/A,TRUE,"WES"}</definedName>
    <definedName name="________________kim1" hidden="1">{#N/A,#N/A,TRUE,"ADVANCE SUMM.";#N/A,#N/A,TRUE,"KEITH";#N/A,#N/A,TRUE,"WES"}</definedName>
    <definedName name="________________kim10" localSheetId="7">{#N/A,#N/A,TRUE,"ADVANCE SUMM.";#N/A,#N/A,TRUE,"KEITH";#N/A,#N/A,TRUE,"WES"}</definedName>
    <definedName name="________________kim10" localSheetId="10" hidden="1">{#N/A,#N/A,TRUE,"ADVANCE SUMM.";#N/A,#N/A,TRUE,"KEITH";#N/A,#N/A,TRUE,"WES"}</definedName>
    <definedName name="________________kim10" localSheetId="0" hidden="1">{#N/A,#N/A,TRUE,"ADVANCE SUMM.";#N/A,#N/A,TRUE,"KEITH";#N/A,#N/A,TRUE,"WES"}</definedName>
    <definedName name="________________kim10" localSheetId="9" hidden="1">{#N/A,#N/A,TRUE,"ADVANCE SUMM.";#N/A,#N/A,TRUE,"KEITH";#N/A,#N/A,TRUE,"WES"}</definedName>
    <definedName name="________________kim10" localSheetId="11" hidden="1">{#N/A,#N/A,TRUE,"ADVANCE SUMM.";#N/A,#N/A,TRUE,"KEITH";#N/A,#N/A,TRUE,"WES"}</definedName>
    <definedName name="________________kim10" hidden="1">{#N/A,#N/A,TRUE,"ADVANCE SUMM.";#N/A,#N/A,TRUE,"KEITH";#N/A,#N/A,TRUE,"WES"}</definedName>
    <definedName name="________________kim2" localSheetId="7">{#N/A,#N/A,TRUE,"ADVANCE SUMM.";#N/A,#N/A,TRUE,"KEITH";#N/A,#N/A,TRUE,"WES"}</definedName>
    <definedName name="________________kim2" localSheetId="10" hidden="1">{#N/A,#N/A,TRUE,"ADVANCE SUMM.";#N/A,#N/A,TRUE,"KEITH";#N/A,#N/A,TRUE,"WES"}</definedName>
    <definedName name="________________kim2" localSheetId="0" hidden="1">{#N/A,#N/A,TRUE,"ADVANCE SUMM.";#N/A,#N/A,TRUE,"KEITH";#N/A,#N/A,TRUE,"WES"}</definedName>
    <definedName name="________________kim2" localSheetId="9" hidden="1">{#N/A,#N/A,TRUE,"ADVANCE SUMM.";#N/A,#N/A,TRUE,"KEITH";#N/A,#N/A,TRUE,"WES"}</definedName>
    <definedName name="________________kim2" localSheetId="11" hidden="1">{#N/A,#N/A,TRUE,"ADVANCE SUMM.";#N/A,#N/A,TRUE,"KEITH";#N/A,#N/A,TRUE,"WES"}</definedName>
    <definedName name="________________kim2" hidden="1">{#N/A,#N/A,TRUE,"ADVANCE SUMM.";#N/A,#N/A,TRUE,"KEITH";#N/A,#N/A,TRUE,"WES"}</definedName>
    <definedName name="________________ss1" localSheetId="7">{#N/A,#N/A,TRUE,"ADVANCE SUMM.";#N/A,#N/A,TRUE,"KEITH";#N/A,#N/A,TRUE,"WES"}</definedName>
    <definedName name="________________ss1" localSheetId="10" hidden="1">{#N/A,#N/A,TRUE,"ADVANCE SUMM.";#N/A,#N/A,TRUE,"KEITH";#N/A,#N/A,TRUE,"WES"}</definedName>
    <definedName name="________________ss1" localSheetId="0" hidden="1">{#N/A,#N/A,TRUE,"ADVANCE SUMM.";#N/A,#N/A,TRUE,"KEITH";#N/A,#N/A,TRUE,"WES"}</definedName>
    <definedName name="________________ss1" localSheetId="9" hidden="1">{#N/A,#N/A,TRUE,"ADVANCE SUMM.";#N/A,#N/A,TRUE,"KEITH";#N/A,#N/A,TRUE,"WES"}</definedName>
    <definedName name="________________ss1" localSheetId="11" hidden="1">{#N/A,#N/A,TRUE,"ADVANCE SUMM.";#N/A,#N/A,TRUE,"KEITH";#N/A,#N/A,TRUE,"WES"}</definedName>
    <definedName name="________________ss1" hidden="1">{#N/A,#N/A,TRUE,"ADVANCE SUMM.";#N/A,#N/A,TRUE,"KEITH";#N/A,#N/A,TRUE,"WES"}</definedName>
    <definedName name="_______________kim1" localSheetId="7">{#N/A,#N/A,TRUE,"ADVANCE SUMM.";#N/A,#N/A,TRUE,"KEITH";#N/A,#N/A,TRUE,"WES"}</definedName>
    <definedName name="_______________kim1" localSheetId="10" hidden="1">{#N/A,#N/A,TRUE,"ADVANCE SUMM.";#N/A,#N/A,TRUE,"KEITH";#N/A,#N/A,TRUE,"WES"}</definedName>
    <definedName name="_______________kim1" localSheetId="0" hidden="1">{#N/A,#N/A,TRUE,"ADVANCE SUMM.";#N/A,#N/A,TRUE,"KEITH";#N/A,#N/A,TRUE,"WES"}</definedName>
    <definedName name="_______________kim1" localSheetId="9" hidden="1">{#N/A,#N/A,TRUE,"ADVANCE SUMM.";#N/A,#N/A,TRUE,"KEITH";#N/A,#N/A,TRUE,"WES"}</definedName>
    <definedName name="_______________kim1" localSheetId="11" hidden="1">{#N/A,#N/A,TRUE,"ADVANCE SUMM.";#N/A,#N/A,TRUE,"KEITH";#N/A,#N/A,TRUE,"WES"}</definedName>
    <definedName name="_______________kim1" hidden="1">{#N/A,#N/A,TRUE,"ADVANCE SUMM.";#N/A,#N/A,TRUE,"KEITH";#N/A,#N/A,TRUE,"WES"}</definedName>
    <definedName name="_______________kim10" localSheetId="7">{#N/A,#N/A,TRUE,"ADVANCE SUMM.";#N/A,#N/A,TRUE,"KEITH";#N/A,#N/A,TRUE,"WES"}</definedName>
    <definedName name="_______________kim10" localSheetId="10" hidden="1">{#N/A,#N/A,TRUE,"ADVANCE SUMM.";#N/A,#N/A,TRUE,"KEITH";#N/A,#N/A,TRUE,"WES"}</definedName>
    <definedName name="_______________kim10" localSheetId="0" hidden="1">{#N/A,#N/A,TRUE,"ADVANCE SUMM.";#N/A,#N/A,TRUE,"KEITH";#N/A,#N/A,TRUE,"WES"}</definedName>
    <definedName name="_______________kim10" localSheetId="9" hidden="1">{#N/A,#N/A,TRUE,"ADVANCE SUMM.";#N/A,#N/A,TRUE,"KEITH";#N/A,#N/A,TRUE,"WES"}</definedName>
    <definedName name="_______________kim10" localSheetId="11" hidden="1">{#N/A,#N/A,TRUE,"ADVANCE SUMM.";#N/A,#N/A,TRUE,"KEITH";#N/A,#N/A,TRUE,"WES"}</definedName>
    <definedName name="_______________kim10" hidden="1">{#N/A,#N/A,TRUE,"ADVANCE SUMM.";#N/A,#N/A,TRUE,"KEITH";#N/A,#N/A,TRUE,"WES"}</definedName>
    <definedName name="_______________kim2" localSheetId="7">{#N/A,#N/A,TRUE,"ADVANCE SUMM.";#N/A,#N/A,TRUE,"KEITH";#N/A,#N/A,TRUE,"WES"}</definedName>
    <definedName name="_______________kim2" localSheetId="10" hidden="1">{#N/A,#N/A,TRUE,"ADVANCE SUMM.";#N/A,#N/A,TRUE,"KEITH";#N/A,#N/A,TRUE,"WES"}</definedName>
    <definedName name="_______________kim2" localSheetId="0" hidden="1">{#N/A,#N/A,TRUE,"ADVANCE SUMM.";#N/A,#N/A,TRUE,"KEITH";#N/A,#N/A,TRUE,"WES"}</definedName>
    <definedName name="_______________kim2" localSheetId="9" hidden="1">{#N/A,#N/A,TRUE,"ADVANCE SUMM.";#N/A,#N/A,TRUE,"KEITH";#N/A,#N/A,TRUE,"WES"}</definedName>
    <definedName name="_______________kim2" localSheetId="11" hidden="1">{#N/A,#N/A,TRUE,"ADVANCE SUMM.";#N/A,#N/A,TRUE,"KEITH";#N/A,#N/A,TRUE,"WES"}</definedName>
    <definedName name="_______________kim2" hidden="1">{#N/A,#N/A,TRUE,"ADVANCE SUMM.";#N/A,#N/A,TRUE,"KEITH";#N/A,#N/A,TRUE,"WES"}</definedName>
    <definedName name="_______________ss1" localSheetId="7">{#N/A,#N/A,TRUE,"ADVANCE SUMM.";#N/A,#N/A,TRUE,"KEITH";#N/A,#N/A,TRUE,"WES"}</definedName>
    <definedName name="_______________ss1" localSheetId="10" hidden="1">{#N/A,#N/A,TRUE,"ADVANCE SUMM.";#N/A,#N/A,TRUE,"KEITH";#N/A,#N/A,TRUE,"WES"}</definedName>
    <definedName name="_______________ss1" localSheetId="0" hidden="1">{#N/A,#N/A,TRUE,"ADVANCE SUMM.";#N/A,#N/A,TRUE,"KEITH";#N/A,#N/A,TRUE,"WES"}</definedName>
    <definedName name="_______________ss1" localSheetId="9" hidden="1">{#N/A,#N/A,TRUE,"ADVANCE SUMM.";#N/A,#N/A,TRUE,"KEITH";#N/A,#N/A,TRUE,"WES"}</definedName>
    <definedName name="_______________ss1" localSheetId="11" hidden="1">{#N/A,#N/A,TRUE,"ADVANCE SUMM.";#N/A,#N/A,TRUE,"KEITH";#N/A,#N/A,TRUE,"WES"}</definedName>
    <definedName name="_______________ss1" hidden="1">{#N/A,#N/A,TRUE,"ADVANCE SUMM.";#N/A,#N/A,TRUE,"KEITH";#N/A,#N/A,TRUE,"WES"}</definedName>
    <definedName name="______________kim1" localSheetId="7">{#N/A,#N/A,TRUE,"ADVANCE SUMM.";#N/A,#N/A,TRUE,"KEITH";#N/A,#N/A,TRUE,"WES"}</definedName>
    <definedName name="______________kim1" localSheetId="10" hidden="1">{#N/A,#N/A,TRUE,"ADVANCE SUMM.";#N/A,#N/A,TRUE,"KEITH";#N/A,#N/A,TRUE,"WES"}</definedName>
    <definedName name="______________kim1" localSheetId="0" hidden="1">{#N/A,#N/A,TRUE,"ADVANCE SUMM.";#N/A,#N/A,TRUE,"KEITH";#N/A,#N/A,TRUE,"WES"}</definedName>
    <definedName name="______________kim1" localSheetId="9" hidden="1">{#N/A,#N/A,TRUE,"ADVANCE SUMM.";#N/A,#N/A,TRUE,"KEITH";#N/A,#N/A,TRUE,"WES"}</definedName>
    <definedName name="______________kim1" localSheetId="11" hidden="1">{#N/A,#N/A,TRUE,"ADVANCE SUMM.";#N/A,#N/A,TRUE,"KEITH";#N/A,#N/A,TRUE,"WES"}</definedName>
    <definedName name="______________kim1" hidden="1">{#N/A,#N/A,TRUE,"ADVANCE SUMM.";#N/A,#N/A,TRUE,"KEITH";#N/A,#N/A,TRUE,"WES"}</definedName>
    <definedName name="______________kim10" localSheetId="7">{#N/A,#N/A,TRUE,"ADVANCE SUMM.";#N/A,#N/A,TRUE,"KEITH";#N/A,#N/A,TRUE,"WES"}</definedName>
    <definedName name="______________kim10" localSheetId="10" hidden="1">{#N/A,#N/A,TRUE,"ADVANCE SUMM.";#N/A,#N/A,TRUE,"KEITH";#N/A,#N/A,TRUE,"WES"}</definedName>
    <definedName name="______________kim10" localSheetId="0" hidden="1">{#N/A,#N/A,TRUE,"ADVANCE SUMM.";#N/A,#N/A,TRUE,"KEITH";#N/A,#N/A,TRUE,"WES"}</definedName>
    <definedName name="______________kim10" localSheetId="9" hidden="1">{#N/A,#N/A,TRUE,"ADVANCE SUMM.";#N/A,#N/A,TRUE,"KEITH";#N/A,#N/A,TRUE,"WES"}</definedName>
    <definedName name="______________kim10" localSheetId="11" hidden="1">{#N/A,#N/A,TRUE,"ADVANCE SUMM.";#N/A,#N/A,TRUE,"KEITH";#N/A,#N/A,TRUE,"WES"}</definedName>
    <definedName name="______________kim10" hidden="1">{#N/A,#N/A,TRUE,"ADVANCE SUMM.";#N/A,#N/A,TRUE,"KEITH";#N/A,#N/A,TRUE,"WES"}</definedName>
    <definedName name="______________kim2" localSheetId="7">{#N/A,#N/A,TRUE,"ADVANCE SUMM.";#N/A,#N/A,TRUE,"KEITH";#N/A,#N/A,TRUE,"WES"}</definedName>
    <definedName name="______________kim2" localSheetId="10" hidden="1">{#N/A,#N/A,TRUE,"ADVANCE SUMM.";#N/A,#N/A,TRUE,"KEITH";#N/A,#N/A,TRUE,"WES"}</definedName>
    <definedName name="______________kim2" localSheetId="0" hidden="1">{#N/A,#N/A,TRUE,"ADVANCE SUMM.";#N/A,#N/A,TRUE,"KEITH";#N/A,#N/A,TRUE,"WES"}</definedName>
    <definedName name="______________kim2" localSheetId="9" hidden="1">{#N/A,#N/A,TRUE,"ADVANCE SUMM.";#N/A,#N/A,TRUE,"KEITH";#N/A,#N/A,TRUE,"WES"}</definedName>
    <definedName name="______________kim2" localSheetId="11" hidden="1">{#N/A,#N/A,TRUE,"ADVANCE SUMM.";#N/A,#N/A,TRUE,"KEITH";#N/A,#N/A,TRUE,"WES"}</definedName>
    <definedName name="______________kim2" hidden="1">{#N/A,#N/A,TRUE,"ADVANCE SUMM.";#N/A,#N/A,TRUE,"KEITH";#N/A,#N/A,TRUE,"WES"}</definedName>
    <definedName name="______________ss1" localSheetId="7">{#N/A,#N/A,TRUE,"ADVANCE SUMM.";#N/A,#N/A,TRUE,"KEITH";#N/A,#N/A,TRUE,"WES"}</definedName>
    <definedName name="______________ss1" localSheetId="10" hidden="1">{#N/A,#N/A,TRUE,"ADVANCE SUMM.";#N/A,#N/A,TRUE,"KEITH";#N/A,#N/A,TRUE,"WES"}</definedName>
    <definedName name="______________ss1" localSheetId="0" hidden="1">{#N/A,#N/A,TRUE,"ADVANCE SUMM.";#N/A,#N/A,TRUE,"KEITH";#N/A,#N/A,TRUE,"WES"}</definedName>
    <definedName name="______________ss1" localSheetId="9" hidden="1">{#N/A,#N/A,TRUE,"ADVANCE SUMM.";#N/A,#N/A,TRUE,"KEITH";#N/A,#N/A,TRUE,"WES"}</definedName>
    <definedName name="______________ss1" localSheetId="11" hidden="1">{#N/A,#N/A,TRUE,"ADVANCE SUMM.";#N/A,#N/A,TRUE,"KEITH";#N/A,#N/A,TRUE,"WES"}</definedName>
    <definedName name="______________ss1" hidden="1">{#N/A,#N/A,TRUE,"ADVANCE SUMM.";#N/A,#N/A,TRUE,"KEITH";#N/A,#N/A,TRUE,"WES"}</definedName>
    <definedName name="_____________kim1" localSheetId="7">{#N/A,#N/A,TRUE,"ADVANCE SUMM.";#N/A,#N/A,TRUE,"KEITH";#N/A,#N/A,TRUE,"WES"}</definedName>
    <definedName name="_____________kim1" localSheetId="10" hidden="1">{#N/A,#N/A,TRUE,"ADVANCE SUMM.";#N/A,#N/A,TRUE,"KEITH";#N/A,#N/A,TRUE,"WES"}</definedName>
    <definedName name="_____________kim1" localSheetId="0" hidden="1">{#N/A,#N/A,TRUE,"ADVANCE SUMM.";#N/A,#N/A,TRUE,"KEITH";#N/A,#N/A,TRUE,"WES"}</definedName>
    <definedName name="_____________kim1" localSheetId="9" hidden="1">{#N/A,#N/A,TRUE,"ADVANCE SUMM.";#N/A,#N/A,TRUE,"KEITH";#N/A,#N/A,TRUE,"WES"}</definedName>
    <definedName name="_____________kim1" localSheetId="11" hidden="1">{#N/A,#N/A,TRUE,"ADVANCE SUMM.";#N/A,#N/A,TRUE,"KEITH";#N/A,#N/A,TRUE,"WES"}</definedName>
    <definedName name="_____________kim1" hidden="1">{#N/A,#N/A,TRUE,"ADVANCE SUMM.";#N/A,#N/A,TRUE,"KEITH";#N/A,#N/A,TRUE,"WES"}</definedName>
    <definedName name="_____________kim10" localSheetId="7">{#N/A,#N/A,TRUE,"ADVANCE SUMM.";#N/A,#N/A,TRUE,"KEITH";#N/A,#N/A,TRUE,"WES"}</definedName>
    <definedName name="_____________kim10" localSheetId="10" hidden="1">{#N/A,#N/A,TRUE,"ADVANCE SUMM.";#N/A,#N/A,TRUE,"KEITH";#N/A,#N/A,TRUE,"WES"}</definedName>
    <definedName name="_____________kim10" localSheetId="0" hidden="1">{#N/A,#N/A,TRUE,"ADVANCE SUMM.";#N/A,#N/A,TRUE,"KEITH";#N/A,#N/A,TRUE,"WES"}</definedName>
    <definedName name="_____________kim10" localSheetId="9" hidden="1">{#N/A,#N/A,TRUE,"ADVANCE SUMM.";#N/A,#N/A,TRUE,"KEITH";#N/A,#N/A,TRUE,"WES"}</definedName>
    <definedName name="_____________kim10" localSheetId="11" hidden="1">{#N/A,#N/A,TRUE,"ADVANCE SUMM.";#N/A,#N/A,TRUE,"KEITH";#N/A,#N/A,TRUE,"WES"}</definedName>
    <definedName name="_____________kim10" hidden="1">{#N/A,#N/A,TRUE,"ADVANCE SUMM.";#N/A,#N/A,TRUE,"KEITH";#N/A,#N/A,TRUE,"WES"}</definedName>
    <definedName name="_____________kim2" localSheetId="7">{#N/A,#N/A,TRUE,"ADVANCE SUMM.";#N/A,#N/A,TRUE,"KEITH";#N/A,#N/A,TRUE,"WES"}</definedName>
    <definedName name="_____________kim2" localSheetId="10" hidden="1">{#N/A,#N/A,TRUE,"ADVANCE SUMM.";#N/A,#N/A,TRUE,"KEITH";#N/A,#N/A,TRUE,"WES"}</definedName>
    <definedName name="_____________kim2" localSheetId="0" hidden="1">{#N/A,#N/A,TRUE,"ADVANCE SUMM.";#N/A,#N/A,TRUE,"KEITH";#N/A,#N/A,TRUE,"WES"}</definedName>
    <definedName name="_____________kim2" localSheetId="9" hidden="1">{#N/A,#N/A,TRUE,"ADVANCE SUMM.";#N/A,#N/A,TRUE,"KEITH";#N/A,#N/A,TRUE,"WES"}</definedName>
    <definedName name="_____________kim2" localSheetId="11" hidden="1">{#N/A,#N/A,TRUE,"ADVANCE SUMM.";#N/A,#N/A,TRUE,"KEITH";#N/A,#N/A,TRUE,"WES"}</definedName>
    <definedName name="_____________kim2" hidden="1">{#N/A,#N/A,TRUE,"ADVANCE SUMM.";#N/A,#N/A,TRUE,"KEITH";#N/A,#N/A,TRUE,"WES"}</definedName>
    <definedName name="_____________ss1" localSheetId="7">{#N/A,#N/A,TRUE,"ADVANCE SUMM.";#N/A,#N/A,TRUE,"KEITH";#N/A,#N/A,TRUE,"WES"}</definedName>
    <definedName name="_____________ss1" localSheetId="10" hidden="1">{#N/A,#N/A,TRUE,"ADVANCE SUMM.";#N/A,#N/A,TRUE,"KEITH";#N/A,#N/A,TRUE,"WES"}</definedName>
    <definedName name="_____________ss1" localSheetId="0" hidden="1">{#N/A,#N/A,TRUE,"ADVANCE SUMM.";#N/A,#N/A,TRUE,"KEITH";#N/A,#N/A,TRUE,"WES"}</definedName>
    <definedName name="_____________ss1" localSheetId="9" hidden="1">{#N/A,#N/A,TRUE,"ADVANCE SUMM.";#N/A,#N/A,TRUE,"KEITH";#N/A,#N/A,TRUE,"WES"}</definedName>
    <definedName name="_____________ss1" localSheetId="11" hidden="1">{#N/A,#N/A,TRUE,"ADVANCE SUMM.";#N/A,#N/A,TRUE,"KEITH";#N/A,#N/A,TRUE,"WES"}</definedName>
    <definedName name="_____________ss1" hidden="1">{#N/A,#N/A,TRUE,"ADVANCE SUMM.";#N/A,#N/A,TRUE,"KEITH";#N/A,#N/A,TRUE,"WES"}</definedName>
    <definedName name="____________kim1" localSheetId="7">{#N/A,#N/A,TRUE,"ADVANCE SUMM.";#N/A,#N/A,TRUE,"KEITH";#N/A,#N/A,TRUE,"WES"}</definedName>
    <definedName name="____________kim1" localSheetId="10" hidden="1">{#N/A,#N/A,TRUE,"ADVANCE SUMM.";#N/A,#N/A,TRUE,"KEITH";#N/A,#N/A,TRUE,"WES"}</definedName>
    <definedName name="____________kim1" localSheetId="0" hidden="1">{#N/A,#N/A,TRUE,"ADVANCE SUMM.";#N/A,#N/A,TRUE,"KEITH";#N/A,#N/A,TRUE,"WES"}</definedName>
    <definedName name="____________kim1" localSheetId="9" hidden="1">{#N/A,#N/A,TRUE,"ADVANCE SUMM.";#N/A,#N/A,TRUE,"KEITH";#N/A,#N/A,TRUE,"WES"}</definedName>
    <definedName name="____________kim1" localSheetId="11" hidden="1">{#N/A,#N/A,TRUE,"ADVANCE SUMM.";#N/A,#N/A,TRUE,"KEITH";#N/A,#N/A,TRUE,"WES"}</definedName>
    <definedName name="____________kim1" hidden="1">{#N/A,#N/A,TRUE,"ADVANCE SUMM.";#N/A,#N/A,TRUE,"KEITH";#N/A,#N/A,TRUE,"WES"}</definedName>
    <definedName name="____________kim10" localSheetId="7">{#N/A,#N/A,TRUE,"ADVANCE SUMM.";#N/A,#N/A,TRUE,"KEITH";#N/A,#N/A,TRUE,"WES"}</definedName>
    <definedName name="____________kim10" localSheetId="10" hidden="1">{#N/A,#N/A,TRUE,"ADVANCE SUMM.";#N/A,#N/A,TRUE,"KEITH";#N/A,#N/A,TRUE,"WES"}</definedName>
    <definedName name="____________kim10" localSheetId="0" hidden="1">{#N/A,#N/A,TRUE,"ADVANCE SUMM.";#N/A,#N/A,TRUE,"KEITH";#N/A,#N/A,TRUE,"WES"}</definedName>
    <definedName name="____________kim10" localSheetId="9" hidden="1">{#N/A,#N/A,TRUE,"ADVANCE SUMM.";#N/A,#N/A,TRUE,"KEITH";#N/A,#N/A,TRUE,"WES"}</definedName>
    <definedName name="____________kim10" localSheetId="11" hidden="1">{#N/A,#N/A,TRUE,"ADVANCE SUMM.";#N/A,#N/A,TRUE,"KEITH";#N/A,#N/A,TRUE,"WES"}</definedName>
    <definedName name="____________kim10" hidden="1">{#N/A,#N/A,TRUE,"ADVANCE SUMM.";#N/A,#N/A,TRUE,"KEITH";#N/A,#N/A,TRUE,"WES"}</definedName>
    <definedName name="____________kim2" localSheetId="7">{#N/A,#N/A,TRUE,"ADVANCE SUMM.";#N/A,#N/A,TRUE,"KEITH";#N/A,#N/A,TRUE,"WES"}</definedName>
    <definedName name="____________kim2" localSheetId="10" hidden="1">{#N/A,#N/A,TRUE,"ADVANCE SUMM.";#N/A,#N/A,TRUE,"KEITH";#N/A,#N/A,TRUE,"WES"}</definedName>
    <definedName name="____________kim2" localSheetId="0" hidden="1">{#N/A,#N/A,TRUE,"ADVANCE SUMM.";#N/A,#N/A,TRUE,"KEITH";#N/A,#N/A,TRUE,"WES"}</definedName>
    <definedName name="____________kim2" localSheetId="9" hidden="1">{#N/A,#N/A,TRUE,"ADVANCE SUMM.";#N/A,#N/A,TRUE,"KEITH";#N/A,#N/A,TRUE,"WES"}</definedName>
    <definedName name="____________kim2" localSheetId="11" hidden="1">{#N/A,#N/A,TRUE,"ADVANCE SUMM.";#N/A,#N/A,TRUE,"KEITH";#N/A,#N/A,TRUE,"WES"}</definedName>
    <definedName name="____________kim2" hidden="1">{#N/A,#N/A,TRUE,"ADVANCE SUMM.";#N/A,#N/A,TRUE,"KEITH";#N/A,#N/A,TRUE,"WES"}</definedName>
    <definedName name="____________ss1" localSheetId="7">{#N/A,#N/A,TRUE,"ADVANCE SUMM.";#N/A,#N/A,TRUE,"KEITH";#N/A,#N/A,TRUE,"WES"}</definedName>
    <definedName name="____________ss1" localSheetId="10" hidden="1">{#N/A,#N/A,TRUE,"ADVANCE SUMM.";#N/A,#N/A,TRUE,"KEITH";#N/A,#N/A,TRUE,"WES"}</definedName>
    <definedName name="____________ss1" localSheetId="0" hidden="1">{#N/A,#N/A,TRUE,"ADVANCE SUMM.";#N/A,#N/A,TRUE,"KEITH";#N/A,#N/A,TRUE,"WES"}</definedName>
    <definedName name="____________ss1" localSheetId="9" hidden="1">{#N/A,#N/A,TRUE,"ADVANCE SUMM.";#N/A,#N/A,TRUE,"KEITH";#N/A,#N/A,TRUE,"WES"}</definedName>
    <definedName name="____________ss1" localSheetId="11" hidden="1">{#N/A,#N/A,TRUE,"ADVANCE SUMM.";#N/A,#N/A,TRUE,"KEITH";#N/A,#N/A,TRUE,"WES"}</definedName>
    <definedName name="____________ss1" hidden="1">{#N/A,#N/A,TRUE,"ADVANCE SUMM.";#N/A,#N/A,TRUE,"KEITH";#N/A,#N/A,TRUE,"WES"}</definedName>
    <definedName name="___________kim1" localSheetId="7">{#N/A,#N/A,TRUE,"ADVANCE SUMM.";#N/A,#N/A,TRUE,"KEITH";#N/A,#N/A,TRUE,"WES"}</definedName>
    <definedName name="___________kim1" localSheetId="10" hidden="1">{#N/A,#N/A,TRUE,"ADVANCE SUMM.";#N/A,#N/A,TRUE,"KEITH";#N/A,#N/A,TRUE,"WES"}</definedName>
    <definedName name="___________kim1" localSheetId="0" hidden="1">{#N/A,#N/A,TRUE,"ADVANCE SUMM.";#N/A,#N/A,TRUE,"KEITH";#N/A,#N/A,TRUE,"WES"}</definedName>
    <definedName name="___________kim1" localSheetId="9" hidden="1">{#N/A,#N/A,TRUE,"ADVANCE SUMM.";#N/A,#N/A,TRUE,"KEITH";#N/A,#N/A,TRUE,"WES"}</definedName>
    <definedName name="___________kim1" localSheetId="11" hidden="1">{#N/A,#N/A,TRUE,"ADVANCE SUMM.";#N/A,#N/A,TRUE,"KEITH";#N/A,#N/A,TRUE,"WES"}</definedName>
    <definedName name="___________kim1" hidden="1">{#N/A,#N/A,TRUE,"ADVANCE SUMM.";#N/A,#N/A,TRUE,"KEITH";#N/A,#N/A,TRUE,"WES"}</definedName>
    <definedName name="___________kim10" localSheetId="7">{#N/A,#N/A,TRUE,"ADVANCE SUMM.";#N/A,#N/A,TRUE,"KEITH";#N/A,#N/A,TRUE,"WES"}</definedName>
    <definedName name="___________kim10" localSheetId="10" hidden="1">{#N/A,#N/A,TRUE,"ADVANCE SUMM.";#N/A,#N/A,TRUE,"KEITH";#N/A,#N/A,TRUE,"WES"}</definedName>
    <definedName name="___________kim10" localSheetId="0" hidden="1">{#N/A,#N/A,TRUE,"ADVANCE SUMM.";#N/A,#N/A,TRUE,"KEITH";#N/A,#N/A,TRUE,"WES"}</definedName>
    <definedName name="___________kim10" localSheetId="9" hidden="1">{#N/A,#N/A,TRUE,"ADVANCE SUMM.";#N/A,#N/A,TRUE,"KEITH";#N/A,#N/A,TRUE,"WES"}</definedName>
    <definedName name="___________kim10" localSheetId="11" hidden="1">{#N/A,#N/A,TRUE,"ADVANCE SUMM.";#N/A,#N/A,TRUE,"KEITH";#N/A,#N/A,TRUE,"WES"}</definedName>
    <definedName name="___________kim10" hidden="1">{#N/A,#N/A,TRUE,"ADVANCE SUMM.";#N/A,#N/A,TRUE,"KEITH";#N/A,#N/A,TRUE,"WES"}</definedName>
    <definedName name="___________kim2" localSheetId="7">{#N/A,#N/A,TRUE,"ADVANCE SUMM.";#N/A,#N/A,TRUE,"KEITH";#N/A,#N/A,TRUE,"WES"}</definedName>
    <definedName name="___________kim2" localSheetId="10" hidden="1">{#N/A,#N/A,TRUE,"ADVANCE SUMM.";#N/A,#N/A,TRUE,"KEITH";#N/A,#N/A,TRUE,"WES"}</definedName>
    <definedName name="___________kim2" localSheetId="0" hidden="1">{#N/A,#N/A,TRUE,"ADVANCE SUMM.";#N/A,#N/A,TRUE,"KEITH";#N/A,#N/A,TRUE,"WES"}</definedName>
    <definedName name="___________kim2" localSheetId="9" hidden="1">{#N/A,#N/A,TRUE,"ADVANCE SUMM.";#N/A,#N/A,TRUE,"KEITH";#N/A,#N/A,TRUE,"WES"}</definedName>
    <definedName name="___________kim2" localSheetId="11" hidden="1">{#N/A,#N/A,TRUE,"ADVANCE SUMM.";#N/A,#N/A,TRUE,"KEITH";#N/A,#N/A,TRUE,"WES"}</definedName>
    <definedName name="___________kim2" hidden="1">{#N/A,#N/A,TRUE,"ADVANCE SUMM.";#N/A,#N/A,TRUE,"KEITH";#N/A,#N/A,TRUE,"WES"}</definedName>
    <definedName name="___________ss1" localSheetId="7">{#N/A,#N/A,TRUE,"ADVANCE SUMM.";#N/A,#N/A,TRUE,"KEITH";#N/A,#N/A,TRUE,"WES"}</definedName>
    <definedName name="___________ss1" localSheetId="10" hidden="1">{#N/A,#N/A,TRUE,"ADVANCE SUMM.";#N/A,#N/A,TRUE,"KEITH";#N/A,#N/A,TRUE,"WES"}</definedName>
    <definedName name="___________ss1" localSheetId="0" hidden="1">{#N/A,#N/A,TRUE,"ADVANCE SUMM.";#N/A,#N/A,TRUE,"KEITH";#N/A,#N/A,TRUE,"WES"}</definedName>
    <definedName name="___________ss1" localSheetId="9" hidden="1">{#N/A,#N/A,TRUE,"ADVANCE SUMM.";#N/A,#N/A,TRUE,"KEITH";#N/A,#N/A,TRUE,"WES"}</definedName>
    <definedName name="___________ss1" localSheetId="11" hidden="1">{#N/A,#N/A,TRUE,"ADVANCE SUMM.";#N/A,#N/A,TRUE,"KEITH";#N/A,#N/A,TRUE,"WES"}</definedName>
    <definedName name="___________ss1" hidden="1">{#N/A,#N/A,TRUE,"ADVANCE SUMM.";#N/A,#N/A,TRUE,"KEITH";#N/A,#N/A,TRUE,"WES"}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FAX95">#REF!</definedName>
    <definedName name="__________FAX96">#REF!</definedName>
    <definedName name="__________FAX97">#REF!</definedName>
    <definedName name="__________FAX98">#REF!</definedName>
    <definedName name="__________FAX99">#REF!</definedName>
    <definedName name="__________kim1" localSheetId="7">{#N/A,#N/A,TRUE,"ADVANCE SUMM.";#N/A,#N/A,TRUE,"KEITH";#N/A,#N/A,TRUE,"WES"}</definedName>
    <definedName name="__________kim1" localSheetId="10" hidden="1">{#N/A,#N/A,TRUE,"ADVANCE SUMM.";#N/A,#N/A,TRUE,"KEITH";#N/A,#N/A,TRUE,"WES"}</definedName>
    <definedName name="__________kim1" localSheetId="0" hidden="1">{#N/A,#N/A,TRUE,"ADVANCE SUMM.";#N/A,#N/A,TRUE,"KEITH";#N/A,#N/A,TRUE,"WES"}</definedName>
    <definedName name="__________kim1" localSheetId="9" hidden="1">{#N/A,#N/A,TRUE,"ADVANCE SUMM.";#N/A,#N/A,TRUE,"KEITH";#N/A,#N/A,TRUE,"WES"}</definedName>
    <definedName name="__________kim1" localSheetId="11" hidden="1">{#N/A,#N/A,TRUE,"ADVANCE SUMM.";#N/A,#N/A,TRUE,"KEITH";#N/A,#N/A,TRUE,"WES"}</definedName>
    <definedName name="__________kim1" hidden="1">{#N/A,#N/A,TRUE,"ADVANCE SUMM.";#N/A,#N/A,TRUE,"KEITH";#N/A,#N/A,TRUE,"WES"}</definedName>
    <definedName name="__________kim10" localSheetId="7">{#N/A,#N/A,TRUE,"ADVANCE SUMM.";#N/A,#N/A,TRUE,"KEITH";#N/A,#N/A,TRUE,"WES"}</definedName>
    <definedName name="__________kim10" localSheetId="10" hidden="1">{#N/A,#N/A,TRUE,"ADVANCE SUMM.";#N/A,#N/A,TRUE,"KEITH";#N/A,#N/A,TRUE,"WES"}</definedName>
    <definedName name="__________kim10" localSheetId="0" hidden="1">{#N/A,#N/A,TRUE,"ADVANCE SUMM.";#N/A,#N/A,TRUE,"KEITH";#N/A,#N/A,TRUE,"WES"}</definedName>
    <definedName name="__________kim10" localSheetId="9" hidden="1">{#N/A,#N/A,TRUE,"ADVANCE SUMM.";#N/A,#N/A,TRUE,"KEITH";#N/A,#N/A,TRUE,"WES"}</definedName>
    <definedName name="__________kim10" localSheetId="11" hidden="1">{#N/A,#N/A,TRUE,"ADVANCE SUMM.";#N/A,#N/A,TRUE,"KEITH";#N/A,#N/A,TRUE,"WES"}</definedName>
    <definedName name="__________kim10" hidden="1">{#N/A,#N/A,TRUE,"ADVANCE SUMM.";#N/A,#N/A,TRUE,"KEITH";#N/A,#N/A,TRUE,"WES"}</definedName>
    <definedName name="__________kim2" localSheetId="7">{#N/A,#N/A,TRUE,"ADVANCE SUMM.";#N/A,#N/A,TRUE,"KEITH";#N/A,#N/A,TRUE,"WES"}</definedName>
    <definedName name="__________kim2" localSheetId="10" hidden="1">{#N/A,#N/A,TRUE,"ADVANCE SUMM.";#N/A,#N/A,TRUE,"KEITH";#N/A,#N/A,TRUE,"WES"}</definedName>
    <definedName name="__________kim2" localSheetId="0" hidden="1">{#N/A,#N/A,TRUE,"ADVANCE SUMM.";#N/A,#N/A,TRUE,"KEITH";#N/A,#N/A,TRUE,"WES"}</definedName>
    <definedName name="__________kim2" localSheetId="9" hidden="1">{#N/A,#N/A,TRUE,"ADVANCE SUMM.";#N/A,#N/A,TRUE,"KEITH";#N/A,#N/A,TRUE,"WES"}</definedName>
    <definedName name="__________kim2" localSheetId="11" hidden="1">{#N/A,#N/A,TRUE,"ADVANCE SUMM.";#N/A,#N/A,TRUE,"KEITH";#N/A,#N/A,TRUE,"WES"}</definedName>
    <definedName name="__________kim2" hidden="1">{#N/A,#N/A,TRUE,"ADVANCE SUMM.";#N/A,#N/A,TRUE,"KEITH";#N/A,#N/A,TRUE,"WES"}</definedName>
    <definedName name="__________LHI95">#REF!</definedName>
    <definedName name="__________LHI96">#REF!</definedName>
    <definedName name="__________LHI97">#REF!</definedName>
    <definedName name="__________LHI98">#REF!</definedName>
    <definedName name="__________LHI99">#REF!</definedName>
    <definedName name="__________OTH95">#REF!</definedName>
    <definedName name="__________OTH96">#REF!</definedName>
    <definedName name="__________OTH97">#REF!</definedName>
    <definedName name="__________OTH98">#REF!</definedName>
    <definedName name="__________pl1">#REF!</definedName>
    <definedName name="__________ss1" localSheetId="7">{#N/A,#N/A,TRUE,"ADVANCE SUMM.";#N/A,#N/A,TRUE,"KEITH";#N/A,#N/A,TRUE,"WES"}</definedName>
    <definedName name="__________ss1" localSheetId="10" hidden="1">{#N/A,#N/A,TRUE,"ADVANCE SUMM.";#N/A,#N/A,TRUE,"KEITH";#N/A,#N/A,TRUE,"WES"}</definedName>
    <definedName name="__________ss1" localSheetId="0" hidden="1">{#N/A,#N/A,TRUE,"ADVANCE SUMM.";#N/A,#N/A,TRUE,"KEITH";#N/A,#N/A,TRUE,"WES"}</definedName>
    <definedName name="__________ss1" localSheetId="9" hidden="1">{#N/A,#N/A,TRUE,"ADVANCE SUMM.";#N/A,#N/A,TRUE,"KEITH";#N/A,#N/A,TRUE,"WES"}</definedName>
    <definedName name="__________ss1" localSheetId="11" hidden="1">{#N/A,#N/A,TRUE,"ADVANCE SUMM.";#N/A,#N/A,TRUE,"KEITH";#N/A,#N/A,TRUE,"WES"}</definedName>
    <definedName name="__________ss1" hidden="1">{#N/A,#N/A,TRUE,"ADVANCE SUMM.";#N/A,#N/A,TRUE,"KEITH";#N/A,#N/A,TRUE,"WES"}</definedName>
    <definedName name="__________TEL96">#REF!</definedName>
    <definedName name="__________TEL97">#REF!</definedName>
    <definedName name="__________TEL98">#REF!</definedName>
    <definedName name="__________TEL99">#REF!</definedName>
    <definedName name="__________WON95">#REF!</definedName>
    <definedName name="__________WON96">#REF!</definedName>
    <definedName name="__________WON97">#REF!</definedName>
    <definedName name="__________WON98">#REF!</definedName>
    <definedName name="__________WON99">#REF!</definedName>
    <definedName name="_________Bud3">#REF!</definedName>
    <definedName name="_________Bud31">#REF!</definedName>
    <definedName name="_________Bud32">#REF!</definedName>
    <definedName name="_________cap1">#REF!</definedName>
    <definedName name="_________cap2">#REF!</definedName>
    <definedName name="_________cop1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20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47">#REF!</definedName>
    <definedName name="_________DAT48">#REF!</definedName>
    <definedName name="_________DAT49">#REF!</definedName>
    <definedName name="_________DAT5">#REF!</definedName>
    <definedName name="_________DAT50">#REF!</definedName>
    <definedName name="_________DAT51">#REF!</definedName>
    <definedName name="_________DAT52">#REF!</definedName>
    <definedName name="_________DAT53">#REF!</definedName>
    <definedName name="_________DAT54">#REF!</definedName>
    <definedName name="_________DAT55">#REF!</definedName>
    <definedName name="_________DAT56">#REF!</definedName>
    <definedName name="_________DAT57">#REF!</definedName>
    <definedName name="_________DAT58">#REF!</definedName>
    <definedName name="_________DAT59">#REF!</definedName>
    <definedName name="_________DAT6">#REF!</definedName>
    <definedName name="_________DAT60">#REF!</definedName>
    <definedName name="_________DAT61">#REF!</definedName>
    <definedName name="_________DAT62">#REF!</definedName>
    <definedName name="_________DAT63">#REF!</definedName>
    <definedName name="_________DAT64">#REF!</definedName>
    <definedName name="_________DAT65">#REF!</definedName>
    <definedName name="_________DAT66">#REF!</definedName>
    <definedName name="_________DAT67">#REF!</definedName>
    <definedName name="_________DAT68">#REF!</definedName>
    <definedName name="_________DAT69">#REF!</definedName>
    <definedName name="_________DAT7">#REF!</definedName>
    <definedName name="_________DAT70">#REF!</definedName>
    <definedName name="_________DAT71">#REF!</definedName>
    <definedName name="_________DAT72">#REF!</definedName>
    <definedName name="_________DAT73">#REF!</definedName>
    <definedName name="_________DAT74">#REF!</definedName>
    <definedName name="_________DAT75">#REF!</definedName>
    <definedName name="_________DAT76">#REF!</definedName>
    <definedName name="_________DAT77">#REF!</definedName>
    <definedName name="_________DAT78">#REF!</definedName>
    <definedName name="_________DAT79">#REF!</definedName>
    <definedName name="_________DAT8">#REF!</definedName>
    <definedName name="_________DAT80">#REF!</definedName>
    <definedName name="_________DAT81">#REF!</definedName>
    <definedName name="_________DAT82">#REF!</definedName>
    <definedName name="_________DAT83">#REF!</definedName>
    <definedName name="_________DAT84">#REF!</definedName>
    <definedName name="_________DAT9">#REF!</definedName>
    <definedName name="_________FAX95">#REF!</definedName>
    <definedName name="_________FAX96">#REF!</definedName>
    <definedName name="_________FAX97">#REF!</definedName>
    <definedName name="_________FAX98">#REF!</definedName>
    <definedName name="_________FAX99">#REF!</definedName>
    <definedName name="_________GRP8">#REF!</definedName>
    <definedName name="_________kim1" localSheetId="7">{#N/A,#N/A,TRUE,"ADVANCE SUMM.";#N/A,#N/A,TRUE,"KEITH";#N/A,#N/A,TRUE,"WES"}</definedName>
    <definedName name="_________kim1" localSheetId="10" hidden="1">{#N/A,#N/A,TRUE,"ADVANCE SUMM.";#N/A,#N/A,TRUE,"KEITH";#N/A,#N/A,TRUE,"WES"}</definedName>
    <definedName name="_________kim1" localSheetId="0" hidden="1">{#N/A,#N/A,TRUE,"ADVANCE SUMM.";#N/A,#N/A,TRUE,"KEITH";#N/A,#N/A,TRUE,"WES"}</definedName>
    <definedName name="_________kim1" localSheetId="9" hidden="1">{#N/A,#N/A,TRUE,"ADVANCE SUMM.";#N/A,#N/A,TRUE,"KEITH";#N/A,#N/A,TRUE,"WES"}</definedName>
    <definedName name="_________kim1" localSheetId="11" hidden="1">{#N/A,#N/A,TRUE,"ADVANCE SUMM.";#N/A,#N/A,TRUE,"KEITH";#N/A,#N/A,TRUE,"WES"}</definedName>
    <definedName name="_________kim1" hidden="1">{#N/A,#N/A,TRUE,"ADVANCE SUMM.";#N/A,#N/A,TRUE,"KEITH";#N/A,#N/A,TRUE,"WES"}</definedName>
    <definedName name="_________kim10" localSheetId="7">{#N/A,#N/A,TRUE,"ADVANCE SUMM.";#N/A,#N/A,TRUE,"KEITH";#N/A,#N/A,TRUE,"WES"}</definedName>
    <definedName name="_________kim10" localSheetId="10" hidden="1">{#N/A,#N/A,TRUE,"ADVANCE SUMM.";#N/A,#N/A,TRUE,"KEITH";#N/A,#N/A,TRUE,"WES"}</definedName>
    <definedName name="_________kim10" localSheetId="0" hidden="1">{#N/A,#N/A,TRUE,"ADVANCE SUMM.";#N/A,#N/A,TRUE,"KEITH";#N/A,#N/A,TRUE,"WES"}</definedName>
    <definedName name="_________kim10" localSheetId="9" hidden="1">{#N/A,#N/A,TRUE,"ADVANCE SUMM.";#N/A,#N/A,TRUE,"KEITH";#N/A,#N/A,TRUE,"WES"}</definedName>
    <definedName name="_________kim10" localSheetId="11" hidden="1">{#N/A,#N/A,TRUE,"ADVANCE SUMM.";#N/A,#N/A,TRUE,"KEITH";#N/A,#N/A,TRUE,"WES"}</definedName>
    <definedName name="_________kim10" hidden="1">{#N/A,#N/A,TRUE,"ADVANCE SUMM.";#N/A,#N/A,TRUE,"KEITH";#N/A,#N/A,TRUE,"WES"}</definedName>
    <definedName name="_________kim2" localSheetId="7">{#N/A,#N/A,TRUE,"ADVANCE SUMM.";#N/A,#N/A,TRUE,"KEITH";#N/A,#N/A,TRUE,"WES"}</definedName>
    <definedName name="_________kim2" localSheetId="10" hidden="1">{#N/A,#N/A,TRUE,"ADVANCE SUMM.";#N/A,#N/A,TRUE,"KEITH";#N/A,#N/A,TRUE,"WES"}</definedName>
    <definedName name="_________kim2" localSheetId="0" hidden="1">{#N/A,#N/A,TRUE,"ADVANCE SUMM.";#N/A,#N/A,TRUE,"KEITH";#N/A,#N/A,TRUE,"WES"}</definedName>
    <definedName name="_________kim2" localSheetId="9" hidden="1">{#N/A,#N/A,TRUE,"ADVANCE SUMM.";#N/A,#N/A,TRUE,"KEITH";#N/A,#N/A,TRUE,"WES"}</definedName>
    <definedName name="_________kim2" localSheetId="11" hidden="1">{#N/A,#N/A,TRUE,"ADVANCE SUMM.";#N/A,#N/A,TRUE,"KEITH";#N/A,#N/A,TRUE,"WES"}</definedName>
    <definedName name="_________kim2" hidden="1">{#N/A,#N/A,TRUE,"ADVANCE SUMM.";#N/A,#N/A,TRUE,"KEITH";#N/A,#N/A,TRUE,"WES"}</definedName>
    <definedName name="_________LHI95">#REF!</definedName>
    <definedName name="_________LHI96">#REF!</definedName>
    <definedName name="_________LHI97">#REF!</definedName>
    <definedName name="_________LHI98">#REF!</definedName>
    <definedName name="_________LHI99">#REF!</definedName>
    <definedName name="_________man1">#REF!</definedName>
    <definedName name="_________man2">#REF!</definedName>
    <definedName name="_________man3">#REF!</definedName>
    <definedName name="_________ms1">#REF!</definedName>
    <definedName name="_________ms2">#REF!</definedName>
    <definedName name="_________OTH95">#REF!</definedName>
    <definedName name="_________OTH96">#REF!</definedName>
    <definedName name="_________OTH97">#REF!</definedName>
    <definedName name="_________OTH98">#REF!</definedName>
    <definedName name="_________OTH99">#REF!</definedName>
    <definedName name="_________pg2">#REF!</definedName>
    <definedName name="_________pl1">#REF!</definedName>
    <definedName name="_________rr2">#REF!</definedName>
    <definedName name="_________SCH3">#REF!</definedName>
    <definedName name="_________ss1" localSheetId="7">{#N/A,#N/A,TRUE,"ADVANCE SUMM.";#N/A,#N/A,TRUE,"KEITH";#N/A,#N/A,TRUE,"WES"}</definedName>
    <definedName name="_________ss1" localSheetId="10" hidden="1">{#N/A,#N/A,TRUE,"ADVANCE SUMM.";#N/A,#N/A,TRUE,"KEITH";#N/A,#N/A,TRUE,"WES"}</definedName>
    <definedName name="_________ss1" localSheetId="0" hidden="1">{#N/A,#N/A,TRUE,"ADVANCE SUMM.";#N/A,#N/A,TRUE,"KEITH";#N/A,#N/A,TRUE,"WES"}</definedName>
    <definedName name="_________ss1" localSheetId="9" hidden="1">{#N/A,#N/A,TRUE,"ADVANCE SUMM.";#N/A,#N/A,TRUE,"KEITH";#N/A,#N/A,TRUE,"WES"}</definedName>
    <definedName name="_________ss1" localSheetId="11" hidden="1">{#N/A,#N/A,TRUE,"ADVANCE SUMM.";#N/A,#N/A,TRUE,"KEITH";#N/A,#N/A,TRUE,"WES"}</definedName>
    <definedName name="_________ss1" hidden="1">{#N/A,#N/A,TRUE,"ADVANCE SUMM.";#N/A,#N/A,TRUE,"KEITH";#N/A,#N/A,TRUE,"WES"}</definedName>
    <definedName name="_________TEL95">#REF!</definedName>
    <definedName name="_________TEL96">#REF!</definedName>
    <definedName name="_________TEL97">#REF!</definedName>
    <definedName name="_________TEL98">#REF!</definedName>
    <definedName name="_________TEL99">#REF!</definedName>
    <definedName name="_________WON95">#REF!</definedName>
    <definedName name="_________WON96">#REF!</definedName>
    <definedName name="_________WON97">#REF!</definedName>
    <definedName name="_________WON98">#REF!</definedName>
    <definedName name="_________WON99">#REF!</definedName>
    <definedName name="________Bud3">#REF!</definedName>
    <definedName name="________Bud31">#REF!</definedName>
    <definedName name="________Bud32">#REF!</definedName>
    <definedName name="________cap1">#REF!</definedName>
    <definedName name="________cap2">#REF!</definedName>
    <definedName name="________cop1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20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#REF!</definedName>
    <definedName name="________DAT5">#REF!</definedName>
    <definedName name="________DAT50">#REF!</definedName>
    <definedName name="________DAT51">#REF!</definedName>
    <definedName name="________DAT52">#REF!</definedName>
    <definedName name="________DAT53">#REF!</definedName>
    <definedName name="________DAT54">#REF!</definedName>
    <definedName name="________DAT55">#REF!</definedName>
    <definedName name="________DAT56">#REF!</definedName>
    <definedName name="________DAT57">#REF!</definedName>
    <definedName name="________DAT58">#REF!</definedName>
    <definedName name="________DAT59">#REF!</definedName>
    <definedName name="________DAT6">#REF!</definedName>
    <definedName name="________DAT60">#REF!</definedName>
    <definedName name="________DAT61">#REF!</definedName>
    <definedName name="________DAT62">#REF!</definedName>
    <definedName name="________DAT63">#REF!</definedName>
    <definedName name="________DAT64">#REF!</definedName>
    <definedName name="________DAT65">#REF!</definedName>
    <definedName name="________DAT66">#REF!</definedName>
    <definedName name="________DAT67">#REF!</definedName>
    <definedName name="________DAT68">#REF!</definedName>
    <definedName name="________DAT69">#REF!</definedName>
    <definedName name="________DAT7">#REF!</definedName>
    <definedName name="________DAT70">#REF!</definedName>
    <definedName name="________DAT71">#REF!</definedName>
    <definedName name="________DAT72">#REF!</definedName>
    <definedName name="________DAT73">#REF!</definedName>
    <definedName name="________DAT74">#REF!</definedName>
    <definedName name="________DAT75">#REF!</definedName>
    <definedName name="________DAT76">#REF!</definedName>
    <definedName name="________DAT77">#REF!</definedName>
    <definedName name="________DAT78">#REF!</definedName>
    <definedName name="________DAT79">#REF!</definedName>
    <definedName name="________DAT8">#REF!</definedName>
    <definedName name="________DAT80">#REF!</definedName>
    <definedName name="________DAT81">#REF!</definedName>
    <definedName name="________DAT82">#REF!</definedName>
    <definedName name="________DAT83">#REF!</definedName>
    <definedName name="________DAT84">#REF!</definedName>
    <definedName name="________DAT9">#REF!</definedName>
    <definedName name="________FAX95">#REF!</definedName>
    <definedName name="________FAX96">#REF!</definedName>
    <definedName name="________FAX97">#REF!</definedName>
    <definedName name="________FAX98">#REF!</definedName>
    <definedName name="________FAX99">#REF!</definedName>
    <definedName name="________GRP8">#REF!</definedName>
    <definedName name="________kim1" localSheetId="7">{#N/A,#N/A,TRUE,"ADVANCE SUMM.";#N/A,#N/A,TRUE,"KEITH";#N/A,#N/A,TRUE,"WES"}</definedName>
    <definedName name="________kim1" localSheetId="10" hidden="1">{#N/A,#N/A,TRUE,"ADVANCE SUMM.";#N/A,#N/A,TRUE,"KEITH";#N/A,#N/A,TRUE,"WES"}</definedName>
    <definedName name="________kim1" localSheetId="0" hidden="1">{#N/A,#N/A,TRUE,"ADVANCE SUMM.";#N/A,#N/A,TRUE,"KEITH";#N/A,#N/A,TRUE,"WES"}</definedName>
    <definedName name="________kim1" localSheetId="9" hidden="1">{#N/A,#N/A,TRUE,"ADVANCE SUMM.";#N/A,#N/A,TRUE,"KEITH";#N/A,#N/A,TRUE,"WES"}</definedName>
    <definedName name="________kim1" localSheetId="11" hidden="1">{#N/A,#N/A,TRUE,"ADVANCE SUMM.";#N/A,#N/A,TRUE,"KEITH";#N/A,#N/A,TRUE,"WES"}</definedName>
    <definedName name="________kim1" hidden="1">{#N/A,#N/A,TRUE,"ADVANCE SUMM.";#N/A,#N/A,TRUE,"KEITH";#N/A,#N/A,TRUE,"WES"}</definedName>
    <definedName name="________kim10" localSheetId="7">{#N/A,#N/A,TRUE,"ADVANCE SUMM.";#N/A,#N/A,TRUE,"KEITH";#N/A,#N/A,TRUE,"WES"}</definedName>
    <definedName name="________kim10" localSheetId="10" hidden="1">{#N/A,#N/A,TRUE,"ADVANCE SUMM.";#N/A,#N/A,TRUE,"KEITH";#N/A,#N/A,TRUE,"WES"}</definedName>
    <definedName name="________kim10" localSheetId="0" hidden="1">{#N/A,#N/A,TRUE,"ADVANCE SUMM.";#N/A,#N/A,TRUE,"KEITH";#N/A,#N/A,TRUE,"WES"}</definedName>
    <definedName name="________kim10" localSheetId="9" hidden="1">{#N/A,#N/A,TRUE,"ADVANCE SUMM.";#N/A,#N/A,TRUE,"KEITH";#N/A,#N/A,TRUE,"WES"}</definedName>
    <definedName name="________kim10" localSheetId="11" hidden="1">{#N/A,#N/A,TRUE,"ADVANCE SUMM.";#N/A,#N/A,TRUE,"KEITH";#N/A,#N/A,TRUE,"WES"}</definedName>
    <definedName name="________kim10" hidden="1">{#N/A,#N/A,TRUE,"ADVANCE SUMM.";#N/A,#N/A,TRUE,"KEITH";#N/A,#N/A,TRUE,"WES"}</definedName>
    <definedName name="________kim2" localSheetId="7">{#N/A,#N/A,TRUE,"ADVANCE SUMM.";#N/A,#N/A,TRUE,"KEITH";#N/A,#N/A,TRUE,"WES"}</definedName>
    <definedName name="________kim2" localSheetId="10" hidden="1">{#N/A,#N/A,TRUE,"ADVANCE SUMM.";#N/A,#N/A,TRUE,"KEITH";#N/A,#N/A,TRUE,"WES"}</definedName>
    <definedName name="________kim2" localSheetId="0" hidden="1">{#N/A,#N/A,TRUE,"ADVANCE SUMM.";#N/A,#N/A,TRUE,"KEITH";#N/A,#N/A,TRUE,"WES"}</definedName>
    <definedName name="________kim2" localSheetId="9" hidden="1">{#N/A,#N/A,TRUE,"ADVANCE SUMM.";#N/A,#N/A,TRUE,"KEITH";#N/A,#N/A,TRUE,"WES"}</definedName>
    <definedName name="________kim2" localSheetId="11" hidden="1">{#N/A,#N/A,TRUE,"ADVANCE SUMM.";#N/A,#N/A,TRUE,"KEITH";#N/A,#N/A,TRUE,"WES"}</definedName>
    <definedName name="________kim2" hidden="1">{#N/A,#N/A,TRUE,"ADVANCE SUMM.";#N/A,#N/A,TRUE,"KEITH";#N/A,#N/A,TRUE,"WES"}</definedName>
    <definedName name="________LHI95">#REF!</definedName>
    <definedName name="________LHI96">#REF!</definedName>
    <definedName name="________LHI97">#REF!</definedName>
    <definedName name="________LHI98">#REF!</definedName>
    <definedName name="________LHI99">#REF!</definedName>
    <definedName name="________man1">#REF!</definedName>
    <definedName name="________man2">#REF!</definedName>
    <definedName name="________man3">#REF!</definedName>
    <definedName name="________ms1">#REF!</definedName>
    <definedName name="________ms2">#REF!</definedName>
    <definedName name="________OTH95">#REF!</definedName>
    <definedName name="________OTH96">#REF!</definedName>
    <definedName name="________OTH97">#REF!</definedName>
    <definedName name="________OTH98">#REF!</definedName>
    <definedName name="________OTH99">#REF!</definedName>
    <definedName name="________pg2">#REF!</definedName>
    <definedName name="________pl1">#REF!</definedName>
    <definedName name="________rr2">#REF!</definedName>
    <definedName name="________SCH3">#REF!</definedName>
    <definedName name="________ss1" localSheetId="7">{#N/A,#N/A,TRUE,"ADVANCE SUMM.";#N/A,#N/A,TRUE,"KEITH";#N/A,#N/A,TRUE,"WES"}</definedName>
    <definedName name="________ss1" localSheetId="10" hidden="1">{#N/A,#N/A,TRUE,"ADVANCE SUMM.";#N/A,#N/A,TRUE,"KEITH";#N/A,#N/A,TRUE,"WES"}</definedName>
    <definedName name="________ss1" localSheetId="0" hidden="1">{#N/A,#N/A,TRUE,"ADVANCE SUMM.";#N/A,#N/A,TRUE,"KEITH";#N/A,#N/A,TRUE,"WES"}</definedName>
    <definedName name="________ss1" localSheetId="9" hidden="1">{#N/A,#N/A,TRUE,"ADVANCE SUMM.";#N/A,#N/A,TRUE,"KEITH";#N/A,#N/A,TRUE,"WES"}</definedName>
    <definedName name="________ss1" localSheetId="11" hidden="1">{#N/A,#N/A,TRUE,"ADVANCE SUMM.";#N/A,#N/A,TRUE,"KEITH";#N/A,#N/A,TRUE,"WES"}</definedName>
    <definedName name="________ss1" hidden="1">{#N/A,#N/A,TRUE,"ADVANCE SUMM.";#N/A,#N/A,TRUE,"KEITH";#N/A,#N/A,TRUE,"WES"}</definedName>
    <definedName name="________TEL95">#REF!</definedName>
    <definedName name="________TEL96">#REF!</definedName>
    <definedName name="________TEL97">#REF!</definedName>
    <definedName name="________TEL98">#REF!</definedName>
    <definedName name="________TEL99">#REF!</definedName>
    <definedName name="________WON95">#REF!</definedName>
    <definedName name="________WON96">#REF!</definedName>
    <definedName name="________WON97">#REF!</definedName>
    <definedName name="________WON98">#REF!</definedName>
    <definedName name="________WON99">#REF!</definedName>
    <definedName name="_______Bud3">#REF!</definedName>
    <definedName name="_______Bud31">#REF!</definedName>
    <definedName name="_______Bud32">#REF!</definedName>
    <definedName name="_______cap1">#REF!</definedName>
    <definedName name="_______cap2">#REF!</definedName>
    <definedName name="_______cop1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20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>#REF!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">#REF!</definedName>
    <definedName name="_______DAT70">#REF!</definedName>
    <definedName name="_______DAT71">#REF!</definedName>
    <definedName name="_______DAT72">#REF!</definedName>
    <definedName name="_______DAT73">#REF!</definedName>
    <definedName name="_______DAT74">#REF!</definedName>
    <definedName name="_______DAT75">#REF!</definedName>
    <definedName name="_______DAT76">#REF!</definedName>
    <definedName name="_______DAT77">#REF!</definedName>
    <definedName name="_______DAT78">#REF!</definedName>
    <definedName name="_______DAT79">#REF!</definedName>
    <definedName name="_______DAT8">#REF!</definedName>
    <definedName name="_______DAT80">#REF!</definedName>
    <definedName name="_______DAT81">#REF!</definedName>
    <definedName name="_______DAT82">#REF!</definedName>
    <definedName name="_______DAT83">#REF!</definedName>
    <definedName name="_______DAT84">#REF!</definedName>
    <definedName name="_______DAT9">#REF!</definedName>
    <definedName name="_______FAX95">#REF!</definedName>
    <definedName name="_______FAX96">#REF!</definedName>
    <definedName name="_______FAX97">#REF!</definedName>
    <definedName name="_______FAX98">#REF!</definedName>
    <definedName name="_______FAX99">#REF!</definedName>
    <definedName name="_______GRP8">#REF!</definedName>
    <definedName name="_______kim1" localSheetId="7">{#N/A,#N/A,TRUE,"ADVANCE SUMM.";#N/A,#N/A,TRUE,"KEITH";#N/A,#N/A,TRUE,"WES"}</definedName>
    <definedName name="_______kim1" localSheetId="10" hidden="1">{#N/A,#N/A,TRUE,"ADVANCE SUMM.";#N/A,#N/A,TRUE,"KEITH";#N/A,#N/A,TRUE,"WES"}</definedName>
    <definedName name="_______kim1" localSheetId="0" hidden="1">{#N/A,#N/A,TRUE,"ADVANCE SUMM.";#N/A,#N/A,TRUE,"KEITH";#N/A,#N/A,TRUE,"WES"}</definedName>
    <definedName name="_______kim1" localSheetId="9" hidden="1">{#N/A,#N/A,TRUE,"ADVANCE SUMM.";#N/A,#N/A,TRUE,"KEITH";#N/A,#N/A,TRUE,"WES"}</definedName>
    <definedName name="_______kim1" localSheetId="11" hidden="1">{#N/A,#N/A,TRUE,"ADVANCE SUMM.";#N/A,#N/A,TRUE,"KEITH";#N/A,#N/A,TRUE,"WES"}</definedName>
    <definedName name="_______kim1" hidden="1">{#N/A,#N/A,TRUE,"ADVANCE SUMM.";#N/A,#N/A,TRUE,"KEITH";#N/A,#N/A,TRUE,"WES"}</definedName>
    <definedName name="_______kim10" localSheetId="7">{#N/A,#N/A,TRUE,"ADVANCE SUMM.";#N/A,#N/A,TRUE,"KEITH";#N/A,#N/A,TRUE,"WES"}</definedName>
    <definedName name="_______kim10" localSheetId="10" hidden="1">{#N/A,#N/A,TRUE,"ADVANCE SUMM.";#N/A,#N/A,TRUE,"KEITH";#N/A,#N/A,TRUE,"WES"}</definedName>
    <definedName name="_______kim10" localSheetId="0" hidden="1">{#N/A,#N/A,TRUE,"ADVANCE SUMM.";#N/A,#N/A,TRUE,"KEITH";#N/A,#N/A,TRUE,"WES"}</definedName>
    <definedName name="_______kim10" localSheetId="9" hidden="1">{#N/A,#N/A,TRUE,"ADVANCE SUMM.";#N/A,#N/A,TRUE,"KEITH";#N/A,#N/A,TRUE,"WES"}</definedName>
    <definedName name="_______kim10" localSheetId="11" hidden="1">{#N/A,#N/A,TRUE,"ADVANCE SUMM.";#N/A,#N/A,TRUE,"KEITH";#N/A,#N/A,TRUE,"WES"}</definedName>
    <definedName name="_______kim10" hidden="1">{#N/A,#N/A,TRUE,"ADVANCE SUMM.";#N/A,#N/A,TRUE,"KEITH";#N/A,#N/A,TRUE,"WES"}</definedName>
    <definedName name="_______kim2" localSheetId="7">{#N/A,#N/A,TRUE,"ADVANCE SUMM.";#N/A,#N/A,TRUE,"KEITH";#N/A,#N/A,TRUE,"WES"}</definedName>
    <definedName name="_______kim2" localSheetId="10" hidden="1">{#N/A,#N/A,TRUE,"ADVANCE SUMM.";#N/A,#N/A,TRUE,"KEITH";#N/A,#N/A,TRUE,"WES"}</definedName>
    <definedName name="_______kim2" localSheetId="0" hidden="1">{#N/A,#N/A,TRUE,"ADVANCE SUMM.";#N/A,#N/A,TRUE,"KEITH";#N/A,#N/A,TRUE,"WES"}</definedName>
    <definedName name="_______kim2" localSheetId="9" hidden="1">{#N/A,#N/A,TRUE,"ADVANCE SUMM.";#N/A,#N/A,TRUE,"KEITH";#N/A,#N/A,TRUE,"WES"}</definedName>
    <definedName name="_______kim2" localSheetId="11" hidden="1">{#N/A,#N/A,TRUE,"ADVANCE SUMM.";#N/A,#N/A,TRUE,"KEITH";#N/A,#N/A,TRUE,"WES"}</definedName>
    <definedName name="_______kim2" hidden="1">{#N/A,#N/A,TRUE,"ADVANCE SUMM.";#N/A,#N/A,TRUE,"KEITH";#N/A,#N/A,TRUE,"WES"}</definedName>
    <definedName name="_______LHI95">#REF!</definedName>
    <definedName name="_______LHI96">#REF!</definedName>
    <definedName name="_______LHI97">#REF!</definedName>
    <definedName name="_______LHI98">#REF!</definedName>
    <definedName name="_______LHI99">#REF!</definedName>
    <definedName name="_______man1">#REF!</definedName>
    <definedName name="_______man2">#REF!</definedName>
    <definedName name="_______man3">#REF!</definedName>
    <definedName name="_______ms1">#REF!</definedName>
    <definedName name="_______ms2">#REF!</definedName>
    <definedName name="_______OTH95">#REF!</definedName>
    <definedName name="_______OTH96">#REF!</definedName>
    <definedName name="_______OTH97">#REF!</definedName>
    <definedName name="_______OTH98">#REF!</definedName>
    <definedName name="_______OTH99">#REF!</definedName>
    <definedName name="_______pg2">#REF!</definedName>
    <definedName name="_______pl1">#REF!</definedName>
    <definedName name="_______rr2">#REF!</definedName>
    <definedName name="_______SCH3">#REF!</definedName>
    <definedName name="_______ss1" localSheetId="7">{#N/A,#N/A,TRUE,"ADVANCE SUMM.";#N/A,#N/A,TRUE,"KEITH";#N/A,#N/A,TRUE,"WES"}</definedName>
    <definedName name="_______ss1" localSheetId="10" hidden="1">{#N/A,#N/A,TRUE,"ADVANCE SUMM.";#N/A,#N/A,TRUE,"KEITH";#N/A,#N/A,TRUE,"WES"}</definedName>
    <definedName name="_______ss1" localSheetId="0" hidden="1">{#N/A,#N/A,TRUE,"ADVANCE SUMM.";#N/A,#N/A,TRUE,"KEITH";#N/A,#N/A,TRUE,"WES"}</definedName>
    <definedName name="_______ss1" localSheetId="9" hidden="1">{#N/A,#N/A,TRUE,"ADVANCE SUMM.";#N/A,#N/A,TRUE,"KEITH";#N/A,#N/A,TRUE,"WES"}</definedName>
    <definedName name="_______ss1" localSheetId="11" hidden="1">{#N/A,#N/A,TRUE,"ADVANCE SUMM.";#N/A,#N/A,TRUE,"KEITH";#N/A,#N/A,TRUE,"WES"}</definedName>
    <definedName name="_______ss1" hidden="1">{#N/A,#N/A,TRUE,"ADVANCE SUMM.";#N/A,#N/A,TRUE,"KEITH";#N/A,#N/A,TRUE,"WES"}</definedName>
    <definedName name="_______TEL95">#REF!</definedName>
    <definedName name="_______TEL96">#REF!</definedName>
    <definedName name="_______TEL97">#REF!</definedName>
    <definedName name="_______TEL98">#REF!</definedName>
    <definedName name="_______TEL99">#REF!</definedName>
    <definedName name="_______WON95">#REF!</definedName>
    <definedName name="_______WON96">#REF!</definedName>
    <definedName name="_______WON97">#REF!</definedName>
    <definedName name="_______WON98">#REF!</definedName>
    <definedName name="_______WON99">#REF!</definedName>
    <definedName name="______Anx1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1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1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1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1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7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7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7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7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7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Anx7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__Bud3">#REF!</definedName>
    <definedName name="______Bud31">#REF!</definedName>
    <definedName name="______Bud32">#REF!</definedName>
    <definedName name="______cap1">#REF!</definedName>
    <definedName name="______cap2">#REF!</definedName>
    <definedName name="______col1">#REF!</definedName>
    <definedName name="______col10">#REF!</definedName>
    <definedName name="______col11">#REF!</definedName>
    <definedName name="______col12">#REF!</definedName>
    <definedName name="______col13">#REF!</definedName>
    <definedName name="______col2">#REF!</definedName>
    <definedName name="______col3">#REF!</definedName>
    <definedName name="______col4">#REF!</definedName>
    <definedName name="______col5">#REF!</definedName>
    <definedName name="______col6">#REF!</definedName>
    <definedName name="______col7">#REF!</definedName>
    <definedName name="______col8">#REF!</definedName>
    <definedName name="______col9">#REF!</definedName>
    <definedName name="______cop1">#REF!</definedName>
    <definedName name="______DAT1">#REF!</definedName>
    <definedName name="______DAT10">#REF!</definedName>
    <definedName name="______DAT11">#REF!</definedName>
    <definedName name="______DAT12">#REF!</definedName>
    <definedName name="______DAT120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>#REF!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>#REF!</definedName>
    <definedName name="______DAT60">#REF!</definedName>
    <definedName name="______DAT61">#REF!</definedName>
    <definedName name="______DAT62">#REF!</definedName>
    <definedName name="______DAT63">#REF!</definedName>
    <definedName name="______DAT64">#REF!</definedName>
    <definedName name="______DAT65">#REF!</definedName>
    <definedName name="______DAT66">#REF!</definedName>
    <definedName name="______DAT67">#REF!</definedName>
    <definedName name="______DAT68">#REF!</definedName>
    <definedName name="______DAT69">#REF!</definedName>
    <definedName name="______DAT7">#REF!</definedName>
    <definedName name="______DAT70">#REF!</definedName>
    <definedName name="______DAT71">#REF!</definedName>
    <definedName name="______DAT72">#REF!</definedName>
    <definedName name="______DAT73">#REF!</definedName>
    <definedName name="______DAT74">#REF!</definedName>
    <definedName name="______DAT75">#REF!</definedName>
    <definedName name="______DAT76">#REF!</definedName>
    <definedName name="______DAT77">#REF!</definedName>
    <definedName name="______DAT78">#REF!</definedName>
    <definedName name="______DAT79">#REF!</definedName>
    <definedName name="______DAT8">#REF!</definedName>
    <definedName name="______DAT80">#REF!</definedName>
    <definedName name="______DAT81">#REF!</definedName>
    <definedName name="______DAT82">#REF!</definedName>
    <definedName name="______DAT83">#REF!</definedName>
    <definedName name="______DAT84">#REF!</definedName>
    <definedName name="______DAT9">#REF!</definedName>
    <definedName name="______FAX95">#REF!</definedName>
    <definedName name="______FAX96">#REF!</definedName>
    <definedName name="______FAX97">#REF!</definedName>
    <definedName name="______FAX98">#REF!</definedName>
    <definedName name="______FAX99">#REF!</definedName>
    <definedName name="______GRP8">#REF!</definedName>
    <definedName name="______H16800">#REF!</definedName>
    <definedName name="______kim1" localSheetId="7">{#N/A,#N/A,TRUE,"ADVANCE SUMM.";#N/A,#N/A,TRUE,"KEITH";#N/A,#N/A,TRUE,"WES"}</definedName>
    <definedName name="______kim1" localSheetId="10" hidden="1">{#N/A,#N/A,TRUE,"ADVANCE SUMM.";#N/A,#N/A,TRUE,"KEITH";#N/A,#N/A,TRUE,"WES"}</definedName>
    <definedName name="______kim1" localSheetId="0" hidden="1">{#N/A,#N/A,TRUE,"ADVANCE SUMM.";#N/A,#N/A,TRUE,"KEITH";#N/A,#N/A,TRUE,"WES"}</definedName>
    <definedName name="______kim1" localSheetId="9" hidden="1">{#N/A,#N/A,TRUE,"ADVANCE SUMM.";#N/A,#N/A,TRUE,"KEITH";#N/A,#N/A,TRUE,"WES"}</definedName>
    <definedName name="______kim1" localSheetId="11" hidden="1">{#N/A,#N/A,TRUE,"ADVANCE SUMM.";#N/A,#N/A,TRUE,"KEITH";#N/A,#N/A,TRUE,"WES"}</definedName>
    <definedName name="______kim1" hidden="1">{#N/A,#N/A,TRUE,"ADVANCE SUMM.";#N/A,#N/A,TRUE,"KEITH";#N/A,#N/A,TRUE,"WES"}</definedName>
    <definedName name="______kim10" localSheetId="7">{#N/A,#N/A,TRUE,"ADVANCE SUMM.";#N/A,#N/A,TRUE,"KEITH";#N/A,#N/A,TRUE,"WES"}</definedName>
    <definedName name="______kim10" localSheetId="10" hidden="1">{#N/A,#N/A,TRUE,"ADVANCE SUMM.";#N/A,#N/A,TRUE,"KEITH";#N/A,#N/A,TRUE,"WES"}</definedName>
    <definedName name="______kim10" localSheetId="0" hidden="1">{#N/A,#N/A,TRUE,"ADVANCE SUMM.";#N/A,#N/A,TRUE,"KEITH";#N/A,#N/A,TRUE,"WES"}</definedName>
    <definedName name="______kim10" localSheetId="9" hidden="1">{#N/A,#N/A,TRUE,"ADVANCE SUMM.";#N/A,#N/A,TRUE,"KEITH";#N/A,#N/A,TRUE,"WES"}</definedName>
    <definedName name="______kim10" localSheetId="11" hidden="1">{#N/A,#N/A,TRUE,"ADVANCE SUMM.";#N/A,#N/A,TRUE,"KEITH";#N/A,#N/A,TRUE,"WES"}</definedName>
    <definedName name="______kim10" hidden="1">{#N/A,#N/A,TRUE,"ADVANCE SUMM.";#N/A,#N/A,TRUE,"KEITH";#N/A,#N/A,TRUE,"WES"}</definedName>
    <definedName name="______kim2" localSheetId="7">{#N/A,#N/A,TRUE,"ADVANCE SUMM.";#N/A,#N/A,TRUE,"KEITH";#N/A,#N/A,TRUE,"WES"}</definedName>
    <definedName name="______kim2" localSheetId="10" hidden="1">{#N/A,#N/A,TRUE,"ADVANCE SUMM.";#N/A,#N/A,TRUE,"KEITH";#N/A,#N/A,TRUE,"WES"}</definedName>
    <definedName name="______kim2" localSheetId="0" hidden="1">{#N/A,#N/A,TRUE,"ADVANCE SUMM.";#N/A,#N/A,TRUE,"KEITH";#N/A,#N/A,TRUE,"WES"}</definedName>
    <definedName name="______kim2" localSheetId="9" hidden="1">{#N/A,#N/A,TRUE,"ADVANCE SUMM.";#N/A,#N/A,TRUE,"KEITH";#N/A,#N/A,TRUE,"WES"}</definedName>
    <definedName name="______kim2" localSheetId="11" hidden="1">{#N/A,#N/A,TRUE,"ADVANCE SUMM.";#N/A,#N/A,TRUE,"KEITH";#N/A,#N/A,TRUE,"WES"}</definedName>
    <definedName name="______kim2" hidden="1">{#N/A,#N/A,TRUE,"ADVANCE SUMM.";#N/A,#N/A,TRUE,"KEITH";#N/A,#N/A,TRUE,"WES"}</definedName>
    <definedName name="______LHI95">#REF!</definedName>
    <definedName name="______LHI96">#REF!</definedName>
    <definedName name="______LHI97">#REF!</definedName>
    <definedName name="______LHI98">#REF!</definedName>
    <definedName name="______LHI99">#REF!</definedName>
    <definedName name="______man1">#REF!</definedName>
    <definedName name="______man2">#REF!</definedName>
    <definedName name="______man3">#REF!</definedName>
    <definedName name="______MAR9091">#REF!</definedName>
    <definedName name="______mfg1">#REF!</definedName>
    <definedName name="______mfg2">#REF!</definedName>
    <definedName name="______ms1">#REF!</definedName>
    <definedName name="______ms2">#REF!</definedName>
    <definedName name="______OTH95">#REF!</definedName>
    <definedName name="______OTH96">#REF!</definedName>
    <definedName name="______OTH97">#REF!</definedName>
    <definedName name="______OTH98">#REF!</definedName>
    <definedName name="______OTH99">#REF!</definedName>
    <definedName name="______pg2">#REF!</definedName>
    <definedName name="______pl1">#REF!</definedName>
    <definedName name="______rr2">#REF!</definedName>
    <definedName name="______SCH3">#REF!</definedName>
    <definedName name="______ss1" localSheetId="7">{#N/A,#N/A,TRUE,"ADVANCE SUMM.";#N/A,#N/A,TRUE,"KEITH";#N/A,#N/A,TRUE,"WES"}</definedName>
    <definedName name="______ss1" localSheetId="10" hidden="1">{#N/A,#N/A,TRUE,"ADVANCE SUMM.";#N/A,#N/A,TRUE,"KEITH";#N/A,#N/A,TRUE,"WES"}</definedName>
    <definedName name="______ss1" localSheetId="0" hidden="1">{#N/A,#N/A,TRUE,"ADVANCE SUMM.";#N/A,#N/A,TRUE,"KEITH";#N/A,#N/A,TRUE,"WES"}</definedName>
    <definedName name="______ss1" localSheetId="9" hidden="1">{#N/A,#N/A,TRUE,"ADVANCE SUMM.";#N/A,#N/A,TRUE,"KEITH";#N/A,#N/A,TRUE,"WES"}</definedName>
    <definedName name="______ss1" localSheetId="11" hidden="1">{#N/A,#N/A,TRUE,"ADVANCE SUMM.";#N/A,#N/A,TRUE,"KEITH";#N/A,#N/A,TRUE,"WES"}</definedName>
    <definedName name="______ss1" hidden="1">{#N/A,#N/A,TRUE,"ADVANCE SUMM.";#N/A,#N/A,TRUE,"KEITH";#N/A,#N/A,TRUE,"WES"}</definedName>
    <definedName name="______TEL95">#REF!</definedName>
    <definedName name="______TEL96">#REF!</definedName>
    <definedName name="______TEL97">#REF!</definedName>
    <definedName name="______TEL98">#REF!</definedName>
    <definedName name="______TEL99">#REF!</definedName>
    <definedName name="______WON95">#REF!</definedName>
    <definedName name="______WON96">#REF!</definedName>
    <definedName name="______WON97">#REF!</definedName>
    <definedName name="______WON98">#REF!</definedName>
    <definedName name="______WON99">#REF!</definedName>
    <definedName name="_____anx2">#REF!</definedName>
    <definedName name="_____avg1">#REF!</definedName>
    <definedName name="_____Bud3">#REF!</definedName>
    <definedName name="_____Bud31">#REF!</definedName>
    <definedName name="_____Bud32">#REF!</definedName>
    <definedName name="_____cap1">#REF!</definedName>
    <definedName name="_____cap2">#REF!</definedName>
    <definedName name="_____clo05">#REF!</definedName>
    <definedName name="_____col1">#REF!</definedName>
    <definedName name="_____col10">#REF!</definedName>
    <definedName name="_____col11">#REF!</definedName>
    <definedName name="_____col12">#REF!</definedName>
    <definedName name="_____col13">#REF!</definedName>
    <definedName name="_____col2">#REF!</definedName>
    <definedName name="_____col3">#REF!</definedName>
    <definedName name="_____col4">#REF!</definedName>
    <definedName name="_____col5">#REF!</definedName>
    <definedName name="_____col6">#REF!</definedName>
    <definedName name="_____col7">#REF!</definedName>
    <definedName name="_____col8">#REF!</definedName>
    <definedName name="_____col9">#REF!</definedName>
    <definedName name="_____cop1">#REF!</definedName>
    <definedName name="_____DAT1">#REF!</definedName>
    <definedName name="_____DAT10">#REF!</definedName>
    <definedName name="_____DAT11">#REF!</definedName>
    <definedName name="_____DAT12">#REF!</definedName>
    <definedName name="_____DAT120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#REF!</definedName>
    <definedName name="_____DAT70">#REF!</definedName>
    <definedName name="_____DAT71">#REF!</definedName>
    <definedName name="_____DAT72">#REF!</definedName>
    <definedName name="_____DAT73">#REF!</definedName>
    <definedName name="_____DAT74">#REF!</definedName>
    <definedName name="_____DAT75">#REF!</definedName>
    <definedName name="_____DAT76">#REF!</definedName>
    <definedName name="_____DAT77">#REF!</definedName>
    <definedName name="_____DAT78">#REF!</definedName>
    <definedName name="_____DAT79">#REF!</definedName>
    <definedName name="_____DAT8">#REF!</definedName>
    <definedName name="_____DAT80">#REF!</definedName>
    <definedName name="_____DAT81">#REF!</definedName>
    <definedName name="_____DAT82">#REF!</definedName>
    <definedName name="_____DAT83">#REF!</definedName>
    <definedName name="_____DAT84">#REF!</definedName>
    <definedName name="_____DAT9">#REF!</definedName>
    <definedName name="_____FAX95">#REF!</definedName>
    <definedName name="_____FAX96">#REF!</definedName>
    <definedName name="_____FAX97">#REF!</definedName>
    <definedName name="_____FAX98">#REF!</definedName>
    <definedName name="_____FAX99">#REF!</definedName>
    <definedName name="_____GRP8">#REF!</definedName>
    <definedName name="_____key2" hidden="1">#REF!</definedName>
    <definedName name="_____kim1" localSheetId="7">{#N/A,#N/A,TRUE,"ADVANCE SUMM.";#N/A,#N/A,TRUE,"KEITH";#N/A,#N/A,TRUE,"WES"}</definedName>
    <definedName name="_____kim1" localSheetId="10" hidden="1">{#N/A,#N/A,TRUE,"ADVANCE SUMM.";#N/A,#N/A,TRUE,"KEITH";#N/A,#N/A,TRUE,"WES"}</definedName>
    <definedName name="_____kim1" localSheetId="0" hidden="1">{#N/A,#N/A,TRUE,"ADVANCE SUMM.";#N/A,#N/A,TRUE,"KEITH";#N/A,#N/A,TRUE,"WES"}</definedName>
    <definedName name="_____kim1" localSheetId="9" hidden="1">{#N/A,#N/A,TRUE,"ADVANCE SUMM.";#N/A,#N/A,TRUE,"KEITH";#N/A,#N/A,TRUE,"WES"}</definedName>
    <definedName name="_____kim1" localSheetId="11" hidden="1">{#N/A,#N/A,TRUE,"ADVANCE SUMM.";#N/A,#N/A,TRUE,"KEITH";#N/A,#N/A,TRUE,"WES"}</definedName>
    <definedName name="_____kim1" hidden="1">{#N/A,#N/A,TRUE,"ADVANCE SUMM.";#N/A,#N/A,TRUE,"KEITH";#N/A,#N/A,TRUE,"WES"}</definedName>
    <definedName name="_____kim10" localSheetId="7">{#N/A,#N/A,TRUE,"ADVANCE SUMM.";#N/A,#N/A,TRUE,"KEITH";#N/A,#N/A,TRUE,"WES"}</definedName>
    <definedName name="_____kim10" localSheetId="10" hidden="1">{#N/A,#N/A,TRUE,"ADVANCE SUMM.";#N/A,#N/A,TRUE,"KEITH";#N/A,#N/A,TRUE,"WES"}</definedName>
    <definedName name="_____kim10" localSheetId="0" hidden="1">{#N/A,#N/A,TRUE,"ADVANCE SUMM.";#N/A,#N/A,TRUE,"KEITH";#N/A,#N/A,TRUE,"WES"}</definedName>
    <definedName name="_____kim10" localSheetId="9" hidden="1">{#N/A,#N/A,TRUE,"ADVANCE SUMM.";#N/A,#N/A,TRUE,"KEITH";#N/A,#N/A,TRUE,"WES"}</definedName>
    <definedName name="_____kim10" localSheetId="11" hidden="1">{#N/A,#N/A,TRUE,"ADVANCE SUMM.";#N/A,#N/A,TRUE,"KEITH";#N/A,#N/A,TRUE,"WES"}</definedName>
    <definedName name="_____kim10" hidden="1">{#N/A,#N/A,TRUE,"ADVANCE SUMM.";#N/A,#N/A,TRUE,"KEITH";#N/A,#N/A,TRUE,"WES"}</definedName>
    <definedName name="_____kim2" localSheetId="7">{#N/A,#N/A,TRUE,"ADVANCE SUMM.";#N/A,#N/A,TRUE,"KEITH";#N/A,#N/A,TRUE,"WES"}</definedName>
    <definedName name="_____kim2" localSheetId="10" hidden="1">{#N/A,#N/A,TRUE,"ADVANCE SUMM.";#N/A,#N/A,TRUE,"KEITH";#N/A,#N/A,TRUE,"WES"}</definedName>
    <definedName name="_____kim2" localSheetId="0" hidden="1">{#N/A,#N/A,TRUE,"ADVANCE SUMM.";#N/A,#N/A,TRUE,"KEITH";#N/A,#N/A,TRUE,"WES"}</definedName>
    <definedName name="_____kim2" localSheetId="9" hidden="1">{#N/A,#N/A,TRUE,"ADVANCE SUMM.";#N/A,#N/A,TRUE,"KEITH";#N/A,#N/A,TRUE,"WES"}</definedName>
    <definedName name="_____kim2" localSheetId="11" hidden="1">{#N/A,#N/A,TRUE,"ADVANCE SUMM.";#N/A,#N/A,TRUE,"KEITH";#N/A,#N/A,TRUE,"WES"}</definedName>
    <definedName name="_____kim2" hidden="1">{#N/A,#N/A,TRUE,"ADVANCE SUMM.";#N/A,#N/A,TRUE,"KEITH";#N/A,#N/A,TRUE,"WES"}</definedName>
    <definedName name="_____LHI95">#REF!</definedName>
    <definedName name="_____LHI96">#REF!</definedName>
    <definedName name="_____LHI97">#REF!</definedName>
    <definedName name="_____LHI98">#REF!</definedName>
    <definedName name="_____LHI99">#REF!</definedName>
    <definedName name="_____man1">#REF!</definedName>
    <definedName name="_____man2">#REF!</definedName>
    <definedName name="_____man3">#REF!</definedName>
    <definedName name="_____MAR9091">#REF!</definedName>
    <definedName name="_____mfg1">#REF!</definedName>
    <definedName name="_____mfg2">#REF!</definedName>
    <definedName name="_____ms1">#REF!</definedName>
    <definedName name="_____ms2">#REF!</definedName>
    <definedName name="_____OTH95">#REF!</definedName>
    <definedName name="_____OTH96">#REF!</definedName>
    <definedName name="_____OTH97">#REF!</definedName>
    <definedName name="_____OTH98">#REF!</definedName>
    <definedName name="_____OTH99">#REF!</definedName>
    <definedName name="_____pg2">#REF!</definedName>
    <definedName name="_____pl1">#REF!</definedName>
    <definedName name="_____rr2">#REF!</definedName>
    <definedName name="_____SCH3">#REF!</definedName>
    <definedName name="_____ss1" localSheetId="7">{#N/A,#N/A,TRUE,"ADVANCE SUMM.";#N/A,#N/A,TRUE,"KEITH";#N/A,#N/A,TRUE,"WES"}</definedName>
    <definedName name="_____ss1" localSheetId="10" hidden="1">{#N/A,#N/A,TRUE,"ADVANCE SUMM.";#N/A,#N/A,TRUE,"KEITH";#N/A,#N/A,TRUE,"WES"}</definedName>
    <definedName name="_____ss1" localSheetId="0" hidden="1">{#N/A,#N/A,TRUE,"ADVANCE SUMM.";#N/A,#N/A,TRUE,"KEITH";#N/A,#N/A,TRUE,"WES"}</definedName>
    <definedName name="_____ss1" localSheetId="9" hidden="1">{#N/A,#N/A,TRUE,"ADVANCE SUMM.";#N/A,#N/A,TRUE,"KEITH";#N/A,#N/A,TRUE,"WES"}</definedName>
    <definedName name="_____ss1" localSheetId="11" hidden="1">{#N/A,#N/A,TRUE,"ADVANCE SUMM.";#N/A,#N/A,TRUE,"KEITH";#N/A,#N/A,TRUE,"WES"}</definedName>
    <definedName name="_____ss1" hidden="1">{#N/A,#N/A,TRUE,"ADVANCE SUMM.";#N/A,#N/A,TRUE,"KEITH";#N/A,#N/A,TRUE,"WES"}</definedName>
    <definedName name="_____TEL95">#REF!</definedName>
    <definedName name="_____TEL96">#REF!</definedName>
    <definedName name="_____TEL97">#REF!</definedName>
    <definedName name="_____TEL98">#REF!</definedName>
    <definedName name="_____TEL99">#REF!</definedName>
    <definedName name="_____WON95">#REF!</definedName>
    <definedName name="_____WON96">#REF!</definedName>
    <definedName name="_____WON97">#REF!</definedName>
    <definedName name="_____WON98">#REF!</definedName>
    <definedName name="_____WON99">#REF!</definedName>
    <definedName name="____Anx1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1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1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1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1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2">#REF!</definedName>
    <definedName name="____Anx7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7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7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7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7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nx7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_avg1">#REF!</definedName>
    <definedName name="____Bud3">#REF!</definedName>
    <definedName name="____Bud31">#REF!</definedName>
    <definedName name="____Bud32">#REF!</definedName>
    <definedName name="____cap1">#REF!</definedName>
    <definedName name="____cap2">#REF!</definedName>
    <definedName name="____clo05">#REF!</definedName>
    <definedName name="____col1">#REF!</definedName>
    <definedName name="____col10">#REF!</definedName>
    <definedName name="____col11">#REF!</definedName>
    <definedName name="____col12">#REF!</definedName>
    <definedName name="____col13">#REF!</definedName>
    <definedName name="____col2">#REF!</definedName>
    <definedName name="____col3">#REF!</definedName>
    <definedName name="____col4">#REF!</definedName>
    <definedName name="____col5">#REF!</definedName>
    <definedName name="____col6">#REF!</definedName>
    <definedName name="____col7">#REF!</definedName>
    <definedName name="____col8">#REF!</definedName>
    <definedName name="____col9">#REF!</definedName>
    <definedName name="____cop1">#REF!</definedName>
    <definedName name="____DAT1">#REF!</definedName>
    <definedName name="____DAT10">#REF!</definedName>
    <definedName name="____DAT11">#REF!</definedName>
    <definedName name="____DAT12">#REF!</definedName>
    <definedName name="____DAT120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69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9">#REF!</definedName>
    <definedName name="____FAX95">#REF!</definedName>
    <definedName name="____FAX96">#REF!</definedName>
    <definedName name="____FAX97">#REF!</definedName>
    <definedName name="____FAX98">#REF!</definedName>
    <definedName name="____FAX99">#REF!</definedName>
    <definedName name="____GRP8">#REF!</definedName>
    <definedName name="____H16800">#REF!</definedName>
    <definedName name="____key2" hidden="1">#REF!</definedName>
    <definedName name="____kim1" localSheetId="7">{#N/A,#N/A,TRUE,"ADVANCE SUMM.";#N/A,#N/A,TRUE,"KEITH";#N/A,#N/A,TRUE,"WES"}</definedName>
    <definedName name="____kim1" localSheetId="10" hidden="1">{#N/A,#N/A,TRUE,"ADVANCE SUMM.";#N/A,#N/A,TRUE,"KEITH";#N/A,#N/A,TRUE,"WES"}</definedName>
    <definedName name="____kim1" localSheetId="0" hidden="1">{#N/A,#N/A,TRUE,"ADVANCE SUMM.";#N/A,#N/A,TRUE,"KEITH";#N/A,#N/A,TRUE,"WES"}</definedName>
    <definedName name="____kim1" localSheetId="9" hidden="1">{#N/A,#N/A,TRUE,"ADVANCE SUMM.";#N/A,#N/A,TRUE,"KEITH";#N/A,#N/A,TRUE,"WES"}</definedName>
    <definedName name="____kim1" localSheetId="11" hidden="1">{#N/A,#N/A,TRUE,"ADVANCE SUMM.";#N/A,#N/A,TRUE,"KEITH";#N/A,#N/A,TRUE,"WES"}</definedName>
    <definedName name="____kim1" hidden="1">{#N/A,#N/A,TRUE,"ADVANCE SUMM.";#N/A,#N/A,TRUE,"KEITH";#N/A,#N/A,TRUE,"WES"}</definedName>
    <definedName name="____kim10" localSheetId="7">{#N/A,#N/A,TRUE,"ADVANCE SUMM.";#N/A,#N/A,TRUE,"KEITH";#N/A,#N/A,TRUE,"WES"}</definedName>
    <definedName name="____kim10" localSheetId="10" hidden="1">{#N/A,#N/A,TRUE,"ADVANCE SUMM.";#N/A,#N/A,TRUE,"KEITH";#N/A,#N/A,TRUE,"WES"}</definedName>
    <definedName name="____kim10" localSheetId="0" hidden="1">{#N/A,#N/A,TRUE,"ADVANCE SUMM.";#N/A,#N/A,TRUE,"KEITH";#N/A,#N/A,TRUE,"WES"}</definedName>
    <definedName name="____kim10" localSheetId="9" hidden="1">{#N/A,#N/A,TRUE,"ADVANCE SUMM.";#N/A,#N/A,TRUE,"KEITH";#N/A,#N/A,TRUE,"WES"}</definedName>
    <definedName name="____kim10" localSheetId="11" hidden="1">{#N/A,#N/A,TRUE,"ADVANCE SUMM.";#N/A,#N/A,TRUE,"KEITH";#N/A,#N/A,TRUE,"WES"}</definedName>
    <definedName name="____kim10" hidden="1">{#N/A,#N/A,TRUE,"ADVANCE SUMM.";#N/A,#N/A,TRUE,"KEITH";#N/A,#N/A,TRUE,"WES"}</definedName>
    <definedName name="____kim2" localSheetId="7">{#N/A,#N/A,TRUE,"ADVANCE SUMM.";#N/A,#N/A,TRUE,"KEITH";#N/A,#N/A,TRUE,"WES"}</definedName>
    <definedName name="____kim2" localSheetId="10" hidden="1">{#N/A,#N/A,TRUE,"ADVANCE SUMM.";#N/A,#N/A,TRUE,"KEITH";#N/A,#N/A,TRUE,"WES"}</definedName>
    <definedName name="____kim2" localSheetId="0" hidden="1">{#N/A,#N/A,TRUE,"ADVANCE SUMM.";#N/A,#N/A,TRUE,"KEITH";#N/A,#N/A,TRUE,"WES"}</definedName>
    <definedName name="____kim2" localSheetId="9" hidden="1">{#N/A,#N/A,TRUE,"ADVANCE SUMM.";#N/A,#N/A,TRUE,"KEITH";#N/A,#N/A,TRUE,"WES"}</definedName>
    <definedName name="____kim2" localSheetId="11" hidden="1">{#N/A,#N/A,TRUE,"ADVANCE SUMM.";#N/A,#N/A,TRUE,"KEITH";#N/A,#N/A,TRUE,"WES"}</definedName>
    <definedName name="____kim2" hidden="1">{#N/A,#N/A,TRUE,"ADVANCE SUMM.";#N/A,#N/A,TRUE,"KEITH";#N/A,#N/A,TRUE,"WES"}</definedName>
    <definedName name="____LHI95">#REF!</definedName>
    <definedName name="____LHI96">#REF!</definedName>
    <definedName name="____LHI97">#REF!</definedName>
    <definedName name="____LHI98">#REF!</definedName>
    <definedName name="____LHI99">#REF!</definedName>
    <definedName name="____man1">#REF!</definedName>
    <definedName name="____man2">#REF!</definedName>
    <definedName name="____man3">#REF!</definedName>
    <definedName name="____MAR9091">#REF!</definedName>
    <definedName name="____mfg1">#REF!</definedName>
    <definedName name="____mfg2">#REF!</definedName>
    <definedName name="____ms1">#REF!</definedName>
    <definedName name="____ms2">#REF!</definedName>
    <definedName name="____OTH95">#REF!</definedName>
    <definedName name="____OTH96">#REF!</definedName>
    <definedName name="____OTH97">#REF!</definedName>
    <definedName name="____OTH98">#REF!</definedName>
    <definedName name="____OTH99">#REF!</definedName>
    <definedName name="____pg2">#REF!</definedName>
    <definedName name="____pl1">#REF!</definedName>
    <definedName name="____rr2">#REF!</definedName>
    <definedName name="____SCH3">#REF!</definedName>
    <definedName name="____ss1" localSheetId="7">{#N/A,#N/A,TRUE,"ADVANCE SUMM.";#N/A,#N/A,TRUE,"KEITH";#N/A,#N/A,TRUE,"WES"}</definedName>
    <definedName name="____ss1" localSheetId="10" hidden="1">{#N/A,#N/A,TRUE,"ADVANCE SUMM.";#N/A,#N/A,TRUE,"KEITH";#N/A,#N/A,TRUE,"WES"}</definedName>
    <definedName name="____ss1" localSheetId="0" hidden="1">{#N/A,#N/A,TRUE,"ADVANCE SUMM.";#N/A,#N/A,TRUE,"KEITH";#N/A,#N/A,TRUE,"WES"}</definedName>
    <definedName name="____ss1" localSheetId="9" hidden="1">{#N/A,#N/A,TRUE,"ADVANCE SUMM.";#N/A,#N/A,TRUE,"KEITH";#N/A,#N/A,TRUE,"WES"}</definedName>
    <definedName name="____ss1" localSheetId="11" hidden="1">{#N/A,#N/A,TRUE,"ADVANCE SUMM.";#N/A,#N/A,TRUE,"KEITH";#N/A,#N/A,TRUE,"WES"}</definedName>
    <definedName name="____ss1" hidden="1">{#N/A,#N/A,TRUE,"ADVANCE SUMM.";#N/A,#N/A,TRUE,"KEITH";#N/A,#N/A,TRUE,"WES"}</definedName>
    <definedName name="____TEL95">#REF!</definedName>
    <definedName name="____TEL96">#REF!</definedName>
    <definedName name="____TEL97">#REF!</definedName>
    <definedName name="____TEL98">#REF!</definedName>
    <definedName name="____TEL99">#REF!</definedName>
    <definedName name="____WON95">#REF!</definedName>
    <definedName name="____WON96">#REF!</definedName>
    <definedName name="____WON97">#REF!</definedName>
    <definedName name="____WON98">#REF!</definedName>
    <definedName name="____WON99">#REF!</definedName>
    <definedName name="___a1">#REF!</definedName>
    <definedName name="___Anx1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1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1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1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1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2">#REF!</definedName>
    <definedName name="___Anx7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7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7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7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7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nx7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_avg1">#REF!</definedName>
    <definedName name="___Bud3">#REF!</definedName>
    <definedName name="___Bud31">#REF!</definedName>
    <definedName name="___Bud32">#REF!</definedName>
    <definedName name="___cap1">#REF!</definedName>
    <definedName name="___cap2">#REF!</definedName>
    <definedName name="___clo05">#REF!</definedName>
    <definedName name="___col1">#REF!</definedName>
    <definedName name="___col10">#REF!</definedName>
    <definedName name="___col11">#REF!</definedName>
    <definedName name="___col12">#REF!</definedName>
    <definedName name="___col13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>#REF!</definedName>
    <definedName name="___cop1">#REF!</definedName>
    <definedName name="___DAT1">#REF!</definedName>
    <definedName name="___DAT10">#REF!</definedName>
    <definedName name="___DAT11">#REF!</definedName>
    <definedName name="___DAT12">#REF!</definedName>
    <definedName name="___DAT120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9">#REF!</definedName>
    <definedName name="___FAX95">#REF!</definedName>
    <definedName name="___FAX96">#REF!</definedName>
    <definedName name="___FAX97">#REF!</definedName>
    <definedName name="___FAX98">#REF!</definedName>
    <definedName name="___FAX99">#REF!</definedName>
    <definedName name="___GRP8">#REF!</definedName>
    <definedName name="___H16800">#REF!</definedName>
    <definedName name="___INDEX_SHEET___ASAP_Utilities">#REF!</definedName>
    <definedName name="___key2" hidden="1">#REF!</definedName>
    <definedName name="___kim1" localSheetId="7">{#N/A,#N/A,TRUE,"ADVANCE SUMM.";#N/A,#N/A,TRUE,"KEITH";#N/A,#N/A,TRUE,"WES"}</definedName>
    <definedName name="___kim1" localSheetId="10" hidden="1">{#N/A,#N/A,TRUE,"ADVANCE SUMM.";#N/A,#N/A,TRUE,"KEITH";#N/A,#N/A,TRUE,"WES"}</definedName>
    <definedName name="___kim1" localSheetId="0" hidden="1">{#N/A,#N/A,TRUE,"ADVANCE SUMM.";#N/A,#N/A,TRUE,"KEITH";#N/A,#N/A,TRUE,"WES"}</definedName>
    <definedName name="___kim1" localSheetId="9" hidden="1">{#N/A,#N/A,TRUE,"ADVANCE SUMM.";#N/A,#N/A,TRUE,"KEITH";#N/A,#N/A,TRUE,"WES"}</definedName>
    <definedName name="___kim1" localSheetId="11" hidden="1">{#N/A,#N/A,TRUE,"ADVANCE SUMM.";#N/A,#N/A,TRUE,"KEITH";#N/A,#N/A,TRUE,"WES"}</definedName>
    <definedName name="___kim1" hidden="1">{#N/A,#N/A,TRUE,"ADVANCE SUMM.";#N/A,#N/A,TRUE,"KEITH";#N/A,#N/A,TRUE,"WES"}</definedName>
    <definedName name="___kim10" localSheetId="7">{#N/A,#N/A,TRUE,"ADVANCE SUMM.";#N/A,#N/A,TRUE,"KEITH";#N/A,#N/A,TRUE,"WES"}</definedName>
    <definedName name="___kim10" localSheetId="10" hidden="1">{#N/A,#N/A,TRUE,"ADVANCE SUMM.";#N/A,#N/A,TRUE,"KEITH";#N/A,#N/A,TRUE,"WES"}</definedName>
    <definedName name="___kim10" localSheetId="0" hidden="1">{#N/A,#N/A,TRUE,"ADVANCE SUMM.";#N/A,#N/A,TRUE,"KEITH";#N/A,#N/A,TRUE,"WES"}</definedName>
    <definedName name="___kim10" localSheetId="9" hidden="1">{#N/A,#N/A,TRUE,"ADVANCE SUMM.";#N/A,#N/A,TRUE,"KEITH";#N/A,#N/A,TRUE,"WES"}</definedName>
    <definedName name="___kim10" localSheetId="11" hidden="1">{#N/A,#N/A,TRUE,"ADVANCE SUMM.";#N/A,#N/A,TRUE,"KEITH";#N/A,#N/A,TRUE,"WES"}</definedName>
    <definedName name="___kim10" hidden="1">{#N/A,#N/A,TRUE,"ADVANCE SUMM.";#N/A,#N/A,TRUE,"KEITH";#N/A,#N/A,TRUE,"WES"}</definedName>
    <definedName name="___kim2" localSheetId="7">{#N/A,#N/A,TRUE,"ADVANCE SUMM.";#N/A,#N/A,TRUE,"KEITH";#N/A,#N/A,TRUE,"WES"}</definedName>
    <definedName name="___kim2" localSheetId="10" hidden="1">{#N/A,#N/A,TRUE,"ADVANCE SUMM.";#N/A,#N/A,TRUE,"KEITH";#N/A,#N/A,TRUE,"WES"}</definedName>
    <definedName name="___kim2" localSheetId="0" hidden="1">{#N/A,#N/A,TRUE,"ADVANCE SUMM.";#N/A,#N/A,TRUE,"KEITH";#N/A,#N/A,TRUE,"WES"}</definedName>
    <definedName name="___kim2" localSheetId="9" hidden="1">{#N/A,#N/A,TRUE,"ADVANCE SUMM.";#N/A,#N/A,TRUE,"KEITH";#N/A,#N/A,TRUE,"WES"}</definedName>
    <definedName name="___kim2" localSheetId="11" hidden="1">{#N/A,#N/A,TRUE,"ADVANCE SUMM.";#N/A,#N/A,TRUE,"KEITH";#N/A,#N/A,TRUE,"WES"}</definedName>
    <definedName name="___kim2" hidden="1">{#N/A,#N/A,TRUE,"ADVANCE SUMM.";#N/A,#N/A,TRUE,"KEITH";#N/A,#N/A,TRUE,"WES"}</definedName>
    <definedName name="___LHI95">#REF!</definedName>
    <definedName name="___LHI96">#REF!</definedName>
    <definedName name="___LHI97">#REF!</definedName>
    <definedName name="___LHI98">#REF!</definedName>
    <definedName name="___LHI99">#REF!</definedName>
    <definedName name="___man1">#REF!</definedName>
    <definedName name="___man2">#REF!</definedName>
    <definedName name="___man3">#REF!</definedName>
    <definedName name="___MAR9091">#REF!</definedName>
    <definedName name="___mfg1">#REF!</definedName>
    <definedName name="___mfg2">#REF!</definedName>
    <definedName name="___ms1">#REF!</definedName>
    <definedName name="___ms2">#REF!</definedName>
    <definedName name="___OTH95">#REF!</definedName>
    <definedName name="___OTH96">#REF!</definedName>
    <definedName name="___OTH97">#REF!</definedName>
    <definedName name="___OTH98">#REF!</definedName>
    <definedName name="___OTH99">#REF!</definedName>
    <definedName name="___pg2">#REF!</definedName>
    <definedName name="___pl1">#REF!</definedName>
    <definedName name="___prn01">#REF!</definedName>
    <definedName name="___rr2">#REF!</definedName>
    <definedName name="___Sch3" localSheetId="7">{#N/A,#N/A,FALSE,"PCPL9899"}</definedName>
    <definedName name="___Sch3" localSheetId="10" hidden="1">{#N/A,#N/A,FALSE,"PCPL9899"}</definedName>
    <definedName name="___Sch3" localSheetId="0" hidden="1">{#N/A,#N/A,FALSE,"PCPL9899"}</definedName>
    <definedName name="___Sch3" localSheetId="9" hidden="1">{#N/A,#N/A,FALSE,"PCPL9899"}</definedName>
    <definedName name="___Sch3" localSheetId="11" hidden="1">{#N/A,#N/A,FALSE,"PCPL9899"}</definedName>
    <definedName name="___Sch3" hidden="1">{#N/A,#N/A,FALSE,"PCPL9899"}</definedName>
    <definedName name="___Sch3_1" localSheetId="7">{#N/A,#N/A,FALSE,"PCPL9899"}</definedName>
    <definedName name="___Sch3_1" localSheetId="10" hidden="1">{#N/A,#N/A,FALSE,"PCPL9899"}</definedName>
    <definedName name="___Sch3_1" localSheetId="0" hidden="1">{#N/A,#N/A,FALSE,"PCPL9899"}</definedName>
    <definedName name="___Sch3_1" localSheetId="9" hidden="1">{#N/A,#N/A,FALSE,"PCPL9899"}</definedName>
    <definedName name="___Sch3_1" localSheetId="11" hidden="1">{#N/A,#N/A,FALSE,"PCPL9899"}</definedName>
    <definedName name="___Sch3_1" hidden="1">{#N/A,#N/A,FALSE,"PCPL9899"}</definedName>
    <definedName name="___Sch3_2" localSheetId="7">{#N/A,#N/A,FALSE,"PCPL9899"}</definedName>
    <definedName name="___Sch3_2" localSheetId="10" hidden="1">{#N/A,#N/A,FALSE,"PCPL9899"}</definedName>
    <definedName name="___Sch3_2" localSheetId="0" hidden="1">{#N/A,#N/A,FALSE,"PCPL9899"}</definedName>
    <definedName name="___Sch3_2" localSheetId="9" hidden="1">{#N/A,#N/A,FALSE,"PCPL9899"}</definedName>
    <definedName name="___Sch3_2" localSheetId="11" hidden="1">{#N/A,#N/A,FALSE,"PCPL9899"}</definedName>
    <definedName name="___Sch3_2" hidden="1">{#N/A,#N/A,FALSE,"PCPL9899"}</definedName>
    <definedName name="___ss1" localSheetId="7">{#N/A,#N/A,TRUE,"ADVANCE SUMM.";#N/A,#N/A,TRUE,"KEITH";#N/A,#N/A,TRUE,"WES"}</definedName>
    <definedName name="___ss1" localSheetId="10" hidden="1">{#N/A,#N/A,TRUE,"ADVANCE SUMM.";#N/A,#N/A,TRUE,"KEITH";#N/A,#N/A,TRUE,"WES"}</definedName>
    <definedName name="___ss1" localSheetId="0" hidden="1">{#N/A,#N/A,TRUE,"ADVANCE SUMM.";#N/A,#N/A,TRUE,"KEITH";#N/A,#N/A,TRUE,"WES"}</definedName>
    <definedName name="___ss1" localSheetId="9" hidden="1">{#N/A,#N/A,TRUE,"ADVANCE SUMM.";#N/A,#N/A,TRUE,"KEITH";#N/A,#N/A,TRUE,"WES"}</definedName>
    <definedName name="___ss1" localSheetId="11" hidden="1">{#N/A,#N/A,TRUE,"ADVANCE SUMM.";#N/A,#N/A,TRUE,"KEITH";#N/A,#N/A,TRUE,"WES"}</definedName>
    <definedName name="___ss1" hidden="1">{#N/A,#N/A,TRUE,"ADVANCE SUMM.";#N/A,#N/A,TRUE,"KEITH";#N/A,#N/A,TRUE,"WES"}</definedName>
    <definedName name="___TEL95">#REF!</definedName>
    <definedName name="___TEL96">#REF!</definedName>
    <definedName name="___TEL97">#REF!</definedName>
    <definedName name="___TEL98">#REF!</definedName>
    <definedName name="___TEL99">#REF!</definedName>
    <definedName name="___WON95">#REF!</definedName>
    <definedName name="___WON96">#REF!</definedName>
    <definedName name="___WON97">#REF!</definedName>
    <definedName name="___WON98">#REF!</definedName>
    <definedName name="___WON99">#REF!</definedName>
    <definedName name="__123Graph_A" hidden="1">#REF!</definedName>
    <definedName name="__123Graph_AB06">#REF!</definedName>
    <definedName name="__123Graph_ACAD" localSheetId="7">#REF!</definedName>
    <definedName name="__123Graph_ACAD" hidden="1">#N/A</definedName>
    <definedName name="__123Graph_ACAD1" localSheetId="7">#REF!</definedName>
    <definedName name="__123Graph_ACAD1" hidden="1">#N/A</definedName>
    <definedName name="__123Graph_ACAD2" localSheetId="7">#REF!</definedName>
    <definedName name="__123Graph_ACAD2" hidden="1">#N/A</definedName>
    <definedName name="__123Graph_AGRPH_EXPIRE">#REF!</definedName>
    <definedName name="__123Graph_AL1005" hidden="1">#REF!</definedName>
    <definedName name="__123Graph_AL1006" hidden="1">#REF!</definedName>
    <definedName name="__123Graph_AL460" hidden="1">#REF!</definedName>
    <definedName name="__123Graph_AL750" hidden="1">#REF!</definedName>
    <definedName name="__123Graph_AMIN34" hidden="1">#REF!</definedName>
    <definedName name="__123Graph_AMINE1" hidden="1">#REF!</definedName>
    <definedName name="__123Graph_AMING2" hidden="1">#REF!</definedName>
    <definedName name="__123Graph_AS245A" hidden="1">#REF!</definedName>
    <definedName name="__123Graph_AS245B" hidden="1">#REF!</definedName>
    <definedName name="__123Graph_AS245C" hidden="1">#REF!</definedName>
    <definedName name="__123Graph_AS245D" hidden="1">#REF!</definedName>
    <definedName name="__123Graph_AS550" hidden="1">#REF!</definedName>
    <definedName name="__123Graph_AS625A" hidden="1">#REF!</definedName>
    <definedName name="__123Graph_AS625B" hidden="1">#REF!</definedName>
    <definedName name="__123Graph_AS625C" hidden="1">#REF!</definedName>
    <definedName name="__123Graph_AS750A" hidden="1">#REF!</definedName>
    <definedName name="__123Graph_ASFX56A" hidden="1">#REF!</definedName>
    <definedName name="__123Graph_ASFX56B" hidden="1">#REF!</definedName>
    <definedName name="__123Graph_ASFX56C" hidden="1">#REF!</definedName>
    <definedName name="__123Graph_ASFX56D" hidden="1">#REF!</definedName>
    <definedName name="__123Graph_ASFX56E" hidden="1">#REF!</definedName>
    <definedName name="__123Graph_ATOTLF" hidden="1">#REF!</definedName>
    <definedName name="__123Graph_ATOTMIN" hidden="1">#REF!</definedName>
    <definedName name="__123Graph_ATOTSF" hidden="1">#REF!</definedName>
    <definedName name="__123Graph_ATSALT" hidden="1">#REF!</definedName>
    <definedName name="__123Graph_B" hidden="1">#REF!</definedName>
    <definedName name="__123Graph_BCAD" localSheetId="7">#REF!</definedName>
    <definedName name="__123Graph_BCAD" hidden="1">#N/A</definedName>
    <definedName name="__123Graph_BCAD1" localSheetId="7">#REF!</definedName>
    <definedName name="__123Graph_BCAD1" hidden="1">#N/A</definedName>
    <definedName name="__123Graph_BCAD2" localSheetId="7">#REF!</definedName>
    <definedName name="__123Graph_BCAD2" hidden="1">#N/A</definedName>
    <definedName name="__123Graph_BCurrent" hidden="1">#REF!</definedName>
    <definedName name="__123Graph_BL1005" hidden="1">#REF!</definedName>
    <definedName name="__123Graph_BL1006" hidden="1">#REF!</definedName>
    <definedName name="__123Graph_BL460" hidden="1">#REF!</definedName>
    <definedName name="__123Graph_BL750" hidden="1">#REF!</definedName>
    <definedName name="__123Graph_BMIN34" hidden="1">#REF!</definedName>
    <definedName name="__123Graph_BMINE1" hidden="1">#REF!</definedName>
    <definedName name="__123Graph_BMING2" hidden="1">#REF!</definedName>
    <definedName name="__123Graph_BS245A" hidden="1">#REF!</definedName>
    <definedName name="__123Graph_BS245B" hidden="1">#REF!</definedName>
    <definedName name="__123Graph_BS245C" hidden="1">#REF!</definedName>
    <definedName name="__123Graph_BS245D" hidden="1">#REF!</definedName>
    <definedName name="__123Graph_BS550" hidden="1">#REF!</definedName>
    <definedName name="__123Graph_BS625A" hidden="1">#REF!</definedName>
    <definedName name="__123Graph_BS625B" hidden="1">#REF!</definedName>
    <definedName name="__123Graph_BS625C" hidden="1">#REF!</definedName>
    <definedName name="__123Graph_BS750A" hidden="1">#REF!</definedName>
    <definedName name="__123Graph_BSFX56A" hidden="1">#REF!</definedName>
    <definedName name="__123Graph_BSFX56B" hidden="1">#REF!</definedName>
    <definedName name="__123Graph_BSFX56C" hidden="1">#REF!</definedName>
    <definedName name="__123Graph_BSFX56D" hidden="1">#REF!</definedName>
    <definedName name="__123Graph_BSFX56E" hidden="1">#REF!</definedName>
    <definedName name="__123Graph_BTOTLF" hidden="1">#REF!</definedName>
    <definedName name="__123Graph_BTOTMIN" hidden="1">#REF!</definedName>
    <definedName name="__123Graph_BTOTSF" hidden="1">#REF!</definedName>
    <definedName name="__123Graph_BTSALT" hidden="1">#REF!</definedName>
    <definedName name="__123Graph_C" hidden="1">#REF!</definedName>
    <definedName name="__123Graph_CCAD" localSheetId="7">#REF!</definedName>
    <definedName name="__123Graph_CCAD" hidden="1">#N/A</definedName>
    <definedName name="__123Graph_CCAD1" localSheetId="7">#REF!</definedName>
    <definedName name="__123Graph_CCAD1" hidden="1">#N/A</definedName>
    <definedName name="__123Graph_CCAD2" localSheetId="7">#REF!</definedName>
    <definedName name="__123Graph_CCAD2" hidden="1">#N/A</definedName>
    <definedName name="__123Graph_CL1005" hidden="1">#REF!</definedName>
    <definedName name="__123Graph_CL1006" hidden="1">#REF!</definedName>
    <definedName name="__123Graph_CL460" hidden="1">#REF!</definedName>
    <definedName name="__123Graph_CL750" hidden="1">#REF!</definedName>
    <definedName name="__123Graph_CMIN34" hidden="1">#REF!</definedName>
    <definedName name="__123Graph_CMING2" hidden="1">#REF!</definedName>
    <definedName name="__123Graph_CS245A" hidden="1">#REF!</definedName>
    <definedName name="__123Graph_CS245B" hidden="1">#REF!</definedName>
    <definedName name="__123Graph_CS245C" hidden="1">#REF!</definedName>
    <definedName name="__123Graph_CS245D" hidden="1">#REF!</definedName>
    <definedName name="__123Graph_CS550" hidden="1">#REF!</definedName>
    <definedName name="__123Graph_CS625A" hidden="1">#REF!</definedName>
    <definedName name="__123Graph_CS625B" hidden="1">#REF!</definedName>
    <definedName name="__123Graph_CS625C" hidden="1">#REF!</definedName>
    <definedName name="__123Graph_CS750A" hidden="1">#REF!</definedName>
    <definedName name="__123Graph_CSFX56A" hidden="1">#REF!</definedName>
    <definedName name="__123Graph_CSFX56B" hidden="1">#REF!</definedName>
    <definedName name="__123Graph_CSFX56C" hidden="1">#REF!</definedName>
    <definedName name="__123Graph_CSFX56D" hidden="1">#REF!</definedName>
    <definedName name="__123Graph_CSFX56E" hidden="1">#REF!</definedName>
    <definedName name="__123Graph_CTOTSF" hidden="1">#REF!</definedName>
    <definedName name="__123Graph_CTSALT" hidden="1">#REF!</definedName>
    <definedName name="__123Graph_D" hidden="1">#REF!</definedName>
    <definedName name="__123Graph_DCAD" localSheetId="7">#REF!</definedName>
    <definedName name="__123Graph_DCAD" hidden="1">#N/A</definedName>
    <definedName name="__123Graph_DCAD1" localSheetId="7">#REF!</definedName>
    <definedName name="__123Graph_DCAD1" hidden="1">#N/A</definedName>
    <definedName name="__123Graph_DCAD2" localSheetId="7">#REF!</definedName>
    <definedName name="__123Graph_DCAD2" hidden="1">#N/A</definedName>
    <definedName name="__123Graph_DCurrent" hidden="1">#REF!</definedName>
    <definedName name="__123Graph_E" hidden="1">#REF!</definedName>
    <definedName name="__123Graph_ECAD" localSheetId="7">#REF!</definedName>
    <definedName name="__123Graph_ECAD" hidden="1">#N/A</definedName>
    <definedName name="__123Graph_ECAD1" localSheetId="7">#REF!</definedName>
    <definedName name="__123Graph_ECAD1" hidden="1">#N/A</definedName>
    <definedName name="__123Graph_ECAD2" localSheetId="7">#REF!</definedName>
    <definedName name="__123Graph_ECAD2" hidden="1">#N/A</definedName>
    <definedName name="__123Graph_F" hidden="1">#REF!</definedName>
    <definedName name="__123Graph_FCAD2" localSheetId="7">#REF!</definedName>
    <definedName name="__123Graph_FCAD2" hidden="1">#N/A</definedName>
    <definedName name="__123Graph_FCurrent" hidden="1">#REF!</definedName>
    <definedName name="__123Graph_X" hidden="1">#REF!</definedName>
    <definedName name="__123Graph_XCAD" localSheetId="7">#REF!</definedName>
    <definedName name="__123Graph_XCAD" hidden="1">#N/A</definedName>
    <definedName name="__123Graph_XCAD1" localSheetId="7">#REF!</definedName>
    <definedName name="__123Graph_XCAD1" hidden="1">#N/A</definedName>
    <definedName name="__123Graph_XCAD2" localSheetId="7">#REF!</definedName>
    <definedName name="__123Graph_XCAD2" hidden="1">#N/A</definedName>
    <definedName name="__123Graph_XCurrent" hidden="1">#REF!</definedName>
    <definedName name="__123Graph_XGRPH_EXPIRE">#REF!</definedName>
    <definedName name="__123Graph_XL1005" hidden="1">#REF!</definedName>
    <definedName name="__123Graph_XL1006" hidden="1">#REF!</definedName>
    <definedName name="__123Graph_XL460" hidden="1">#REF!</definedName>
    <definedName name="__123Graph_XL750" hidden="1">#REF!</definedName>
    <definedName name="__123Graph_XMIN34" hidden="1">#REF!</definedName>
    <definedName name="__123Graph_XMINE1" hidden="1">#REF!</definedName>
    <definedName name="__123Graph_XMING2" hidden="1">#REF!</definedName>
    <definedName name="__123Graph_XS245A" hidden="1">#REF!</definedName>
    <definedName name="__123Graph_XS245B" hidden="1">#REF!</definedName>
    <definedName name="__123Graph_XS245C" hidden="1">#REF!</definedName>
    <definedName name="__123Graph_XS245D" hidden="1">#REF!</definedName>
    <definedName name="__123Graph_XS550" hidden="1">#REF!</definedName>
    <definedName name="__123Graph_XS625A" hidden="1">#REF!</definedName>
    <definedName name="__123Graph_XS625B" hidden="1">#REF!</definedName>
    <definedName name="__123Graph_XS625C" hidden="1">#REF!</definedName>
    <definedName name="__123Graph_XS750A" hidden="1">#REF!</definedName>
    <definedName name="__123Graph_XSFX56A" hidden="1">#REF!</definedName>
    <definedName name="__123Graph_XSFX56B" hidden="1">#REF!</definedName>
    <definedName name="__123Graph_XSFX56C" hidden="1">#REF!</definedName>
    <definedName name="__123Graph_XSFX56D" hidden="1">#REF!</definedName>
    <definedName name="__123Graph_XSFX56E" hidden="1">#REF!</definedName>
    <definedName name="__123Graph_XTOTLF" hidden="1">#REF!</definedName>
    <definedName name="__123Graph_XTOTMIN" hidden="1">#REF!</definedName>
    <definedName name="__123Graph_XTOTSF" hidden="1">#REF!</definedName>
    <definedName name="__123Graph_XTSALT" hidden="1">#REF!</definedName>
    <definedName name="__a1">#REF!</definedName>
    <definedName name="__add1">#REF!</definedName>
    <definedName name="__add10">#REF!</definedName>
    <definedName name="__add3">#REF!</definedName>
    <definedName name="__add4">#REF!</definedName>
    <definedName name="__add5">#REF!</definedName>
    <definedName name="__add6">#REF!</definedName>
    <definedName name="__add7">#REF!</definedName>
    <definedName name="__add8">#REF!</definedName>
    <definedName name="__add9">#REF!</definedName>
    <definedName name="__Anx1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1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1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1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1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2">#REF!</definedName>
    <definedName name="__Anx7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7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7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7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7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nx7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_avg1">#REF!</definedName>
    <definedName name="__BGT0910">#REF!</definedName>
    <definedName name="__Bud3">#REF!</definedName>
    <definedName name="__Bud31">#REF!</definedName>
    <definedName name="__Bud32">#REF!</definedName>
    <definedName name="__cap1">#REF!</definedName>
    <definedName name="__cap2">#REF!</definedName>
    <definedName name="__cat1">#REF!</definedName>
    <definedName name="__cat2">#REF!</definedName>
    <definedName name="__clo05">#REF!</definedName>
    <definedName name="__col1">#REF!</definedName>
    <definedName name="__col10">#REF!</definedName>
    <definedName name="__col11">#REF!</definedName>
    <definedName name="__col12">#REF!</definedName>
    <definedName name="__col13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_cop1">#REF!</definedName>
    <definedName name="__dat1">#REF!</definedName>
    <definedName name="__DAT10">#REF!</definedName>
    <definedName name="__DAT11">#REF!</definedName>
    <definedName name="__DAT12">#REF!</definedName>
    <definedName name="__DAT120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9">#REF!</definedName>
    <definedName name="__FAX95">#REF!</definedName>
    <definedName name="__FAX96">#REF!</definedName>
    <definedName name="__FAX97">#REF!</definedName>
    <definedName name="__FAX98">#REF!</definedName>
    <definedName name="__FAX99">#REF!</definedName>
    <definedName name="__FDS_HYPERLINK_TOGGLE_STATE__">"ON"</definedName>
    <definedName name="__FOR91">#REF!</definedName>
    <definedName name="__fre2">#REF!</definedName>
    <definedName name="__GIR89">#REF!</definedName>
    <definedName name="__GIR90">#REF!</definedName>
    <definedName name="__GRP8">#REF!</definedName>
    <definedName name="__H16800">#REF!</definedName>
    <definedName name="__IntlFixup" hidden="1">TRUE</definedName>
    <definedName name="__key2" hidden="1">#REF!</definedName>
    <definedName name="__kim1" localSheetId="7">{#N/A,#N/A,TRUE,"ADVANCE SUMM.";#N/A,#N/A,TRUE,"KEITH";#N/A,#N/A,TRUE,"WES"}</definedName>
    <definedName name="__kim1" localSheetId="10" hidden="1">{#N/A,#N/A,TRUE,"ADVANCE SUMM.";#N/A,#N/A,TRUE,"KEITH";#N/A,#N/A,TRUE,"WES"}</definedName>
    <definedName name="__kim1" localSheetId="0" hidden="1">{#N/A,#N/A,TRUE,"ADVANCE SUMM.";#N/A,#N/A,TRUE,"KEITH";#N/A,#N/A,TRUE,"WES"}</definedName>
    <definedName name="__kim1" localSheetId="9" hidden="1">{#N/A,#N/A,TRUE,"ADVANCE SUMM.";#N/A,#N/A,TRUE,"KEITH";#N/A,#N/A,TRUE,"WES"}</definedName>
    <definedName name="__kim1" localSheetId="11" hidden="1">{#N/A,#N/A,TRUE,"ADVANCE SUMM.";#N/A,#N/A,TRUE,"KEITH";#N/A,#N/A,TRUE,"WES"}</definedName>
    <definedName name="__kim1" hidden="1">{#N/A,#N/A,TRUE,"ADVANCE SUMM.";#N/A,#N/A,TRUE,"KEITH";#N/A,#N/A,TRUE,"WES"}</definedName>
    <definedName name="__kim10" localSheetId="7">{#N/A,#N/A,TRUE,"ADVANCE SUMM.";#N/A,#N/A,TRUE,"KEITH";#N/A,#N/A,TRUE,"WES"}</definedName>
    <definedName name="__kim10" localSheetId="10" hidden="1">{#N/A,#N/A,TRUE,"ADVANCE SUMM.";#N/A,#N/A,TRUE,"KEITH";#N/A,#N/A,TRUE,"WES"}</definedName>
    <definedName name="__kim10" localSheetId="0" hidden="1">{#N/A,#N/A,TRUE,"ADVANCE SUMM.";#N/A,#N/A,TRUE,"KEITH";#N/A,#N/A,TRUE,"WES"}</definedName>
    <definedName name="__kim10" localSheetId="9" hidden="1">{#N/A,#N/A,TRUE,"ADVANCE SUMM.";#N/A,#N/A,TRUE,"KEITH";#N/A,#N/A,TRUE,"WES"}</definedName>
    <definedName name="__kim10" localSheetId="11" hidden="1">{#N/A,#N/A,TRUE,"ADVANCE SUMM.";#N/A,#N/A,TRUE,"KEITH";#N/A,#N/A,TRUE,"WES"}</definedName>
    <definedName name="__kim10" hidden="1">{#N/A,#N/A,TRUE,"ADVANCE SUMM.";#N/A,#N/A,TRUE,"KEITH";#N/A,#N/A,TRUE,"WES"}</definedName>
    <definedName name="__kim2" localSheetId="7">{#N/A,#N/A,TRUE,"ADVANCE SUMM.";#N/A,#N/A,TRUE,"KEITH";#N/A,#N/A,TRUE,"WES"}</definedName>
    <definedName name="__kim2" localSheetId="10" hidden="1">{#N/A,#N/A,TRUE,"ADVANCE SUMM.";#N/A,#N/A,TRUE,"KEITH";#N/A,#N/A,TRUE,"WES"}</definedName>
    <definedName name="__kim2" localSheetId="0" hidden="1">{#N/A,#N/A,TRUE,"ADVANCE SUMM.";#N/A,#N/A,TRUE,"KEITH";#N/A,#N/A,TRUE,"WES"}</definedName>
    <definedName name="__kim2" localSheetId="9" hidden="1">{#N/A,#N/A,TRUE,"ADVANCE SUMM.";#N/A,#N/A,TRUE,"KEITH";#N/A,#N/A,TRUE,"WES"}</definedName>
    <definedName name="__kim2" localSheetId="11" hidden="1">{#N/A,#N/A,TRUE,"ADVANCE SUMM.";#N/A,#N/A,TRUE,"KEITH";#N/A,#N/A,TRUE,"WES"}</definedName>
    <definedName name="__kim2" hidden="1">{#N/A,#N/A,TRUE,"ADVANCE SUMM.";#N/A,#N/A,TRUE,"KEITH";#N/A,#N/A,TRUE,"WES"}</definedName>
    <definedName name="__KKS1" localSheetId="7">{#N/A,#N/A,FALSE,"12"}</definedName>
    <definedName name="__KKS1" localSheetId="10" hidden="1">{#N/A,#N/A,FALSE,"12"}</definedName>
    <definedName name="__KKS1" localSheetId="0" hidden="1">{#N/A,#N/A,FALSE,"12"}</definedName>
    <definedName name="__KKS1" localSheetId="9" hidden="1">{#N/A,#N/A,FALSE,"12"}</definedName>
    <definedName name="__KKS1" localSheetId="11" hidden="1">{#N/A,#N/A,FALSE,"12"}</definedName>
    <definedName name="__KKS1" hidden="1">{#N/A,#N/A,FALSE,"12"}</definedName>
    <definedName name="__KKS1_1" localSheetId="7">{#N/A,#N/A,FALSE,"12"}</definedName>
    <definedName name="__KKS1_1" localSheetId="10" hidden="1">{#N/A,#N/A,FALSE,"12"}</definedName>
    <definedName name="__KKS1_1" localSheetId="0" hidden="1">{#N/A,#N/A,FALSE,"12"}</definedName>
    <definedName name="__KKS1_1" localSheetId="9" hidden="1">{#N/A,#N/A,FALSE,"12"}</definedName>
    <definedName name="__KKS1_1" localSheetId="11" hidden="1">{#N/A,#N/A,FALSE,"12"}</definedName>
    <definedName name="__KKS1_1" hidden="1">{#N/A,#N/A,FALSE,"12"}</definedName>
    <definedName name="__KKS1_2" localSheetId="7">{#N/A,#N/A,FALSE,"12"}</definedName>
    <definedName name="__KKS1_2" localSheetId="10" hidden="1">{#N/A,#N/A,FALSE,"12"}</definedName>
    <definedName name="__KKS1_2" localSheetId="0" hidden="1">{#N/A,#N/A,FALSE,"12"}</definedName>
    <definedName name="__KKS1_2" localSheetId="9" hidden="1">{#N/A,#N/A,FALSE,"12"}</definedName>
    <definedName name="__KKS1_2" localSheetId="11" hidden="1">{#N/A,#N/A,FALSE,"12"}</definedName>
    <definedName name="__KKS1_2" hidden="1">{#N/A,#N/A,FALSE,"12"}</definedName>
    <definedName name="__LHI95">#REF!</definedName>
    <definedName name="__LHI96">#REF!</definedName>
    <definedName name="__LHI97">#REF!</definedName>
    <definedName name="__LHI98">#REF!</definedName>
    <definedName name="__LHI99">#REF!</definedName>
    <definedName name="__LTD98">#REF!</definedName>
    <definedName name="__man1">#REF!</definedName>
    <definedName name="__man2">#REF!</definedName>
    <definedName name="__man3">#REF!</definedName>
    <definedName name="__MAR9091">#REF!</definedName>
    <definedName name="__mfg1">#REF!</definedName>
    <definedName name="__mfg2">#REF!</definedName>
    <definedName name="__MR10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MR10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MR10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MR10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MR10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ms1">#REF!</definedName>
    <definedName name="__ms2">#REF!</definedName>
    <definedName name="__na2" hidden="1">"100"</definedName>
    <definedName name="__na3" hidden="1">"50"</definedName>
    <definedName name="__na4" hidden="1">"IQ_LTM_DATE"</definedName>
    <definedName name="__new11" localSheetId="7">{#N/A,#N/A,FALSE,"Global by BU";#N/A,#N/A,FALSE,"U.S. by BU";#N/A,#N/A,FALSE,"Canada by BU";#N/A,#N/A,FALSE,"Europe by BU";#N/A,#N/A,FALSE,"Asia by BU";#N/A,#N/A,FALSE,"Cala by BU"}</definedName>
    <definedName name="__new11" localSheetId="10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localSheetId="9" hidden="1">{#N/A,#N/A,FALSE,"Global by BU";#N/A,#N/A,FALSE,"U.S. by BU";#N/A,#N/A,FALSE,"Canada by BU";#N/A,#N/A,FALSE,"Europe by BU";#N/A,#N/A,FALSE,"Asia by BU";#N/A,#N/A,FALSE,"Cala by BU"}</definedName>
    <definedName name="__new11" localSheetId="11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OTH95">#REF!</definedName>
    <definedName name="__OTH96">#REF!</definedName>
    <definedName name="__OTH97">#REF!</definedName>
    <definedName name="__OTH98">#REF!</definedName>
    <definedName name="__OTH99">#REF!</definedName>
    <definedName name="__pg2">#REF!</definedName>
    <definedName name="__pg3">#REF!</definedName>
    <definedName name="__pg5">#REF!</definedName>
    <definedName name="__pg7">#REF!</definedName>
    <definedName name="__pg9">#REF!</definedName>
    <definedName name="__pl1">#REF!</definedName>
    <definedName name="__pm2">#REF!</definedName>
    <definedName name="__PR98">#REF!</definedName>
    <definedName name="__prn01">#REF!</definedName>
    <definedName name="__pur10" hidden="1">#REF!</definedName>
    <definedName name="__QPG1">#REF!</definedName>
    <definedName name="__qpg10">#REF!</definedName>
    <definedName name="__QPG11">#REF!</definedName>
    <definedName name="__QPG2">#REF!</definedName>
    <definedName name="__QPG3">#REF!</definedName>
    <definedName name="__QPG4">#REF!</definedName>
    <definedName name="__QPG5">#REF!</definedName>
    <definedName name="__QPG6">#REF!</definedName>
    <definedName name="__QPG7">#REF!</definedName>
    <definedName name="__QPG8">#REF!</definedName>
    <definedName name="__qpg9">#REF!</definedName>
    <definedName name="__rr2">#REF!</definedName>
    <definedName name="__SCH3">#REF!</definedName>
    <definedName name="__sh12">#REF!</definedName>
    <definedName name="__ss1" localSheetId="7">{#N/A,#N/A,TRUE,"ADVANCE SUMM.";#N/A,#N/A,TRUE,"KEITH";#N/A,#N/A,TRUE,"WES"}</definedName>
    <definedName name="__ss1" localSheetId="10" hidden="1">{#N/A,#N/A,TRUE,"ADVANCE SUMM.";#N/A,#N/A,TRUE,"KEITH";#N/A,#N/A,TRUE,"WES"}</definedName>
    <definedName name="__ss1" localSheetId="0" hidden="1">{#N/A,#N/A,TRUE,"ADVANCE SUMM.";#N/A,#N/A,TRUE,"KEITH";#N/A,#N/A,TRUE,"WES"}</definedName>
    <definedName name="__ss1" localSheetId="9" hidden="1">{#N/A,#N/A,TRUE,"ADVANCE SUMM.";#N/A,#N/A,TRUE,"KEITH";#N/A,#N/A,TRUE,"WES"}</definedName>
    <definedName name="__ss1" localSheetId="11" hidden="1">{#N/A,#N/A,TRUE,"ADVANCE SUMM.";#N/A,#N/A,TRUE,"KEITH";#N/A,#N/A,TRUE,"WES"}</definedName>
    <definedName name="__ss1" hidden="1">{#N/A,#N/A,TRUE,"ADVANCE SUMM.";#N/A,#N/A,TRUE,"KEITH";#N/A,#N/A,TRUE,"WES"}</definedName>
    <definedName name="__t1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a1" localSheetId="7">{#N/A,#N/A,TRUE,"Financials";#N/A,#N/A,TRUE,"Operating Statistics";#N/A,#N/A,TRUE,"Capex &amp; Depreciation";#N/A,#N/A,TRUE,"Debt"}</definedName>
    <definedName name="__ta1" localSheetId="10" hidden="1">{#N/A,#N/A,TRUE,"Financials";#N/A,#N/A,TRUE,"Operating Statistics";#N/A,#N/A,TRUE,"Capex &amp; Depreciation";#N/A,#N/A,TRUE,"Debt"}</definedName>
    <definedName name="__ta1" localSheetId="0" hidden="1">{#N/A,#N/A,TRUE,"Financials";#N/A,#N/A,TRUE,"Operating Statistics";#N/A,#N/A,TRUE,"Capex &amp; Depreciation";#N/A,#N/A,TRUE,"Debt"}</definedName>
    <definedName name="__ta1" localSheetId="9" hidden="1">{#N/A,#N/A,TRUE,"Financials";#N/A,#N/A,TRUE,"Operating Statistics";#N/A,#N/A,TRUE,"Capex &amp; Depreciation";#N/A,#N/A,TRUE,"Debt"}</definedName>
    <definedName name="__ta1" localSheetId="11" hidden="1">{#N/A,#N/A,TRUE,"Financials";#N/A,#N/A,TRUE,"Operating Statistics";#N/A,#N/A,TRUE,"Capex &amp; Depreciation";#N/A,#N/A,TRUE,"Debt"}</definedName>
    <definedName name="__ta1" hidden="1">{#N/A,#N/A,TRUE,"Financials";#N/A,#N/A,TRUE,"Operating Statistics";#N/A,#N/A,TRUE,"Capex &amp; Depreciation";#N/A,#N/A,TRUE,"Debt"}</definedName>
    <definedName name="__tb1" localSheetId="7">{#N/A,#N/A,FALSE,"One Pager";#N/A,#N/A,FALSE,"Technical"}</definedName>
    <definedName name="__tb1" localSheetId="10" hidden="1">{#N/A,#N/A,FALSE,"One Pager";#N/A,#N/A,FALSE,"Technical"}</definedName>
    <definedName name="__tb1" localSheetId="0" hidden="1">{#N/A,#N/A,FALSE,"One Pager";#N/A,#N/A,FALSE,"Technical"}</definedName>
    <definedName name="__tb1" localSheetId="9" hidden="1">{#N/A,#N/A,FALSE,"One Pager";#N/A,#N/A,FALSE,"Technical"}</definedName>
    <definedName name="__tb1" localSheetId="11" hidden="1">{#N/A,#N/A,FALSE,"One Pager";#N/A,#N/A,FALSE,"Technical"}</definedName>
    <definedName name="__tb1" hidden="1">{#N/A,#N/A,FALSE,"One Pager";#N/A,#N/A,FALSE,"Technical"}</definedName>
    <definedName name="__TEL95">#REF!</definedName>
    <definedName name="__TEL96">#REF!</definedName>
    <definedName name="__TEL97">#REF!</definedName>
    <definedName name="__TEL98">#REF!</definedName>
    <definedName name="__TEL99">#REF!</definedName>
    <definedName name="__VE9">#REF!</definedName>
    <definedName name="__veh1">#REF!</definedName>
    <definedName name="__VS1">#REF!</definedName>
    <definedName name="__VS2">#REF!</definedName>
    <definedName name="__WON95">#REF!</definedName>
    <definedName name="__WON96">#REF!</definedName>
    <definedName name="__WON97">#REF!</definedName>
    <definedName name="__WON98">#REF!</definedName>
    <definedName name="__WON99">#REF!</definedName>
    <definedName name="_002_PD_Top_42_Feb">#REF!</definedName>
    <definedName name="_005">#REF!</definedName>
    <definedName name="_007">#REF!</definedName>
    <definedName name="_008">#REF!</definedName>
    <definedName name="_015">#REF!</definedName>
    <definedName name="_019">#REF!</definedName>
    <definedName name="_020">#REF!</definedName>
    <definedName name="_028">#REF!</definedName>
    <definedName name="_054">#REF!</definedName>
    <definedName name="_072902_NA_Sales_Hist">#REF!</definedName>
    <definedName name="_1">#REF!</definedName>
    <definedName name="_1_???">#REF!,#REF!,#REF!,#REF!,#REF!</definedName>
    <definedName name="_1__123Graph_ACHART_1" hidden="1">#REF!</definedName>
    <definedName name="_1_8">#REF!</definedName>
    <definedName name="_10">#REF!</definedName>
    <definedName name="_10_?????_???????_??????">#REF!</definedName>
    <definedName name="_10__123Graph_CChart_1A" hidden="1">#REF!</definedName>
    <definedName name="_10_0OutGoingTraf">#REF!</definedName>
    <definedName name="_10_2">#REF!</definedName>
    <definedName name="_11">#REF!</definedName>
    <definedName name="_11_?????_1997">#REF!,#REF!</definedName>
    <definedName name="_11__123Graph_CCHART_2" hidden="1">#REF!</definedName>
    <definedName name="_11_3">#REF!</definedName>
    <definedName name="_112" hidden="1">#REF!</definedName>
    <definedName name="_12">#REF!</definedName>
    <definedName name="_12_????_???????">#REF!,#REF!,#REF!,#REF!</definedName>
    <definedName name="_12__123Graph_LBL_ACHART_1" hidden="1">#REF!</definedName>
    <definedName name="_12_0Perc_Reg_of">#REF!</definedName>
    <definedName name="_12_4">#REF!</definedName>
    <definedName name="_123" hidden="1">#REF!</definedName>
    <definedName name="_13">#REF!</definedName>
    <definedName name="_13_????_????_???????_??_1996">#REF!,#REF!,#REF!,#REF!</definedName>
    <definedName name="_13__123Graph_LBL_ACHART_2" hidden="1">#REF!</definedName>
    <definedName name="_13_5">#REF!</definedName>
    <definedName name="_14_????_????_97">#REF!,#REF!</definedName>
    <definedName name="_14__123Graph_LBL_BCHART_1" hidden="1">#REF!</definedName>
    <definedName name="_14_6">#REF!</definedName>
    <definedName name="_14A">#REF!</definedName>
    <definedName name="_14Interc_Rev_LD_">#REF!</definedName>
    <definedName name="_15_???_??">#REF!</definedName>
    <definedName name="_15__123Graph_LBL_ECHART_1" hidden="1">#REF!</definedName>
    <definedName name="_15_7">#REF!</definedName>
    <definedName name="_16">#REF!</definedName>
    <definedName name="_16__123Graph_ACHART_1" hidden="1">#REF!</definedName>
    <definedName name="_16__123Graph_XCHART_1" hidden="1">#REF!</definedName>
    <definedName name="_16_8">#REF!</definedName>
    <definedName name="_16Interc_Rev_Loc_">#REF!</definedName>
    <definedName name="_17__123Graph_ACHART_10" hidden="1">#REF!</definedName>
    <definedName name="_17__123Graph_XChart_1A" hidden="1">#REF!</definedName>
    <definedName name="_17_9">#REF!</definedName>
    <definedName name="_18__123Graph_ACHART_11" hidden="1">#REF!</definedName>
    <definedName name="_18__123Graph_XCHART_2" hidden="1">#REF!</definedName>
    <definedName name="_18OutGoingTraf">#REF!</definedName>
    <definedName name="_19__123Graph_ACHART_12" hidden="1">#REF!</definedName>
    <definedName name="_19__123Graph_XChart_2A" hidden="1">#REF!</definedName>
    <definedName name="_1999_ACT">#REF!</definedName>
    <definedName name="_1ANNEX_C_1">#REF!</definedName>
    <definedName name="_1KUMAR_SALES_COR">#REF!</definedName>
    <definedName name="_1PRINT_ALL_IN">#REF!</definedName>
    <definedName name="_2">#REF!</definedName>
    <definedName name="_2_??????">#REF!,#REF!,#REF!</definedName>
    <definedName name="_2__123Graph_AChart_1A" hidden="1">#REF!</definedName>
    <definedName name="_2_0HData_Segm_spli">#REF!</definedName>
    <definedName name="_2_1">#REF!</definedName>
    <definedName name="_20__123Graph_ACHART_13" hidden="1">#REF!</definedName>
    <definedName name="_20_072902_NA_Sales_Hist">#REF!</definedName>
    <definedName name="_2002_PD_RJ_Channel_Aug">#REF!</definedName>
    <definedName name="_2002_PD_RJ_Channel_July">#REF!</definedName>
    <definedName name="_2002_PD_Top_42_Aug">#REF!</definedName>
    <definedName name="_2002_PD_Top_42_July">#REF!</definedName>
    <definedName name="_20Perc_Reg_of">#REF!</definedName>
    <definedName name="_21__123Graph_ACHART_14" hidden="1">#REF!</definedName>
    <definedName name="_21_2002_PD_RJ_Channel_Aug">#REF!</definedName>
    <definedName name="_22__123Graph_ACHART_15" hidden="1">#REF!</definedName>
    <definedName name="_22__123Graph_AChart_1A" hidden="1">#REF!</definedName>
    <definedName name="_22__123Graph_AR_M_MARG">#REF!</definedName>
    <definedName name="_22_2002_PD_RJ_Channel_July">#REF!</definedName>
    <definedName name="_23__123Graph_ACHART_16" hidden="1">#REF!</definedName>
    <definedName name="_23_2002_PD_Top_42_Aug">#REF!</definedName>
    <definedName name="_24__123Graph_ACHART_17" hidden="1">#REF!</definedName>
    <definedName name="_24_2002_PD_Top_42_July">#REF!</definedName>
    <definedName name="_24ÿ_0jdbytraft">#REF!</definedName>
    <definedName name="_25__123Graph_AChart_1A" hidden="1">#REF!</definedName>
    <definedName name="_26__123Graph_ACHART_2" hidden="1">#REF!</definedName>
    <definedName name="_26ÿ_0jdmktspli">#REF!</definedName>
    <definedName name="_27__123Graph_AChart_2A" hidden="1">#REF!</definedName>
    <definedName name="_28__123Graph_ACHART_3" hidden="1">#REF!</definedName>
    <definedName name="_28ÿ__jdbytraft">#REF!</definedName>
    <definedName name="_29__123Graph_ACHART_4" hidden="1">#REF!</definedName>
    <definedName name="_2ANNEX_C_1">#REF!</definedName>
    <definedName name="_2KUMARE_SAL_CORP">#REF!</definedName>
    <definedName name="_2PRINT_DC">#REF!</definedName>
    <definedName name="_3">#REF!</definedName>
    <definedName name="_3_?????????">#REF!,#REF!</definedName>
    <definedName name="_3__123Graph_ACHART_2" hidden="1">#REF!</definedName>
    <definedName name="_3_10">#REF!</definedName>
    <definedName name="_30__123Graph_ACHART_5" hidden="1">#REF!</definedName>
    <definedName name="_30cd___Horizontal_Strobe_light_speaker__wall_mounted">#REF!</definedName>
    <definedName name="_30cd__Vertical_strobe_light__wall_mounted">#REF!</definedName>
    <definedName name="_30ÿ__jdmktspli">#REF!</definedName>
    <definedName name="_31__123Graph_ACHART_6" hidden="1">#REF!</definedName>
    <definedName name="_32__123Graph_ACHART_7" hidden="1">#REF!</definedName>
    <definedName name="_33__123Graph_ACHART_8" hidden="1">#REF!</definedName>
    <definedName name="_34__123Graph_ACHART_9" hidden="1">#REF!</definedName>
    <definedName name="_35__123Graph_BCHART_1" hidden="1">#REF!</definedName>
    <definedName name="_36__123Graph_BCHART_10" hidden="1">#REF!</definedName>
    <definedName name="_37__123Graph_BCHART_11" hidden="1">#REF!</definedName>
    <definedName name="_38__123Graph_BCHART_12" hidden="1">#REF!</definedName>
    <definedName name="_39__123Graph_BCHART_13" hidden="1">#REF!</definedName>
    <definedName name="_3B">#REF!</definedName>
    <definedName name="_3PAGE_4">#REF!</definedName>
    <definedName name="_4">#REF!</definedName>
    <definedName name="_4_????????_??">#REF!</definedName>
    <definedName name="_4__123Graph_AChart_2A" hidden="1">#REF!</definedName>
    <definedName name="_4_11">#REF!</definedName>
    <definedName name="_40__123Graph_BCHART_14" hidden="1">#REF!</definedName>
    <definedName name="_41__123Graph_BCHART_15" hidden="1">#REF!</definedName>
    <definedName name="_42__123Graph_BCHART_16" hidden="1">#REF!</definedName>
    <definedName name="_43__123Graph_BCHART_17" hidden="1">#REF!</definedName>
    <definedName name="_43B">#REF!</definedName>
    <definedName name="_44__123Graph_BCHART_19" hidden="1">#REF!</definedName>
    <definedName name="_44__123Graph_BChart_1A" hidden="1">#REF!</definedName>
    <definedName name="_45__123Graph_BChart_1A" hidden="1">#REF!</definedName>
    <definedName name="_46__123Graph_BCHART_2" hidden="1">#REF!</definedName>
    <definedName name="_47__123Graph_BCHART_3" hidden="1">#REF!</definedName>
    <definedName name="_48__123Graph_BCHART_4" hidden="1">#REF!</definedName>
    <definedName name="_49__123Graph_BCHART_5" hidden="1">#REF!</definedName>
    <definedName name="_4A">#REF!</definedName>
    <definedName name="_4CC1">#REF!</definedName>
    <definedName name="_4CC2">#REF!</definedName>
    <definedName name="_4CC3">#REF!</definedName>
    <definedName name="_4HData_Segm_spli">#REF!</definedName>
    <definedName name="_5">#REF!</definedName>
    <definedName name="_5_???????2">#REF!,#REF!,#REF!</definedName>
    <definedName name="_5__123Graph_BCHART_1" hidden="1">#REF!</definedName>
    <definedName name="_5_12">#REF!</definedName>
    <definedName name="_50__123Graph_BCHART_6" hidden="1">#REF!</definedName>
    <definedName name="_51__123Graph_BCHART_7" hidden="1">#REF!</definedName>
    <definedName name="_52__123Graph_BCHART_8" hidden="1">#REF!</definedName>
    <definedName name="_53__123Graph_BCHART_9" hidden="1">#REF!</definedName>
    <definedName name="_54__123Graph_CCHART_1" hidden="1">#REF!</definedName>
    <definedName name="_55__123Graph_CCHART_10" hidden="1">#REF!</definedName>
    <definedName name="_56__123Graph_CCHART_11" hidden="1">#REF!</definedName>
    <definedName name="_57__123Graph_CCHART_12" hidden="1">#REF!</definedName>
    <definedName name="_58__123Graph_CCHART_13" hidden="1">#REF!</definedName>
    <definedName name="_59__123Graph_CCHART_14" hidden="1">#REF!</definedName>
    <definedName name="_6">#REF!</definedName>
    <definedName name="_6_??????_?????">#REF!,#REF!</definedName>
    <definedName name="_6__123Graph_BChart_1A" hidden="1">#REF!</definedName>
    <definedName name="_6_0Interc_Rev_LD_">#REF!</definedName>
    <definedName name="_6_13">#REF!</definedName>
    <definedName name="_6_6">#REF!</definedName>
    <definedName name="_60__123Graph_CCHART_15" hidden="1">#REF!</definedName>
    <definedName name="_61__123Graph_CCHART_16" hidden="1">#REF!</definedName>
    <definedName name="_62__123Graph_CCHART_17" hidden="1">#REF!</definedName>
    <definedName name="_63__123Graph_CCHART_19" hidden="1">#REF!</definedName>
    <definedName name="_64__123Graph_CChart_1A" hidden="1">#REF!</definedName>
    <definedName name="_65__123Graph_CCHART_2" hidden="1">#REF!</definedName>
    <definedName name="_66__123Graph_CCHART_3" hidden="1">#REF!</definedName>
    <definedName name="_66__123Graph_XChart_1A" hidden="1">#REF!</definedName>
    <definedName name="_67__123Graph_CCHART_4" hidden="1">#REF!</definedName>
    <definedName name="_68__123Graph_CCHART_5" hidden="1">#REF!</definedName>
    <definedName name="_69__123Graph_CCHART_6" hidden="1">#REF!</definedName>
    <definedName name="_6CC1">#REF!</definedName>
    <definedName name="_6CC2">#REF!</definedName>
    <definedName name="_6CC3">#REF!</definedName>
    <definedName name="_6E">#REF!</definedName>
    <definedName name="_7">#REF!</definedName>
    <definedName name="_7_??????_?????_?????????">#REF!</definedName>
    <definedName name="_7__123Graph_BCHART_2" hidden="1">#REF!</definedName>
    <definedName name="_7_14">#REF!</definedName>
    <definedName name="_7_8">#REF!</definedName>
    <definedName name="_70__123Graph_CCHART_7" hidden="1">#REF!</definedName>
    <definedName name="_71__123Graph_CCHART_8" hidden="1">#REF!</definedName>
    <definedName name="_72__123Graph_CCHART_9" hidden="1">#REF!</definedName>
    <definedName name="_73__123Graph_LBL_ACHART_1" hidden="1">#REF!</definedName>
    <definedName name="_74__123Graph_LBL_ACHART_2" hidden="1">#REF!</definedName>
    <definedName name="_75__123Graph_LBL_BCHART_1" hidden="1">#REF!</definedName>
    <definedName name="_76__123Graph_LBL_ECHART_1" hidden="1">#REF!</definedName>
    <definedName name="_77__123Graph_XCHART_1" hidden="1">#REF!</definedName>
    <definedName name="_78__123Graph_XCHART_10" hidden="1">#REF!</definedName>
    <definedName name="_79__123Graph_XCHART_11" hidden="1">#REF!</definedName>
    <definedName name="_8">#REF!</definedName>
    <definedName name="_8_?????_?????">#REF!</definedName>
    <definedName name="_8__123Graph_BCHART_8" hidden="1">#REF!</definedName>
    <definedName name="_8_0Interc_Rev_Loc_">#REF!</definedName>
    <definedName name="_8_15">#REF!</definedName>
    <definedName name="_80__123Graph_XCHART_12" hidden="1">#REF!</definedName>
    <definedName name="_80HHC">#REF!</definedName>
    <definedName name="_81__123Graph_XCHART_13" hidden="1">#REF!</definedName>
    <definedName name="_82__123Graph_XCHART_14" hidden="1">#REF!</definedName>
    <definedName name="_83__123Graph_XCHART_15" hidden="1">#REF!</definedName>
    <definedName name="_84__123Graph_XCHART_16" hidden="1">#REF!</definedName>
    <definedName name="_85__123Graph_XCHART_17" hidden="1">#REF!</definedName>
    <definedName name="_86__123Graph_XCHART_19" hidden="1">#REF!</definedName>
    <definedName name="_87__123Graph_XChart_1A" hidden="1">#REF!</definedName>
    <definedName name="_88__123Graph_XCHART_2" hidden="1">#REF!</definedName>
    <definedName name="_89__123Graph_XChart_2A" hidden="1">#REF!</definedName>
    <definedName name="_8A">#REF!</definedName>
    <definedName name="_8CC1">#REF!</definedName>
    <definedName name="_8CC2">#REF!</definedName>
    <definedName name="_8I">#REF!</definedName>
    <definedName name="_8IN_LINE">#REF!</definedName>
    <definedName name="_9">#REF!</definedName>
    <definedName name="_9_?????_??????">#REF!</definedName>
    <definedName name="_9__123Graph_CCHART_1" hidden="1">#REF!</definedName>
    <definedName name="_9_16">#REF!</definedName>
    <definedName name="_90__123Graph_XCHART_3" hidden="1">#REF!</definedName>
    <definedName name="_91__123Graph_XCHART_4" hidden="1">#REF!</definedName>
    <definedName name="_92__123Graph_XCHART_5" hidden="1">#REF!</definedName>
    <definedName name="_93__123Graph_XCHART_6" hidden="1">#REF!</definedName>
    <definedName name="_94__123Graph_XCHART_7" hidden="1">#REF!</definedName>
    <definedName name="_95__123Graph_XCHART_8" hidden="1">#REF!</definedName>
    <definedName name="_96__123Graph_XCHART_9" hidden="1">#REF!</definedName>
    <definedName name="_A">#REF!</definedName>
    <definedName name="_a1">#REF!</definedName>
    <definedName name="_ACK1">#REF!</definedName>
    <definedName name="_ACK2">#REF!,#REF!,#REF!,#REF!,#REF!,#REF!,#REF!</definedName>
    <definedName name="_add1">#REF!</definedName>
    <definedName name="_add10">#REF!</definedName>
    <definedName name="_add3">#REF!</definedName>
    <definedName name="_add4">#REF!</definedName>
    <definedName name="_add5">#REF!</definedName>
    <definedName name="_add6">#REF!</definedName>
    <definedName name="_add7">#REF!</definedName>
    <definedName name="_add8">#REF!</definedName>
    <definedName name="_add9">#REF!</definedName>
    <definedName name="_Anx1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1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1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1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1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2">#REF!</definedName>
    <definedName name="_Anx7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7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7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7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7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nx7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784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2">#REF!</definedName>
    <definedName name="_avg1">#REF!</definedName>
    <definedName name="_B">#REF!</definedName>
    <definedName name="_B___0">#REF!</definedName>
    <definedName name="_bb1">#REF!</definedName>
    <definedName name="_bdm.03DE683328E849E3BF44D1CE1BD0CB55.edm">#REF!</definedName>
    <definedName name="_bdm.1B0AC81D6080410395D414073E96136E.edm" hidden="1">#REF!</definedName>
    <definedName name="_bdm.260EA7EBAF6D4A7B87C981AEF9A40A2B.edm">#REF!</definedName>
    <definedName name="_bdm.3F1A3D17937443C5BB4BBC282C03991D.edm">#REF!</definedName>
    <definedName name="_bdm.40268F9D0C414050B956A1D8EAEEFD35.edm">#REF!</definedName>
    <definedName name="_bdm.45E565F3C59C40EBB02D709AE94F7082.edm">#REF!</definedName>
    <definedName name="_bdm.4D1DF6688C6B4514B4493796134C1017.edm">#REF!</definedName>
    <definedName name="_bdm.5DA83351381D445092D553D326F046EC.edm">#REF!</definedName>
    <definedName name="_bdm.6D80109B25D5424383004604AEA9BDF5.edm" hidden="1">#REF!</definedName>
    <definedName name="_bdm.79048CB2734E42A1813A19AF346D6F3B.edm" hidden="1">#REF!</definedName>
    <definedName name="_bdm.7B02415F4CD54DAE9D474E67FFA9FA3A.edm">#REF!</definedName>
    <definedName name="_bdm.9186A06BAC1C4C2891B86F32E4ECB9F6.edm">#REF!</definedName>
    <definedName name="_bdm.AC07B3BA28D749E7AAAB4E92E10A6BB2.edm">#REF!</definedName>
    <definedName name="_bdm.B2929F5C0802411099ECD14122E9FF0B.edm">#REF!</definedName>
    <definedName name="_bdm.BBDF2B0158AF498FABA62CB27DFB7822.edm">#REF!</definedName>
    <definedName name="_bdm.bcd6196830d842e6ba1237fbf1fdab6c.edm">#REF!</definedName>
    <definedName name="_bdm.E7010911E549458CB973A32F4D97EBB9.edm">#REF!</definedName>
    <definedName name="_BGT0910">#REF!</definedName>
    <definedName name="_BRM100">#REF!</definedName>
    <definedName name="_BTM150">#REF!</definedName>
    <definedName name="_BTM200">#REF!</definedName>
    <definedName name="_BTM50">#REF!</definedName>
    <definedName name="_Bud3">#REF!</definedName>
    <definedName name="_Bud31">#REF!</definedName>
    <definedName name="_Bud32">#REF!</definedName>
    <definedName name="_C" localSheetId="7">#REF!</definedName>
    <definedName name="_C">#N/A</definedName>
    <definedName name="_C___0">#REF!</definedName>
    <definedName name="_C___17">#REF!</definedName>
    <definedName name="_CAC22">#REF!</definedName>
    <definedName name="_cap1">#REF!</definedName>
    <definedName name="_cap2">#REF!</definedName>
    <definedName name="_cat1">#REF!</definedName>
    <definedName name="_cat2">#REF!</definedName>
    <definedName name="_cd1">#REF!</definedName>
    <definedName name="_cd2">#REF!</definedName>
    <definedName name="_CD3">#REF!</definedName>
    <definedName name="_cd4">#REF!</definedName>
    <definedName name="_Cd5">#REF!</definedName>
    <definedName name="_cd8">#REF!</definedName>
    <definedName name="_cha1">#REF!</definedName>
    <definedName name="_cha2">#REF!</definedName>
    <definedName name="_cha4">#REF!</definedName>
    <definedName name="_cha5">#REF!</definedName>
    <definedName name="_cha6">#REF!</definedName>
    <definedName name="_clo05">#REF!</definedName>
    <definedName name="_CM1">#REF!</definedName>
    <definedName name="_CM11">#REF!</definedName>
    <definedName name="_col1">#REF!</definedName>
    <definedName name="_col10">#REF!</definedName>
    <definedName name="_col11">#REF!</definedName>
    <definedName name="_col12">#REF!</definedName>
    <definedName name="_col13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CON1">#REF!</definedName>
    <definedName name="_CON2">#REF!</definedName>
    <definedName name="_cop1">#REF!</definedName>
    <definedName name="_CRA">#REF!</definedName>
    <definedName name="_CurrencyMultiplier">[1]Annual!$E$17</definedName>
    <definedName name="_CurrName">[1]Annual!$C$17</definedName>
    <definedName name="_DAT1">#REF!</definedName>
    <definedName name="_DAT10">#REF!</definedName>
    <definedName name="_DAT11">#REF!</definedName>
    <definedName name="_DAT12">#REF!</definedName>
    <definedName name="_DAT120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61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9">#REF!</definedName>
    <definedName name="_dcf2">#REF!</definedName>
    <definedName name="_DED36">#REF!</definedName>
    <definedName name="_dev2">#REF!</definedName>
    <definedName name="_dfr4" hidden="1">#REF!</definedName>
    <definedName name="_Dist_Bin" hidden="1">#REF!</definedName>
    <definedName name="_Dist_Values" hidden="1">#REF!</definedName>
    <definedName name="_EPS97">#REF!</definedName>
    <definedName name="_EPS98">#REF!</definedName>
    <definedName name="_EPS99">#REF!</definedName>
    <definedName name="_EXC1">#REF!</definedName>
    <definedName name="_EXC2">#REF!</definedName>
    <definedName name="_FAX95">#REF!</definedName>
    <definedName name="_FAX96">#REF!</definedName>
    <definedName name="_FAX97">#REF!</definedName>
    <definedName name="_FAX98">#REF!</definedName>
    <definedName name="_FAX99">#REF!</definedName>
    <definedName name="_Fill" hidden="1">#REF!</definedName>
    <definedName name="_xlnm._FilterDatabase" hidden="1">#REF!</definedName>
    <definedName name="_FOD800">#REF!</definedName>
    <definedName name="_FOR91">#REF!</definedName>
    <definedName name="_fre2">#REF!</definedName>
    <definedName name="_g33">#REF!</definedName>
    <definedName name="_GIR89">#REF!</definedName>
    <definedName name="_GIR90">#REF!</definedName>
    <definedName name="_Goa1">#REF!</definedName>
    <definedName name="_GRP8">#REF!</definedName>
    <definedName name="_H16800">#REF!</definedName>
    <definedName name="_hom2">#REF!</definedName>
    <definedName name="_ig541">#REF!</definedName>
    <definedName name="_INC1">#REF!</definedName>
    <definedName name="_INC2">#REF!</definedName>
    <definedName name="_JV60">#REF!</definedName>
    <definedName name="_kay1" hidden="1">#REF!</definedName>
    <definedName name="_Key1" hidden="1">#REF!</definedName>
    <definedName name="_Key2" hidden="1">#REF!</definedName>
    <definedName name="_kEY3">#REF!</definedName>
    <definedName name="_kim1" localSheetId="7">{#N/A,#N/A,TRUE,"ADVANCE SUMM.";#N/A,#N/A,TRUE,"KEITH";#N/A,#N/A,TRUE,"WES"}</definedName>
    <definedName name="_kim1" localSheetId="10" hidden="1">{#N/A,#N/A,TRUE,"ADVANCE SUMM.";#N/A,#N/A,TRUE,"KEITH";#N/A,#N/A,TRUE,"WES"}</definedName>
    <definedName name="_kim1" localSheetId="0" hidden="1">{#N/A,#N/A,TRUE,"ADVANCE SUMM.";#N/A,#N/A,TRUE,"KEITH";#N/A,#N/A,TRUE,"WES"}</definedName>
    <definedName name="_kim1" localSheetId="9" hidden="1">{#N/A,#N/A,TRUE,"ADVANCE SUMM.";#N/A,#N/A,TRUE,"KEITH";#N/A,#N/A,TRUE,"WES"}</definedName>
    <definedName name="_kim1" localSheetId="11" hidden="1">{#N/A,#N/A,TRUE,"ADVANCE SUMM.";#N/A,#N/A,TRUE,"KEITH";#N/A,#N/A,TRUE,"WES"}</definedName>
    <definedName name="_kim1" hidden="1">{#N/A,#N/A,TRUE,"ADVANCE SUMM.";#N/A,#N/A,TRUE,"KEITH";#N/A,#N/A,TRUE,"WES"}</definedName>
    <definedName name="_kim10" localSheetId="7">{#N/A,#N/A,TRUE,"ADVANCE SUMM.";#N/A,#N/A,TRUE,"KEITH";#N/A,#N/A,TRUE,"WES"}</definedName>
    <definedName name="_kim10" localSheetId="10" hidden="1">{#N/A,#N/A,TRUE,"ADVANCE SUMM.";#N/A,#N/A,TRUE,"KEITH";#N/A,#N/A,TRUE,"WES"}</definedName>
    <definedName name="_kim10" localSheetId="0" hidden="1">{#N/A,#N/A,TRUE,"ADVANCE SUMM.";#N/A,#N/A,TRUE,"KEITH";#N/A,#N/A,TRUE,"WES"}</definedName>
    <definedName name="_kim10" localSheetId="9" hidden="1">{#N/A,#N/A,TRUE,"ADVANCE SUMM.";#N/A,#N/A,TRUE,"KEITH";#N/A,#N/A,TRUE,"WES"}</definedName>
    <definedName name="_kim10" localSheetId="11" hidden="1">{#N/A,#N/A,TRUE,"ADVANCE SUMM.";#N/A,#N/A,TRUE,"KEITH";#N/A,#N/A,TRUE,"WES"}</definedName>
    <definedName name="_kim10" hidden="1">{#N/A,#N/A,TRUE,"ADVANCE SUMM.";#N/A,#N/A,TRUE,"KEITH";#N/A,#N/A,TRUE,"WES"}</definedName>
    <definedName name="_kim2" localSheetId="7">{#N/A,#N/A,TRUE,"ADVANCE SUMM.";#N/A,#N/A,TRUE,"KEITH";#N/A,#N/A,TRUE,"WES"}</definedName>
    <definedName name="_kim2" localSheetId="10" hidden="1">{#N/A,#N/A,TRUE,"ADVANCE SUMM.";#N/A,#N/A,TRUE,"KEITH";#N/A,#N/A,TRUE,"WES"}</definedName>
    <definedName name="_kim2" localSheetId="0" hidden="1">{#N/A,#N/A,TRUE,"ADVANCE SUMM.";#N/A,#N/A,TRUE,"KEITH";#N/A,#N/A,TRUE,"WES"}</definedName>
    <definedName name="_kim2" localSheetId="9" hidden="1">{#N/A,#N/A,TRUE,"ADVANCE SUMM.";#N/A,#N/A,TRUE,"KEITH";#N/A,#N/A,TRUE,"WES"}</definedName>
    <definedName name="_kim2" localSheetId="11" hidden="1">{#N/A,#N/A,TRUE,"ADVANCE SUMM.";#N/A,#N/A,TRUE,"KEITH";#N/A,#N/A,TRUE,"WES"}</definedName>
    <definedName name="_kim2" hidden="1">{#N/A,#N/A,TRUE,"ADVANCE SUMM.";#N/A,#N/A,TRUE,"KEITH";#N/A,#N/A,TRUE,"WES"}</definedName>
    <definedName name="_KKS1" localSheetId="7">{#N/A,#N/A,FALSE,"12"}</definedName>
    <definedName name="_KKS1" localSheetId="10" hidden="1">{#N/A,#N/A,FALSE,"12"}</definedName>
    <definedName name="_KKS1" localSheetId="0" hidden="1">{#N/A,#N/A,FALSE,"12"}</definedName>
    <definedName name="_KKS1" localSheetId="9" hidden="1">{#N/A,#N/A,FALSE,"12"}</definedName>
    <definedName name="_KKS1" localSheetId="11" hidden="1">{#N/A,#N/A,FALSE,"12"}</definedName>
    <definedName name="_KKS1" hidden="1">{#N/A,#N/A,FALSE,"12"}</definedName>
    <definedName name="_KKS1_1" localSheetId="7">{#N/A,#N/A,FALSE,"12"}</definedName>
    <definedName name="_KKS1_1" localSheetId="10" hidden="1">{#N/A,#N/A,FALSE,"12"}</definedName>
    <definedName name="_KKS1_1" localSheetId="0" hidden="1">{#N/A,#N/A,FALSE,"12"}</definedName>
    <definedName name="_KKS1_1" localSheetId="9" hidden="1">{#N/A,#N/A,FALSE,"12"}</definedName>
    <definedName name="_KKS1_1" localSheetId="11" hidden="1">{#N/A,#N/A,FALSE,"12"}</definedName>
    <definedName name="_KKS1_1" hidden="1">{#N/A,#N/A,FALSE,"12"}</definedName>
    <definedName name="_KKS1_2" localSheetId="7">{#N/A,#N/A,FALSE,"12"}</definedName>
    <definedName name="_KKS1_2" localSheetId="10" hidden="1">{#N/A,#N/A,FALSE,"12"}</definedName>
    <definedName name="_KKS1_2" localSheetId="0" hidden="1">{#N/A,#N/A,FALSE,"12"}</definedName>
    <definedName name="_KKS1_2" localSheetId="9" hidden="1">{#N/A,#N/A,FALSE,"12"}</definedName>
    <definedName name="_KKS1_2" localSheetId="11" hidden="1">{#N/A,#N/A,FALSE,"12"}</definedName>
    <definedName name="_KKS1_2" hidden="1">{#N/A,#N/A,FALSE,"12"}</definedName>
    <definedName name="_ksm14">#REF!</definedName>
    <definedName name="_ksm6">#REF!</definedName>
    <definedName name="_l3">#REF!</definedName>
    <definedName name="_LHI95">#REF!</definedName>
    <definedName name="_LHI96">#REF!</definedName>
    <definedName name="_LHI97">#REF!</definedName>
    <definedName name="_LHI98">#REF!</definedName>
    <definedName name="_LHI99">#REF!</definedName>
    <definedName name="_LTD98">#REF!</definedName>
    <definedName name="_man1">#REF!</definedName>
    <definedName name="_man2">#REF!</definedName>
    <definedName name="_man3">#REF!</definedName>
    <definedName name="_MAR9091">#REF!</definedName>
    <definedName name="_MAR99">#REF!</definedName>
    <definedName name="_mb3">#REF!</definedName>
    <definedName name="_mb4">#REF!</definedName>
    <definedName name="_mb5">#REF!</definedName>
    <definedName name="_mfg1">#REF!</definedName>
    <definedName name="_mfg2">#REF!</definedName>
    <definedName name="_mfg3">#REF!</definedName>
    <definedName name="_mfg4">#REF!</definedName>
    <definedName name="_mfg5">#REF!</definedName>
    <definedName name="_MNN2">#REF!</definedName>
    <definedName name="_MR10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MR10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MR10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MR10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MR10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ms1">#REF!</definedName>
    <definedName name="_ms2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a2" hidden="1">"100"</definedName>
    <definedName name="_na3" hidden="1">"50"</definedName>
    <definedName name="_na4" hidden="1">"IQ_LTM_DATE"</definedName>
    <definedName name="_NET2">#REF!</definedName>
    <definedName name="_new11" localSheetId="7">{#N/A,#N/A,FALSE,"Global by BU";#N/A,#N/A,FALSE,"U.S. by BU";#N/A,#N/A,FALSE,"Canada by BU";#N/A,#N/A,FALSE,"Europe by BU";#N/A,#N/A,FALSE,"Asia by BU";#N/A,#N/A,FALSE,"Cala by BU"}</definedName>
    <definedName name="_new11" localSheetId="10" hidden="1">{#N/A,#N/A,FALSE,"Global by BU";#N/A,#N/A,FALSE,"U.S. by BU";#N/A,#N/A,FALSE,"Canada by BU";#N/A,#N/A,FALSE,"Europe by BU";#N/A,#N/A,FALSE,"Asia by BU";#N/A,#N/A,FALSE,"Cala by BU"}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11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hidden="1">#REF!</definedName>
    <definedName name="_NumberMult">[1]Annual!$E$25</definedName>
    <definedName name="_NumConName">[1]Annual!$C$25</definedName>
    <definedName name="_Order1">255</definedName>
    <definedName name="_Order2">255</definedName>
    <definedName name="_OTH95">#REF!</definedName>
    <definedName name="_OTH96">#REF!</definedName>
    <definedName name="_OTH97">#REF!</definedName>
    <definedName name="_OTH98">#REF!</definedName>
    <definedName name="_OTH99">#REF!</definedName>
    <definedName name="_OUT1">#REF!</definedName>
    <definedName name="_P" localSheetId="7">#REF!</definedName>
    <definedName name="_P">#N/A</definedName>
    <definedName name="_P1">#REF!</definedName>
    <definedName name="_P999999">#REF!</definedName>
    <definedName name="_pa1">#REF!</definedName>
    <definedName name="_Pam10" hidden="1">#REF!</definedName>
    <definedName name="_Pam11" hidden="1">#REF!</definedName>
    <definedName name="_Pam12" hidden="1">#REF!</definedName>
    <definedName name="_Pam13" hidden="1">#REF!</definedName>
    <definedName name="_Pam14" hidden="1">#REF!</definedName>
    <definedName name="_Pam2" hidden="1">#REF!</definedName>
    <definedName name="_Pam3" hidden="1">#REF!</definedName>
    <definedName name="_Pam4" hidden="1">#REF!</definedName>
    <definedName name="_Pam5" hidden="1">#REF!</definedName>
    <definedName name="_Pam6" hidden="1">#REF!</definedName>
    <definedName name="_Pam7" hidden="1">#REF!</definedName>
    <definedName name="_Pam8" hidden="1">#REF!</definedName>
    <definedName name="_Pam9" hidden="1">#REF!</definedName>
    <definedName name="_Parse_In" hidden="1">#REF!</definedName>
    <definedName name="_Parse_Out" hidden="1">#REF!</definedName>
    <definedName name="_Pet1">#REF!</definedName>
    <definedName name="_PG1">#REF!</definedName>
    <definedName name="_pg10">#REF!</definedName>
    <definedName name="_PG11">#REF!</definedName>
    <definedName name="_PG13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">#REF!</definedName>
    <definedName name="_pm2">#REF!</definedName>
    <definedName name="_pnl94">#REF!</definedName>
    <definedName name="_pp2">#REF!</definedName>
    <definedName name="_PR98">#REF!</definedName>
    <definedName name="_prn01">#REF!</definedName>
    <definedName name="_pur10" hidden="1">#REF!</definedName>
    <definedName name="_QPG1">#REF!</definedName>
    <definedName name="_qpg10">#REF!</definedName>
    <definedName name="_QPG11">#REF!</definedName>
    <definedName name="_QPG2">#REF!</definedName>
    <definedName name="_QPG3">#REF!</definedName>
    <definedName name="_QPG4">#REF!</definedName>
    <definedName name="_QPG5">#REF!</definedName>
    <definedName name="_QPG6">#REF!</definedName>
    <definedName name="_QPG7">#REF!</definedName>
    <definedName name="_QPG8">#REF!</definedName>
    <definedName name="_qpg9">#REF!</definedName>
    <definedName name="_QST30">#REF!</definedName>
    <definedName name="_R">#REF!</definedName>
    <definedName name="_rb1">#REF!</definedName>
    <definedName name="_rb10">#REF!</definedName>
    <definedName name="_rb2">#REF!</definedName>
    <definedName name="_rb3">#REF!</definedName>
    <definedName name="_rb4">#REF!</definedName>
    <definedName name="_rb6">#REF!</definedName>
    <definedName name="_rb7">#REF!</definedName>
    <definedName name="_rb8">#REF!</definedName>
    <definedName name="_Regression_Int" hidden="1">1</definedName>
    <definedName name="_Regression_X">#REF!</definedName>
    <definedName name="_rk1">#REF!,#REF!,#REF!,#REF!,#REF!,#REF!,#REF!,#REF!,#REF!</definedName>
    <definedName name="_RM3">#REF!</definedName>
    <definedName name="_rr2">#REF!</definedName>
    <definedName name="_S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h101112">#REF!</definedName>
    <definedName name="_Sch12">#REF!</definedName>
    <definedName name="_Sch131415">#REF!</definedName>
    <definedName name="_Sch1617">#REF!</definedName>
    <definedName name="_Sch3" localSheetId="7">{#N/A,#N/A,FALSE,"PCPL9899"}</definedName>
    <definedName name="_Sch3" localSheetId="10" hidden="1">{#N/A,#N/A,FALSE,"PCPL9899"}</definedName>
    <definedName name="_Sch3" localSheetId="0" hidden="1">{#N/A,#N/A,FALSE,"PCPL9899"}</definedName>
    <definedName name="_Sch3" localSheetId="9" hidden="1">{#N/A,#N/A,FALSE,"PCPL9899"}</definedName>
    <definedName name="_Sch3" localSheetId="11" hidden="1">{#N/A,#N/A,FALSE,"PCPL9899"}</definedName>
    <definedName name="_Sch3" hidden="1">{#N/A,#N/A,FALSE,"PCPL9899"}</definedName>
    <definedName name="_Sch3_1" localSheetId="7">{#N/A,#N/A,FALSE,"PCPL9899"}</definedName>
    <definedName name="_Sch3_1" localSheetId="10" hidden="1">{#N/A,#N/A,FALSE,"PCPL9899"}</definedName>
    <definedName name="_Sch3_1" localSheetId="0" hidden="1">{#N/A,#N/A,FALSE,"PCPL9899"}</definedName>
    <definedName name="_Sch3_1" localSheetId="9" hidden="1">{#N/A,#N/A,FALSE,"PCPL9899"}</definedName>
    <definedName name="_Sch3_1" localSheetId="11" hidden="1">{#N/A,#N/A,FALSE,"PCPL9899"}</definedName>
    <definedName name="_Sch3_1" hidden="1">{#N/A,#N/A,FALSE,"PCPL9899"}</definedName>
    <definedName name="_Sch3_2" localSheetId="7">{#N/A,#N/A,FALSE,"PCPL9899"}</definedName>
    <definedName name="_Sch3_2" localSheetId="10" hidden="1">{#N/A,#N/A,FALSE,"PCPL9899"}</definedName>
    <definedName name="_Sch3_2" localSheetId="0" hidden="1">{#N/A,#N/A,FALSE,"PCPL9899"}</definedName>
    <definedName name="_Sch3_2" localSheetId="9" hidden="1">{#N/A,#N/A,FALSE,"PCPL9899"}</definedName>
    <definedName name="_Sch3_2" localSheetId="11" hidden="1">{#N/A,#N/A,FALSE,"PCPL9899"}</definedName>
    <definedName name="_Sch3_2" hidden="1">{#N/A,#N/A,FALSE,"PCPL9899"}</definedName>
    <definedName name="_Sch34">#REF!</definedName>
    <definedName name="_SCH5">#REF!</definedName>
    <definedName name="_Sch567">#REF!</definedName>
    <definedName name="_SCH6">#REF!</definedName>
    <definedName name="_Sch89">#REF!</definedName>
    <definedName name="_sga" hidden="1">#REF!</definedName>
    <definedName name="_sh12">#REF!</definedName>
    <definedName name="_Sort" hidden="1">#REF!</definedName>
    <definedName name="_ss1" localSheetId="7">{#N/A,#N/A,TRUE,"ADVANCE SUMM.";#N/A,#N/A,TRUE,"KEITH";#N/A,#N/A,TRUE,"WES"}</definedName>
    <definedName name="_ss1" localSheetId="10" hidden="1">{#N/A,#N/A,TRUE,"ADVANCE SUMM.";#N/A,#N/A,TRUE,"KEITH";#N/A,#N/A,TRUE,"WES"}</definedName>
    <definedName name="_ss1" localSheetId="0" hidden="1">{#N/A,#N/A,TRUE,"ADVANCE SUMM.";#N/A,#N/A,TRUE,"KEITH";#N/A,#N/A,TRUE,"WES"}</definedName>
    <definedName name="_ss1" localSheetId="9" hidden="1">{#N/A,#N/A,TRUE,"ADVANCE SUMM.";#N/A,#N/A,TRUE,"KEITH";#N/A,#N/A,TRUE,"WES"}</definedName>
    <definedName name="_ss1" localSheetId="11" hidden="1">{#N/A,#N/A,TRUE,"ADVANCE SUMM.";#N/A,#N/A,TRUE,"KEITH";#N/A,#N/A,TRUE,"WES"}</definedName>
    <definedName name="_ss1" hidden="1">{#N/A,#N/A,TRUE,"ADVANCE SUMM.";#N/A,#N/A,TRUE,"KEITH";#N/A,#N/A,TRUE,"WES"}</definedName>
    <definedName name="_sua20">#REF!</definedName>
    <definedName name="_sua30">#REF!</definedName>
    <definedName name="_SUM1">#REF!</definedName>
    <definedName name="_sum3">#REF!</definedName>
    <definedName name="_sus123">#REF!</definedName>
    <definedName name="_sus12345">#REF!</definedName>
    <definedName name="_t1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a1" localSheetId="7">{#N/A,#N/A,TRUE,"Financials";#N/A,#N/A,TRUE,"Operating Statistics";#N/A,#N/A,TRUE,"Capex &amp; Depreciation";#N/A,#N/A,TRUE,"Debt"}</definedName>
    <definedName name="_ta1" localSheetId="10" hidden="1">{#N/A,#N/A,TRUE,"Financials";#N/A,#N/A,TRUE,"Operating Statistics";#N/A,#N/A,TRUE,"Capex &amp; Depreciation";#N/A,#N/A,TRUE,"Debt"}</definedName>
    <definedName name="_ta1" localSheetId="0" hidden="1">{#N/A,#N/A,TRUE,"Financials";#N/A,#N/A,TRUE,"Operating Statistics";#N/A,#N/A,TRUE,"Capex &amp; Depreciation";#N/A,#N/A,TRUE,"Debt"}</definedName>
    <definedName name="_ta1" localSheetId="9" hidden="1">{#N/A,#N/A,TRUE,"Financials";#N/A,#N/A,TRUE,"Operating Statistics";#N/A,#N/A,TRUE,"Capex &amp; Depreciation";#N/A,#N/A,TRUE,"Debt"}</definedName>
    <definedName name="_ta1" localSheetId="11" hidden="1">{#N/A,#N/A,TRUE,"Financials";#N/A,#N/A,TRUE,"Operating Statistics";#N/A,#N/A,TRUE,"Capex &amp; Depreciation";#N/A,#N/A,TRUE,"Debt"}</definedName>
    <definedName name="_ta1" hidden="1">{#N/A,#N/A,TRUE,"Financials";#N/A,#N/A,TRUE,"Operating Statistics";#N/A,#N/A,TRUE,"Capex &amp; Depreciation";#N/A,#N/A,TRUE,"Debt"}</definedName>
    <definedName name="_tab4">#REF!</definedName>
    <definedName name="_Table1_In1" hidden="1">#REF!</definedName>
    <definedName name="_Table1_In2">#REF!</definedName>
    <definedName name="_Table1_Out" hidden="1">#REF!</definedName>
    <definedName name="_Table2_In1">#REF!</definedName>
    <definedName name="_Table2_In2">#REF!</definedName>
    <definedName name="_Table2_Out">#REF!</definedName>
    <definedName name="_tax1">#REF!</definedName>
    <definedName name="_tax2">#REF!</definedName>
    <definedName name="_tax3">#REF!</definedName>
    <definedName name="_tax4">#REF!</definedName>
    <definedName name="_tb1" localSheetId="7">{#N/A,#N/A,FALSE,"One Pager";#N/A,#N/A,FALSE,"Technical"}</definedName>
    <definedName name="_tb1" localSheetId="10" hidden="1">{#N/A,#N/A,FALSE,"One Pager";#N/A,#N/A,FALSE,"Technical"}</definedName>
    <definedName name="_tb1" localSheetId="0" hidden="1">{#N/A,#N/A,FALSE,"One Pager";#N/A,#N/A,FALSE,"Technical"}</definedName>
    <definedName name="_tb1" localSheetId="9" hidden="1">{#N/A,#N/A,FALSE,"One Pager";#N/A,#N/A,FALSE,"Technical"}</definedName>
    <definedName name="_tb1" localSheetId="11" hidden="1">{#N/A,#N/A,FALSE,"One Pager";#N/A,#N/A,FALSE,"Technical"}</definedName>
    <definedName name="_tb1" hidden="1">{#N/A,#N/A,FALSE,"One Pager";#N/A,#N/A,FALSE,"Technical"}</definedName>
    <definedName name="_TEL95">#REF!</definedName>
    <definedName name="_TEL96">#REF!</definedName>
    <definedName name="_TEL97">#REF!</definedName>
    <definedName name="_TEL98">#REF!</definedName>
    <definedName name="_TEL99">#REF!</definedName>
    <definedName name="_TMAutoChart1Names" localSheetId="7">{"Timeline","Chart 6","Timeline Chart 6"}</definedName>
    <definedName name="_TMAutoChart1Names" localSheetId="10">{"Timeline","Chart 6","Timeline Chart 6"}</definedName>
    <definedName name="_TMAutoChart1Names" localSheetId="0">{"Timeline","Chart 6","Timeline Chart 6"}</definedName>
    <definedName name="_TMAutoChart1Names" localSheetId="9">{"Timeline","Chart 6","Timeline Chart 6"}</definedName>
    <definedName name="_TMAutoChart1Names" localSheetId="11">{"Timeline","Chart 6","Timeline Chart 6"}</definedName>
    <definedName name="_TMAutoChart1Names">{"Timeline","Chart 6","Timeline Chart 6"}</definedName>
    <definedName name="_TMAutoChart1Refs" localSheetId="7">{"","","'Timeline'!$F$16","'Timeline'!$F$25","","","","","",""}</definedName>
    <definedName name="_TMAutoChart1Refs" localSheetId="10">{"","","'Timeline'!$F$16","'Timeline'!$F$25","","","","","",""}</definedName>
    <definedName name="_TMAutoChart1Refs" localSheetId="0">{"","","'Timeline'!$F$16","'Timeline'!$F$25","","","","","",""}</definedName>
    <definedName name="_TMAutoChart1Refs" localSheetId="9">{"","","'Timeline'!$F$16","'Timeline'!$F$25","","","","","",""}</definedName>
    <definedName name="_TMAutoChart1Refs" localSheetId="11">{"","","'Timeline'!$F$16","'Timeline'!$F$25","","","","","",""}</definedName>
    <definedName name="_TMAutoChart1Refs">{"","","'Timeline'!$F$16","'Timeline'!$F$25","","","","","",""}</definedName>
    <definedName name="_TMAutoChart2Names" localSheetId="7">{"Timeline","Chart 6","Timeline Chart 6"}</definedName>
    <definedName name="_TMAutoChart2Names" localSheetId="10">{"Timeline","Chart 6","Timeline Chart 6"}</definedName>
    <definedName name="_TMAutoChart2Names" localSheetId="0">{"Timeline","Chart 6","Timeline Chart 6"}</definedName>
    <definedName name="_TMAutoChart2Names" localSheetId="9">{"Timeline","Chart 6","Timeline Chart 6"}</definedName>
    <definedName name="_TMAutoChart2Names" localSheetId="11">{"Timeline","Chart 6","Timeline Chart 6"}</definedName>
    <definedName name="_TMAutoChart2Names">{"Timeline","Chart 6","Timeline Chart 6"}</definedName>
    <definedName name="_TMAutoChart2Refs" localSheetId="7">{"","","'Timeline'!$F$16","'Timeline'!$H$25","","","","","",""}</definedName>
    <definedName name="_TMAutoChart2Refs" localSheetId="10">{"","","'Timeline'!$F$16","'Timeline'!$H$25","","","","","",""}</definedName>
    <definedName name="_TMAutoChart2Refs" localSheetId="0">{"","","'Timeline'!$F$16","'Timeline'!$H$25","","","","","",""}</definedName>
    <definedName name="_TMAutoChart2Refs" localSheetId="9">{"","","'Timeline'!$F$16","'Timeline'!$H$25","","","","","",""}</definedName>
    <definedName name="_TMAutoChart2Refs" localSheetId="11">{"","","'Timeline'!$F$16","'Timeline'!$H$25","","","","","",""}</definedName>
    <definedName name="_TMAutoChart2Refs">{"","","'Timeline'!$F$16","'Timeline'!$H$25","","","","","",""}</definedName>
    <definedName name="_TMAutoChartCount">2</definedName>
    <definedName name="_tot1">#REF!</definedName>
    <definedName name="_tot2">#REF!</definedName>
    <definedName name="_trg01">#REF!</definedName>
    <definedName name="_tt1">#REF!</definedName>
    <definedName name="_tv2">#REF!,#REF!</definedName>
    <definedName name="_us0300">#REF!</definedName>
    <definedName name="_us0301">#REF!</definedName>
    <definedName name="_V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E9">#REF!</definedName>
    <definedName name="_veh1">#REF!</definedName>
    <definedName name="_VS1">#REF!</definedName>
    <definedName name="_VS2">#REF!</definedName>
    <definedName name="_vxm100">#REF!</definedName>
    <definedName name="_vxm300">#REF!</definedName>
    <definedName name="_vxm500">#REF!</definedName>
    <definedName name="_vxm75">#REF!</definedName>
    <definedName name="_WON95">#REF!</definedName>
    <definedName name="_WON96">#REF!</definedName>
    <definedName name="_WON97">#REF!</definedName>
    <definedName name="_WON98">#REF!</definedName>
    <definedName name="_WON99">#REF!</definedName>
    <definedName name="_WORKMODEL123">#REF!,#REF!,#REF!,#REF!</definedName>
    <definedName name="a">#REF!</definedName>
    <definedName name="A.Y">#REF!</definedName>
    <definedName name="A___0">#REF!</definedName>
    <definedName name="A___17">#REF!</definedName>
    <definedName name="a0">#REF!</definedName>
    <definedName name="A1Tétra">#REF!</definedName>
    <definedName name="A1Tétra_C1">#REF!</definedName>
    <definedName name="A1Tétra_C2">#REF!</definedName>
    <definedName name="A1Tri">#REF!</definedName>
    <definedName name="A1Tri_C1">#REF!</definedName>
    <definedName name="A1Tri_C2">#REF!</definedName>
    <definedName name="A1VigiTétra">#REF!</definedName>
    <definedName name="A1VigiTétra_C1">#REF!</definedName>
    <definedName name="A1VigiTétra_C2">#REF!</definedName>
    <definedName name="A1VigiTri">#REF!</definedName>
    <definedName name="A1VigiTri_C1">#REF!</definedName>
    <definedName name="A1VigiTri_C2">#REF!</definedName>
    <definedName name="a277Print_Titles">#REF!</definedName>
    <definedName name="A2Adv">#REF!</definedName>
    <definedName name="A2Adv_C1">#REF!</definedName>
    <definedName name="A2HP">#REF!</definedName>
    <definedName name="A2HP_C1">#REF!</definedName>
    <definedName name="A2HP_C2">#REF!</definedName>
    <definedName name="A2LC">#REF!</definedName>
    <definedName name="A2LC_C1">#REF!</definedName>
    <definedName name="A3Tétra">#REF!</definedName>
    <definedName name="A3Tétra_C1">#REF!</definedName>
    <definedName name="A3Tétra_C2">#REF!</definedName>
    <definedName name="A3Tri">#REF!</definedName>
    <definedName name="A3Tri_C1">#REF!</definedName>
    <definedName name="A3Tri_C2">#REF!</definedName>
    <definedName name="A3VigiTétra">#REF!</definedName>
    <definedName name="A3VigiTétra_C1">#REF!</definedName>
    <definedName name="A3VigiTétra_C2">#REF!</definedName>
    <definedName name="A3VigiTri">#REF!</definedName>
    <definedName name="A3VigiTri_C1">#REF!</definedName>
    <definedName name="A3VigiTri_C2">#REF!</definedName>
    <definedName name="aa">#REF!</definedName>
    <definedName name="AA_1">#REF!</definedName>
    <definedName name="aaa">#REF!</definedName>
    <definedName name="AAA_DOCTOPS">"AAA_SET"</definedName>
    <definedName name="AAA_duser">"OFF"</definedName>
    <definedName name="aaaa">#REF!</definedName>
    <definedName name="ääää" localSheetId="7">{"'Sample Status'!$A$1:$J$21"}</definedName>
    <definedName name="ääää" localSheetId="10" hidden="1">{"'Sample Status'!$A$1:$J$21"}</definedName>
    <definedName name="ääää" localSheetId="0" hidden="1">{"'Sample Status'!$A$1:$J$21"}</definedName>
    <definedName name="ääää" localSheetId="9" hidden="1">{"'Sample Status'!$A$1:$J$21"}</definedName>
    <definedName name="ääää" localSheetId="11" hidden="1">{"'Sample Status'!$A$1:$J$21"}</definedName>
    <definedName name="ääää" hidden="1">{"'Sample Status'!$A$1:$J$21"}</definedName>
    <definedName name="ääää_1" localSheetId="7">{"'Sample Status'!$A$1:$J$21"}</definedName>
    <definedName name="ääää_1" localSheetId="10" hidden="1">{"'Sample Status'!$A$1:$J$21"}</definedName>
    <definedName name="ääää_1" localSheetId="0" hidden="1">{"'Sample Status'!$A$1:$J$21"}</definedName>
    <definedName name="ääää_1" localSheetId="9" hidden="1">{"'Sample Status'!$A$1:$J$21"}</definedName>
    <definedName name="ääää_1" localSheetId="11" hidden="1">{"'Sample Status'!$A$1:$J$21"}</definedName>
    <definedName name="ääää_1" hidden="1">{"'Sample Status'!$A$1:$J$21"}</definedName>
    <definedName name="ääää_2" localSheetId="7">{"'Sample Status'!$A$1:$J$21"}</definedName>
    <definedName name="ääää_2" localSheetId="10" hidden="1">{"'Sample Status'!$A$1:$J$21"}</definedName>
    <definedName name="ääää_2" localSheetId="0" hidden="1">{"'Sample Status'!$A$1:$J$21"}</definedName>
    <definedName name="ääää_2" localSheetId="9" hidden="1">{"'Sample Status'!$A$1:$J$21"}</definedName>
    <definedName name="ääää_2" localSheetId="11" hidden="1">{"'Sample Status'!$A$1:$J$21"}</definedName>
    <definedName name="ääää_2" hidden="1">{"'Sample Status'!$A$1:$J$21"}</definedName>
    <definedName name="aaaaa" localSheetId="7">{"profit and loss 31 3 2000",#N/A,FALSE,"P&amp;L-lacs"}</definedName>
    <definedName name="aaaaa" localSheetId="10" hidden="1">{"profit and loss 31 3 2000",#N/A,FALSE,"P&amp;L-lacs"}</definedName>
    <definedName name="aaaaa" localSheetId="0" hidden="1">{"profit and loss 31 3 2000",#N/A,FALSE,"P&amp;L-lacs"}</definedName>
    <definedName name="aaaaa" localSheetId="9" hidden="1">{"profit and loss 31 3 2000",#N/A,FALSE,"P&amp;L-lacs"}</definedName>
    <definedName name="aaaaa" localSheetId="11" hidden="1">{"profit and loss 31 3 2000",#N/A,FALSE,"P&amp;L-lacs"}</definedName>
    <definedName name="aaaaa" hidden="1">{"profit and loss 31 3 2000",#N/A,FALSE,"P&amp;L-lacs"}</definedName>
    <definedName name="aaaaa_1" localSheetId="7">{"profit and loss 31 3 2000",#N/A,FALSE,"P&amp;L-lacs"}</definedName>
    <definedName name="aaaaa_1" localSheetId="10" hidden="1">{"profit and loss 31 3 2000",#N/A,FALSE,"P&amp;L-lacs"}</definedName>
    <definedName name="aaaaa_1" localSheetId="0" hidden="1">{"profit and loss 31 3 2000",#N/A,FALSE,"P&amp;L-lacs"}</definedName>
    <definedName name="aaaaa_1" localSheetId="9" hidden="1">{"profit and loss 31 3 2000",#N/A,FALSE,"P&amp;L-lacs"}</definedName>
    <definedName name="aaaaa_1" localSheetId="11" hidden="1">{"profit and loss 31 3 2000",#N/A,FALSE,"P&amp;L-lacs"}</definedName>
    <definedName name="aaaaa_1" hidden="1">{"profit and loss 31 3 2000",#N/A,FALSE,"P&amp;L-lacs"}</definedName>
    <definedName name="aaaaa_2" localSheetId="7">{"profit and loss 31 3 2000",#N/A,FALSE,"P&amp;L-lacs"}</definedName>
    <definedName name="aaaaa_2" localSheetId="10" hidden="1">{"profit and loss 31 3 2000",#N/A,FALSE,"P&amp;L-lacs"}</definedName>
    <definedName name="aaaaa_2" localSheetId="0" hidden="1">{"profit and loss 31 3 2000",#N/A,FALSE,"P&amp;L-lacs"}</definedName>
    <definedName name="aaaaa_2" localSheetId="9" hidden="1">{"profit and loss 31 3 2000",#N/A,FALSE,"P&amp;L-lacs"}</definedName>
    <definedName name="aaaaa_2" localSheetId="11" hidden="1">{"profit and loss 31 3 2000",#N/A,FALSE,"P&amp;L-lacs"}</definedName>
    <definedName name="aaaaa_2" hidden="1">{"profit and loss 31 3 2000",#N/A,FALSE,"P&amp;L-lacs"}</definedName>
    <definedName name="AAAAAA">#REF!</definedName>
    <definedName name="aaaaaaa">#REF!</definedName>
    <definedName name="aaaaaaaaaaa">#REF!</definedName>
    <definedName name="aaaaaaaaaaaaaaaaaaaaaa" localSheetId="7">{"'Apr-00'!$B$4:$AD$44"}</definedName>
    <definedName name="aaaaaaaaaaaaaaaaaaaaaa" localSheetId="10" hidden="1">{"'Apr-00'!$B$4:$AD$44"}</definedName>
    <definedName name="aaaaaaaaaaaaaaaaaaaaaa" localSheetId="0" hidden="1">{"'Apr-00'!$B$4:$AD$44"}</definedName>
    <definedName name="aaaaaaaaaaaaaaaaaaaaaa" localSheetId="9" hidden="1">{"'Apr-00'!$B$4:$AD$44"}</definedName>
    <definedName name="aaaaaaaaaaaaaaaaaaaaaa" localSheetId="11" hidden="1">{"'Apr-00'!$B$4:$AD$44"}</definedName>
    <definedName name="aaaaaaaaaaaaaaaaaaaaaa" hidden="1">{"'Apr-00'!$B$4:$AD$44"}</definedName>
    <definedName name="aaaaaaaaaaaaaaaaaaaaaaaaaaaa" localSheetId="7">{#N/A,#N/A,FALSE,"$170M Cash";#N/A,#N/A,FALSE,"$250M Cash";#N/A,#N/A,FALSE,"$325M Cash"}</definedName>
    <definedName name="aaaaaaaaaaaaaaaaaaaaaaaaaaaa" localSheetId="10" hidden="1">{#N/A,#N/A,FALSE,"$170M Cash";#N/A,#N/A,FALSE,"$250M Cash";#N/A,#N/A,FALSE,"$325M Cash"}</definedName>
    <definedName name="aaaaaaaaaaaaaaaaaaaaaaaaaaaa" localSheetId="0" hidden="1">{#N/A,#N/A,FALSE,"$170M Cash";#N/A,#N/A,FALSE,"$250M Cash";#N/A,#N/A,FALSE,"$325M Cash"}</definedName>
    <definedName name="aaaaaaaaaaaaaaaaaaaaaaaaaaaa" localSheetId="9" hidden="1">{#N/A,#N/A,FALSE,"$170M Cash";#N/A,#N/A,FALSE,"$250M Cash";#N/A,#N/A,FALSE,"$325M Cash"}</definedName>
    <definedName name="aaaaaaaaaaaaaaaaaaaaaaaaaaaa" localSheetId="11" hidden="1">{#N/A,#N/A,FALSE,"$170M Cash";#N/A,#N/A,FALSE,"$250M Cash";#N/A,#N/A,FALSE,"$325M Cash"}</definedName>
    <definedName name="aaaaaaaaaaaaaaaaaaaaaaaaaaaa" hidden="1">{#N/A,#N/A,FALSE,"$170M Cash";#N/A,#N/A,FALSE,"$250M Cash";#N/A,#N/A,FALSE,"$325M Cash"}</definedName>
    <definedName name="aab">#REF!</definedName>
    <definedName name="AAB_Addin5">"AAB_Description for addin 5,Description for addin 5,Description for addin 5,Description for addin 5,Description for addin 5,Description for addin 5"</definedName>
    <definedName name="aabb">#REF!</definedName>
    <definedName name="AAPLANIAMARZO">#REF!</definedName>
    <definedName name="aasa" localSheetId="7">{#N/A,#N/A,FALSE,"$170M Cash";#N/A,#N/A,FALSE,"$250M Cash";#N/A,#N/A,FALSE,"$325M Cash"}</definedName>
    <definedName name="aasa" localSheetId="10" hidden="1">{#N/A,#N/A,FALSE,"$170M Cash";#N/A,#N/A,FALSE,"$250M Cash";#N/A,#N/A,FALSE,"$325M Cash"}</definedName>
    <definedName name="aasa" localSheetId="0" hidden="1">{#N/A,#N/A,FALSE,"$170M Cash";#N/A,#N/A,FALSE,"$250M Cash";#N/A,#N/A,FALSE,"$325M Cash"}</definedName>
    <definedName name="aasa" localSheetId="9" hidden="1">{#N/A,#N/A,FALSE,"$170M Cash";#N/A,#N/A,FALSE,"$250M Cash";#N/A,#N/A,FALSE,"$325M Cash"}</definedName>
    <definedName name="aasa" localSheetId="11" hidden="1">{#N/A,#N/A,FALSE,"$170M Cash";#N/A,#N/A,FALSE,"$250M Cash";#N/A,#N/A,FALSE,"$325M Cash"}</definedName>
    <definedName name="aasa" hidden="1">{#N/A,#N/A,FALSE,"$170M Cash";#N/A,#N/A,FALSE,"$250M Cash";#N/A,#N/A,FALSE,"$325M Cash"}</definedName>
    <definedName name="aasdasd">#REF!</definedName>
    <definedName name="aasdf">Word</definedName>
    <definedName name="aasdfd">#N/A</definedName>
    <definedName name="aass">#N/A</definedName>
    <definedName name="AB">#REF!</definedName>
    <definedName name="AB\">#REF!</definedName>
    <definedName name="AB_1">#REF!</definedName>
    <definedName name="ABC">#REF!</definedName>
    <definedName name="abccc">#REF!</definedName>
    <definedName name="abcd" localSheetId="7">{#N/A,#N/A,FALSE,"PCPL9899"}</definedName>
    <definedName name="abcd" localSheetId="10" hidden="1">{#N/A,#N/A,FALSE,"PCPL9899"}</definedName>
    <definedName name="abcd" localSheetId="0" hidden="1">{#N/A,#N/A,FALSE,"PCPL9899"}</definedName>
    <definedName name="abcd" localSheetId="9" hidden="1">{#N/A,#N/A,FALSE,"PCPL9899"}</definedName>
    <definedName name="abcd" localSheetId="11" hidden="1">{#N/A,#N/A,FALSE,"PCPL9899"}</definedName>
    <definedName name="abcd" hidden="1">{#N/A,#N/A,FALSE,"PCPL9899"}</definedName>
    <definedName name="abcd_1" localSheetId="7">{#N/A,#N/A,FALSE,"PCPL9899"}</definedName>
    <definedName name="abcd_1" localSheetId="10" hidden="1">{#N/A,#N/A,FALSE,"PCPL9899"}</definedName>
    <definedName name="abcd_1" localSheetId="0" hidden="1">{#N/A,#N/A,FALSE,"PCPL9899"}</definedName>
    <definedName name="abcd_1" localSheetId="9" hidden="1">{#N/A,#N/A,FALSE,"PCPL9899"}</definedName>
    <definedName name="abcd_1" localSheetId="11" hidden="1">{#N/A,#N/A,FALSE,"PCPL9899"}</definedName>
    <definedName name="abcd_1" hidden="1">{#N/A,#N/A,FALSE,"PCPL9899"}</definedName>
    <definedName name="abcd_2" localSheetId="7">{#N/A,#N/A,FALSE,"PCPL9899"}</definedName>
    <definedName name="abcd_2" localSheetId="10" hidden="1">{#N/A,#N/A,FALSE,"PCPL9899"}</definedName>
    <definedName name="abcd_2" localSheetId="0" hidden="1">{#N/A,#N/A,FALSE,"PCPL9899"}</definedName>
    <definedName name="abcd_2" localSheetId="9" hidden="1">{#N/A,#N/A,FALSE,"PCPL9899"}</definedName>
    <definedName name="abcd_2" localSheetId="11" hidden="1">{#N/A,#N/A,FALSE,"PCPL9899"}</definedName>
    <definedName name="abcd_2" hidden="1">{#N/A,#N/A,FALSE,"PCPL9899"}</definedName>
    <definedName name="ABCDEFGHI">Word</definedName>
    <definedName name="abdc">#REF!</definedName>
    <definedName name="abhishek">#REF!</definedName>
    <definedName name="abid" localSheetId="7">{#N/A,#N/A,FALSE,"SCHDULE F"}</definedName>
    <definedName name="abid" localSheetId="10" hidden="1">{#N/A,#N/A,FALSE,"SCHDULE F"}</definedName>
    <definedName name="abid" localSheetId="0" hidden="1">{#N/A,#N/A,FALSE,"SCHDULE F"}</definedName>
    <definedName name="abid" localSheetId="9" hidden="1">{#N/A,#N/A,FALSE,"SCHDULE F"}</definedName>
    <definedName name="abid" localSheetId="11" hidden="1">{#N/A,#N/A,FALSE,"SCHDULE F"}</definedName>
    <definedName name="abid" hidden="1">{#N/A,#N/A,FALSE,"SCHDULE F"}</definedName>
    <definedName name="abid_1" localSheetId="7">{#N/A,#N/A,FALSE,"SCHDULE F"}</definedName>
    <definedName name="abid_1" localSheetId="10" hidden="1">{#N/A,#N/A,FALSE,"SCHDULE F"}</definedName>
    <definedName name="abid_1" localSheetId="0" hidden="1">{#N/A,#N/A,FALSE,"SCHDULE F"}</definedName>
    <definedName name="abid_1" localSheetId="9" hidden="1">{#N/A,#N/A,FALSE,"SCHDULE F"}</definedName>
    <definedName name="abid_1" localSheetId="11" hidden="1">{#N/A,#N/A,FALSE,"SCHDULE F"}</definedName>
    <definedName name="abid_1" hidden="1">{#N/A,#N/A,FALSE,"SCHDULE F"}</definedName>
    <definedName name="abid_2" localSheetId="7">{#N/A,#N/A,FALSE,"SCHDULE F"}</definedName>
    <definedName name="abid_2" localSheetId="10" hidden="1">{#N/A,#N/A,FALSE,"SCHDULE F"}</definedName>
    <definedName name="abid_2" localSheetId="0" hidden="1">{#N/A,#N/A,FALSE,"SCHDULE F"}</definedName>
    <definedName name="abid_2" localSheetId="9" hidden="1">{#N/A,#N/A,FALSE,"SCHDULE F"}</definedName>
    <definedName name="abid_2" localSheetId="11" hidden="1">{#N/A,#N/A,FALSE,"SCHDULE F"}</definedName>
    <definedName name="abid_2" hidden="1">{#N/A,#N/A,FALSE,"SCHDULE F"}</definedName>
    <definedName name="abn">#REF!</definedName>
    <definedName name="absc" localSheetId="7">{#N/A,#N/A,TRUE,"ADVANCE SUMM.";#N/A,#N/A,TRUE,"KEITH";#N/A,#N/A,TRUE,"WES"}</definedName>
    <definedName name="absc" localSheetId="10" hidden="1">{#N/A,#N/A,TRUE,"ADVANCE SUMM.";#N/A,#N/A,TRUE,"KEITH";#N/A,#N/A,TRUE,"WES"}</definedName>
    <definedName name="absc" localSheetId="0" hidden="1">{#N/A,#N/A,TRUE,"ADVANCE SUMM.";#N/A,#N/A,TRUE,"KEITH";#N/A,#N/A,TRUE,"WES"}</definedName>
    <definedName name="absc" localSheetId="9" hidden="1">{#N/A,#N/A,TRUE,"ADVANCE SUMM.";#N/A,#N/A,TRUE,"KEITH";#N/A,#N/A,TRUE,"WES"}</definedName>
    <definedName name="absc" localSheetId="11" hidden="1">{#N/A,#N/A,TRUE,"ADVANCE SUMM.";#N/A,#N/A,TRUE,"KEITH";#N/A,#N/A,TRUE,"WES"}</definedName>
    <definedName name="absc" hidden="1">{#N/A,#N/A,TRUE,"ADVANCE SUMM.";#N/A,#N/A,TRUE,"KEITH";#N/A,#N/A,TRUE,"WES"}</definedName>
    <definedName name="Abschreibungen">#REF!</definedName>
    <definedName name="AbsorptionKostenstelle">#REF!</definedName>
    <definedName name="AC">#REF!</definedName>
    <definedName name="AC_1">#REF!</definedName>
    <definedName name="AC_PA">#REF!</definedName>
    <definedName name="acc">#REF!</definedName>
    <definedName name="Access_Button">"CONSOL_SIM_List"</definedName>
    <definedName name="AccessDatabase">"G:\account\96CONSOL\CONSOL.mdb"</definedName>
    <definedName name="Accessoires">#REF!</definedName>
    <definedName name="Accessoires_Total">#REF!</definedName>
    <definedName name="ACCOUNT">#REF!</definedName>
    <definedName name="Account_Balance">#REF!</definedName>
    <definedName name="Account_Balance_1">#REF!</definedName>
    <definedName name="Account_Balance1">#REF!</definedName>
    <definedName name="Account_codes">#REF!</definedName>
    <definedName name="AccountCode">#REF!</definedName>
    <definedName name="ACCOUNTEDPERIODTYPE1">#REF!</definedName>
    <definedName name="Accounts">#REF!</definedName>
    <definedName name="AccountType">#REF!</definedName>
    <definedName name="AcctList">#REF!</definedName>
    <definedName name="acctmgrs">#REF!</definedName>
    <definedName name="acdc">#REF!</definedName>
    <definedName name="AcftInsuranceRate">#REF!</definedName>
    <definedName name="ack">#REF!</definedName>
    <definedName name="AcqCodeName">#REF!</definedName>
    <definedName name="AcqStkIncr">#REF!</definedName>
    <definedName name="act">#REF!</definedName>
    <definedName name="actis">#REF!</definedName>
    <definedName name="actisdv">#REF!</definedName>
    <definedName name="Activacion">#REF!,#REF!,#REF!,#REF!,#REF!,#REF!,#REF!,#REF!,#REF!,#REF!,#REF!,#REF!,#REF!,#REF!,#REF!,#REF!</definedName>
    <definedName name="Activacion_FUNDACION">#REF!,#REF!,#REF!,#REF!,#REF!,#REF!,#REF!,#REF!,#REF!,#REF!,#REF!,#REF!,#REF!,#REF!,#REF!,#REF!,#REF!,#REF!</definedName>
    <definedName name="Activacion_PROCESO">#REF!,#REF!,#REF!,#REF!,#REF!,#REF!,#REF!,#REF!,#REF!,#REF!,#REF!,#REF!,#REF!,#REF!,#REF!,#REF!</definedName>
    <definedName name="Activation">#REF!</definedName>
    <definedName name="ActiveBldgIDNumbers">#REF!</definedName>
    <definedName name="actmth">#REF!</definedName>
    <definedName name="actual">#REF!</definedName>
    <definedName name="actual2">#REF!</definedName>
    <definedName name="ActualNums">#REF!</definedName>
    <definedName name="actytd">#REF!</definedName>
    <definedName name="AD">#REF!</definedName>
    <definedName name="AD_1">#REF!</definedName>
    <definedName name="ad1F626">#REF!</definedName>
    <definedName name="addgggrrrrr5" hidden="1">#REF!</definedName>
    <definedName name="AddInFound">#REF!</definedName>
    <definedName name="addition">#REF!</definedName>
    <definedName name="Additions">#REF!</definedName>
    <definedName name="ADDRESS">#REF!</definedName>
    <definedName name="addtestkeys">#REF!</definedName>
    <definedName name="addtestvkey">#REF!</definedName>
    <definedName name="adf">#N/A</definedName>
    <definedName name="aDfa">#REF!</definedName>
    <definedName name="adfadf" localSheetId="7">{"'Sheet1'!$A$1:$J$121"}</definedName>
    <definedName name="adfadf" localSheetId="10" hidden="1">{"'Sheet1'!$A$1:$J$121"}</definedName>
    <definedName name="adfadf" localSheetId="0" hidden="1">{"'Sheet1'!$A$1:$J$121"}</definedName>
    <definedName name="adfadf" localSheetId="9" hidden="1">{"'Sheet1'!$A$1:$J$121"}</definedName>
    <definedName name="adfadf" localSheetId="11" hidden="1">{"'Sheet1'!$A$1:$J$121"}</definedName>
    <definedName name="adfadf" hidden="1">{"'Sheet1'!$A$1:$J$121"}</definedName>
    <definedName name="adfd">#N/A</definedName>
    <definedName name="adfdfd">#N/A</definedName>
    <definedName name="adfhadhf">#REF!</definedName>
    <definedName name="adfhdafhdhf">#REF!</definedName>
    <definedName name="adfhsdfh">#REF!</definedName>
    <definedName name="adfhsdfhsdfh">#REF!</definedName>
    <definedName name="adfsd">#N/A</definedName>
    <definedName name="adfsdf">#N/A</definedName>
    <definedName name="adhfadh">#REF!</definedName>
    <definedName name="adhfdah">#REF!</definedName>
    <definedName name="adhfdshf">#REF!</definedName>
    <definedName name="ADJ">#REF!</definedName>
    <definedName name="ADJUST">#REF!</definedName>
    <definedName name="adksl">#REF!</definedName>
    <definedName name="admin_cat">#REF!</definedName>
    <definedName name="ADMIN_EXP">#REF!</definedName>
    <definedName name="Admin2003Budget">#REF!</definedName>
    <definedName name="Admin2003Proforma">#REF!</definedName>
    <definedName name="Admin2004Budget">#REF!</definedName>
    <definedName name="adsf">#REF!</definedName>
    <definedName name="adsfgjsf">#REF!</definedName>
    <definedName name="adsfgsdfgdsfg">#REF!</definedName>
    <definedName name="adtesthkey">#REF!</definedName>
    <definedName name="advances">#REF!</definedName>
    <definedName name="advancetax">#REF!</definedName>
    <definedName name="AE">#REF!</definedName>
    <definedName name="AE_1">#REF!</definedName>
    <definedName name="AF">#REF!</definedName>
    <definedName name="AF_1">#REF!</definedName>
    <definedName name="afd" localSheetId="7">{#N/A,#N/A,FALSE,"$170M Cash";#N/A,#N/A,FALSE,"$250M Cash";#N/A,#N/A,FALSE,"$325M Cash"}</definedName>
    <definedName name="afd" localSheetId="10" hidden="1">{#N/A,#N/A,FALSE,"$170M Cash";#N/A,#N/A,FALSE,"$250M Cash";#N/A,#N/A,FALSE,"$325M Cash"}</definedName>
    <definedName name="afd" localSheetId="0" hidden="1">{#N/A,#N/A,FALSE,"$170M Cash";#N/A,#N/A,FALSE,"$250M Cash";#N/A,#N/A,FALSE,"$325M Cash"}</definedName>
    <definedName name="afd" localSheetId="9" hidden="1">{#N/A,#N/A,FALSE,"$170M Cash";#N/A,#N/A,FALSE,"$250M Cash";#N/A,#N/A,FALSE,"$325M Cash"}</definedName>
    <definedName name="afd" localSheetId="11" hidden="1">{#N/A,#N/A,FALSE,"$170M Cash";#N/A,#N/A,FALSE,"$250M Cash";#N/A,#N/A,FALSE,"$325M Cash"}</definedName>
    <definedName name="afd" hidden="1">{#N/A,#N/A,FALSE,"$170M Cash";#N/A,#N/A,FALSE,"$250M Cash";#N/A,#N/A,FALSE,"$325M Cash"}</definedName>
    <definedName name="afdafds">#REF!</definedName>
    <definedName name="afdsdf">#REF!</definedName>
    <definedName name="afdsgadfgdf" localSheetId="7">{#N/A,#N/A,FALSE,"Global by BU";#N/A,#N/A,FALSE,"U.S. by BU";#N/A,#N/A,FALSE,"Canada by BU";#N/A,#N/A,FALSE,"Europe by BU";#N/A,#N/A,FALSE,"Asia by BU";#N/A,#N/A,FALSE,"Cala by BU"}</definedName>
    <definedName name="afdsgadfgdf" localSheetId="10" hidden="1">{#N/A,#N/A,FALSE,"Global by BU";#N/A,#N/A,FALSE,"U.S. by BU";#N/A,#N/A,FALSE,"Canada by BU";#N/A,#N/A,FALSE,"Europe by BU";#N/A,#N/A,FALSE,"Asia by BU";#N/A,#N/A,FALSE,"Cala by BU"}</definedName>
    <definedName name="afdsgadfgdf" localSheetId="0" hidden="1">{#N/A,#N/A,FALSE,"Global by BU";#N/A,#N/A,FALSE,"U.S. by BU";#N/A,#N/A,FALSE,"Canada by BU";#N/A,#N/A,FALSE,"Europe by BU";#N/A,#N/A,FALSE,"Asia by BU";#N/A,#N/A,FALSE,"Cala by BU"}</definedName>
    <definedName name="afdsgadfgdf" localSheetId="9" hidden="1">{#N/A,#N/A,FALSE,"Global by BU";#N/A,#N/A,FALSE,"U.S. by BU";#N/A,#N/A,FALSE,"Canada by BU";#N/A,#N/A,FALSE,"Europe by BU";#N/A,#N/A,FALSE,"Asia by BU";#N/A,#N/A,FALSE,"Cala by BU"}</definedName>
    <definedName name="afdsgadfgdf" localSheetId="11" hidden="1">{#N/A,#N/A,FALSE,"Global by BU";#N/A,#N/A,FALSE,"U.S. by BU";#N/A,#N/A,FALSE,"Canada by BU";#N/A,#N/A,FALSE,"Europe by BU";#N/A,#N/A,FALSE,"Asia by BU";#N/A,#N/A,FALSE,"Cala by BU"}</definedName>
    <definedName name="afdsgadfgdf" hidden="1">{#N/A,#N/A,FALSE,"Global by BU";#N/A,#N/A,FALSE,"U.S. by BU";#N/A,#N/A,FALSE,"Canada by BU";#N/A,#N/A,FALSE,"Europe by BU";#N/A,#N/A,FALSE,"Asia by BU";#N/A,#N/A,FALSE,"Cala by BU"}</definedName>
    <definedName name="afdsjkuhijh">#N/A</definedName>
    <definedName name="Afilliates">#REF!</definedName>
    <definedName name="AFTER_MARKET_SALES_GENERINC_000_s">#REF!</definedName>
    <definedName name="AFTER_MARKET_SALES_GENERINC_000_s_DISTR">#REF!</definedName>
    <definedName name="AFTER_MARKET_SALES_GENERINC_000_s_I_G">#REF!</definedName>
    <definedName name="AFTER_MARKET_SALES_GENERINC_000_s_THDP">#REF!</definedName>
    <definedName name="AFTRM">#REF!</definedName>
    <definedName name="AG">#REF!</definedName>
    <definedName name="AG_1">#REF!</definedName>
    <definedName name="Aged_inventory">#REF!</definedName>
    <definedName name="Ageing">#REF!</definedName>
    <definedName name="agfgtg" hidden="1">#REF!</definedName>
    <definedName name="aggfgfgff" localSheetId="7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aggfgfgff" localSheetId="10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aggfgfgff" localSheetId="0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aggfgfgff" localSheetId="9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aggfgfgff" localSheetId="11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aggfgfgff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Aging_dollars">#REF!</definedName>
    <definedName name="Aging_percent">#REF!,#REF!</definedName>
    <definedName name="Aging1">#REF!</definedName>
    <definedName name="Aging10">#REF!</definedName>
    <definedName name="Aging2">#REF!</definedName>
    <definedName name="Aging3">#REF!</definedName>
    <definedName name="Aging4">#REF!</definedName>
    <definedName name="Aging5">#REF!</definedName>
    <definedName name="Aging6">#REF!</definedName>
    <definedName name="Aging7">#REF!</definedName>
    <definedName name="Aging8">#REF!</definedName>
    <definedName name="Aging9">#REF!</definedName>
    <definedName name="AgingAR">#REF!</definedName>
    <definedName name="AgingArea">#REF!</definedName>
    <definedName name="AgingCheck">#REF!</definedName>
    <definedName name="AgingName">#REF!</definedName>
    <definedName name="AgingSun">#REF!</definedName>
    <definedName name="AgingTotal">#REF!</definedName>
    <definedName name="ah">#REF!</definedName>
    <definedName name="AH_1">#REF!</definedName>
    <definedName name="ahdf">#REF!</definedName>
    <definedName name="ahdsdjdsjh">#REF!</definedName>
    <definedName name="aho">#REF!</definedName>
    <definedName name="ai">#REF!</definedName>
    <definedName name="AI_1">#REF!</definedName>
    <definedName name="AIR_CONDITIONER">#REF!</definedName>
    <definedName name="aircompressor">#REF!</definedName>
    <definedName name="AIRCON">#REF!</definedName>
    <definedName name="AIT">#REF!</definedName>
    <definedName name="AITALL">#REF!</definedName>
    <definedName name="aj">#REF!</definedName>
    <definedName name="AJ_1">#REF!</definedName>
    <definedName name="AJAJA">#REF!</definedName>
    <definedName name="ak">#REF!</definedName>
    <definedName name="AK_1">#REF!</definedName>
    <definedName name="AK9ap">#REF!</definedName>
    <definedName name="al">#REF!</definedName>
    <definedName name="AL_1">#REF!</definedName>
    <definedName name="Alarm_current_Amp_In_Minutes">#REF!</definedName>
    <definedName name="ALL">#REF!</definedName>
    <definedName name="All_data">#REF!</definedName>
    <definedName name="Allo">#REF!</definedName>
    <definedName name="AllocList">#REF!</definedName>
    <definedName name="AllocName">#REF!</definedName>
    <definedName name="Allowance_to_Receivables">#REF!,#REF!</definedName>
    <definedName name="Allowance_to_Sales">#REF!,#REF!</definedName>
    <definedName name="ALM">#REF!</definedName>
    <definedName name="alokmg">#REF!</definedName>
    <definedName name="Alokmgca">#REF!</definedName>
    <definedName name="Alsip_2002">#REF!</definedName>
    <definedName name="Alsip_2002_Print">#REF!</definedName>
    <definedName name="altogether">#REF!,#REF!,#REF!,#REF!,#REF!,#REF!,#REF!,#REF!</definedName>
    <definedName name="am">#REF!</definedName>
    <definedName name="AM_1">#REF!</definedName>
    <definedName name="amardeep">#REF!</definedName>
    <definedName name="AMG_AS">#REF!</definedName>
    <definedName name="AMG_PA">#REF!</definedName>
    <definedName name="amort_gw">#REF!</definedName>
    <definedName name="Amount">#REF!</definedName>
    <definedName name="AMPICILLIN">#REF!</definedName>
    <definedName name="AMPO">#REF!</definedName>
    <definedName name="AMPO1">#REF!</definedName>
    <definedName name="AMSA">#REF!</definedName>
    <definedName name="AmtRaised_IndustryGroup">#REF!</definedName>
    <definedName name="amy" localSheetId="7">#REF!</definedName>
    <definedName name="amy">#N/A</definedName>
    <definedName name="an">#REF!</definedName>
    <definedName name="AN_1">#REF!</definedName>
    <definedName name="analyst" localSheetId="7">{"'Apr-00'!$B$4:$AD$44"}</definedName>
    <definedName name="analyst" localSheetId="10" hidden="1">{"'Apr-00'!$B$4:$AD$44"}</definedName>
    <definedName name="analyst" localSheetId="0" hidden="1">{"'Apr-00'!$B$4:$AD$44"}</definedName>
    <definedName name="analyst" localSheetId="9" hidden="1">{"'Apr-00'!$B$4:$AD$44"}</definedName>
    <definedName name="analyst" localSheetId="11" hidden="1">{"'Apr-00'!$B$4:$AD$44"}</definedName>
    <definedName name="analyst" hidden="1">{"'Apr-00'!$B$4:$AD$44"}</definedName>
    <definedName name="anand">#REF!</definedName>
    <definedName name="Andheri_Variance_Analysis">Word</definedName>
    <definedName name="Andhra">#REF!</definedName>
    <definedName name="anew">#REF!</definedName>
    <definedName name="ann_div">#REF!</definedName>
    <definedName name="ann_store">#REF!</definedName>
    <definedName name="ANN26C">#REF!</definedName>
    <definedName name="ANN26J">#REF!</definedName>
    <definedName name="Annex" localSheetId="7">{#N/A,#N/A,FALSE,"4"}</definedName>
    <definedName name="Annex" localSheetId="10" hidden="1">{#N/A,#N/A,FALSE,"4"}</definedName>
    <definedName name="Annex" localSheetId="0" hidden="1">{#N/A,#N/A,FALSE,"4"}</definedName>
    <definedName name="Annex" localSheetId="9" hidden="1">{#N/A,#N/A,FALSE,"4"}</definedName>
    <definedName name="Annex" localSheetId="11" hidden="1">{#N/A,#N/A,FALSE,"4"}</definedName>
    <definedName name="Annex" hidden="1">{#N/A,#N/A,FALSE,"4"}</definedName>
    <definedName name="Annex_1" localSheetId="7">{#N/A,#N/A,FALSE,"4"}</definedName>
    <definedName name="Annex_1" localSheetId="10" hidden="1">{#N/A,#N/A,FALSE,"4"}</definedName>
    <definedName name="Annex_1" localSheetId="0" hidden="1">{#N/A,#N/A,FALSE,"4"}</definedName>
    <definedName name="Annex_1" localSheetId="9" hidden="1">{#N/A,#N/A,FALSE,"4"}</definedName>
    <definedName name="Annex_1" localSheetId="11" hidden="1">{#N/A,#N/A,FALSE,"4"}</definedName>
    <definedName name="Annex_1" hidden="1">{#N/A,#N/A,FALSE,"4"}</definedName>
    <definedName name="Annex_2" localSheetId="7">{#N/A,#N/A,FALSE,"4"}</definedName>
    <definedName name="Annex_2" localSheetId="10" hidden="1">{#N/A,#N/A,FALSE,"4"}</definedName>
    <definedName name="Annex_2" localSheetId="0" hidden="1">{#N/A,#N/A,FALSE,"4"}</definedName>
    <definedName name="Annex_2" localSheetId="9" hidden="1">{#N/A,#N/A,FALSE,"4"}</definedName>
    <definedName name="Annex_2" localSheetId="11" hidden="1">{#N/A,#N/A,FALSE,"4"}</definedName>
    <definedName name="Annex_2" hidden="1">{#N/A,#N/A,FALSE,"4"}</definedName>
    <definedName name="ANNEXA">#REF!</definedName>
    <definedName name="ANNEXIII">#REF!</definedName>
    <definedName name="ANNEXIV">#REF!</definedName>
    <definedName name="ANNEXURE_1">#REF!</definedName>
    <definedName name="ANNEXURE_2">#REF!</definedName>
    <definedName name="ANNEXURE_3">#REF!</definedName>
    <definedName name="ANNEXURE_4">#REF!</definedName>
    <definedName name="ANNEXURE1">#REF!</definedName>
    <definedName name="Annexure2">#REF!</definedName>
    <definedName name="ANORSA">#REF!</definedName>
    <definedName name="anothergraph" hidden="1">#REF!</definedName>
    <definedName name="anothergraph2" hidden="1">#REF!</definedName>
    <definedName name="anscount" hidden="1">3</definedName>
    <definedName name="Answer">#REF!</definedName>
    <definedName name="ant_ae_ex">#REF!</definedName>
    <definedName name="ant_ae_mh">#REF!</definedName>
    <definedName name="ant_ae_mi">#REF!</definedName>
    <definedName name="ant_ae_mlf">#REF!</definedName>
    <definedName name="ant_as_ex">#REF!</definedName>
    <definedName name="ant_as_mh">#REF!</definedName>
    <definedName name="ant_as_mi">#REF!</definedName>
    <definedName name="ant_as_mlf">#REF!</definedName>
    <definedName name="ant_enc_ex">#REF!</definedName>
    <definedName name="ant_enc_mh">#REF!</definedName>
    <definedName name="ant_enc_mi">#REF!</definedName>
    <definedName name="ant_enc_mlf">#REF!</definedName>
    <definedName name="anv">#REF!</definedName>
    <definedName name="ANX_2">#REF!</definedName>
    <definedName name="ANX_2A">#REF!</definedName>
    <definedName name="ANX_3">#REF!</definedName>
    <definedName name="ao">#REF!</definedName>
    <definedName name="AO_1">#REF!</definedName>
    <definedName name="ap">#REF!</definedName>
    <definedName name="AP_1">#REF!</definedName>
    <definedName name="API">#REF!</definedName>
    <definedName name="APN">#REF!</definedName>
    <definedName name="app">#REF!</definedName>
    <definedName name="appl">#REF!</definedName>
    <definedName name="APPLICATION">#REF!</definedName>
    <definedName name="APPSUSERNAME1">#REF!</definedName>
    <definedName name="AprGLView">#REF!</definedName>
    <definedName name="aq">#REF!</definedName>
    <definedName name="AQ_1">#REF!</definedName>
    <definedName name="aquneu">#REF!</definedName>
    <definedName name="aquneu1">#REF!</definedName>
    <definedName name="ar">#REF!</definedName>
    <definedName name="AR_1">#REF!</definedName>
    <definedName name="AR_EYGS_Dec20">#REF!</definedName>
    <definedName name="AR_EYGS_Feb03">#REF!</definedName>
    <definedName name="AR_EYI__Nov02">#REF!</definedName>
    <definedName name="AR_EYI_Dec20">#REF!</definedName>
    <definedName name="Architect_Rate">#REF!</definedName>
    <definedName name="Area">#REF!</definedName>
    <definedName name="area_101">#REF!</definedName>
    <definedName name="AREA_102">#REF!</definedName>
    <definedName name="AREA_103">#REF!</definedName>
    <definedName name="AREA_104">#REF!</definedName>
    <definedName name="AREA_105">#REF!</definedName>
    <definedName name="AREA_106">#REF!</definedName>
    <definedName name="AREA_201">#REF!</definedName>
    <definedName name="AREA_202">#REF!</definedName>
    <definedName name="AREA_203">#REF!</definedName>
    <definedName name="AREA_301">#REF!</definedName>
    <definedName name="AREA_302">#REF!</definedName>
    <definedName name="AREA_303">#REF!</definedName>
    <definedName name="AREA_401">#REF!</definedName>
    <definedName name="AREA_402">#REF!</definedName>
    <definedName name="area1">#REF!</definedName>
    <definedName name="area15">#REF!</definedName>
    <definedName name="area1M">#REF!</definedName>
    <definedName name="area1Y">#REF!</definedName>
    <definedName name="area2">#REF!</definedName>
    <definedName name="area2M">#REF!</definedName>
    <definedName name="area2Y">#REF!</definedName>
    <definedName name="area3">#REF!</definedName>
    <definedName name="area3M">#REF!</definedName>
    <definedName name="area3Y">#REF!</definedName>
    <definedName name="area4">#REF!</definedName>
    <definedName name="area4M">#REF!</definedName>
    <definedName name="area4Y">#REF!</definedName>
    <definedName name="area7">#REF!</definedName>
    <definedName name="arhgbljkFR">#REF!</definedName>
    <definedName name="ARMRATES">#REF!</definedName>
    <definedName name="ARN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1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1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1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1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1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2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2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2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2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2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N_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rub">#REF!</definedName>
    <definedName name="as">#REF!</definedName>
    <definedName name="AS_1">#REF!</definedName>
    <definedName name="AS_PA">#REF!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icLS">#REF!</definedName>
    <definedName name="AS2SyncStepLS" hidden="1">0</definedName>
    <definedName name="AS2TickmarkLS" hidden="1">#REF!</definedName>
    <definedName name="AS2VersionLS" hidden="1">300</definedName>
    <definedName name="asasads">#REF!</definedName>
    <definedName name="asasas">#REF!</definedName>
    <definedName name="ASC_IIIP">#REF!</definedName>
    <definedName name="asd" hidden="1">3</definedName>
    <definedName name="asda">#REF!</definedName>
    <definedName name="asdas">{"quarter",#N/A,FALSE,"MOB"}</definedName>
    <definedName name="asdf">#REF!</definedName>
    <definedName name="asdfa" localSheetId="7">{#N/A,#N/A,TRUE,"ADVANCE SUMM.";#N/A,#N/A,TRUE,"KEITH";#N/A,#N/A,TRUE,"WES"}</definedName>
    <definedName name="asdfa" localSheetId="10" hidden="1">{#N/A,#N/A,TRUE,"ADVANCE SUMM.";#N/A,#N/A,TRUE,"KEITH";#N/A,#N/A,TRUE,"WES"}</definedName>
    <definedName name="asdfa" localSheetId="0" hidden="1">{#N/A,#N/A,TRUE,"ADVANCE SUMM.";#N/A,#N/A,TRUE,"KEITH";#N/A,#N/A,TRUE,"WES"}</definedName>
    <definedName name="asdfa" localSheetId="9" hidden="1">{#N/A,#N/A,TRUE,"ADVANCE SUMM.";#N/A,#N/A,TRUE,"KEITH";#N/A,#N/A,TRUE,"WES"}</definedName>
    <definedName name="asdfa" localSheetId="11" hidden="1">{#N/A,#N/A,TRUE,"ADVANCE SUMM.";#N/A,#N/A,TRUE,"KEITH";#N/A,#N/A,TRUE,"WES"}</definedName>
    <definedName name="asdfa" hidden="1">{#N/A,#N/A,TRUE,"ADVANCE SUMM.";#N/A,#N/A,TRUE,"KEITH";#N/A,#N/A,TRUE,"WES"}</definedName>
    <definedName name="asdfadsf" localSheetId="7">{"'Sheet1'!$A$1:$J$121"}</definedName>
    <definedName name="asdfadsf" localSheetId="10" hidden="1">{"'Sheet1'!$A$1:$J$121"}</definedName>
    <definedName name="asdfadsf" localSheetId="0" hidden="1">{"'Sheet1'!$A$1:$J$121"}</definedName>
    <definedName name="asdfadsf" localSheetId="9" hidden="1">{"'Sheet1'!$A$1:$J$121"}</definedName>
    <definedName name="asdfadsf" localSheetId="11" hidden="1">{"'Sheet1'!$A$1:$J$121"}</definedName>
    <definedName name="asdfadsf" hidden="1">{"'Sheet1'!$A$1:$J$121"}</definedName>
    <definedName name="asdfasdf">#REF!</definedName>
    <definedName name="asdfasf" hidden="1">38939.6653819444</definedName>
    <definedName name="asdfg">#REF!</definedName>
    <definedName name="asdsadsada">#REF!</definedName>
    <definedName name="ASDSDS">#REF!</definedName>
    <definedName name="asdz">#REF!,#REF!,#REF!,#REF!</definedName>
    <definedName name="asfasdf">#REF!</definedName>
    <definedName name="asfsdf" localSheetId="7">{#N/A,#N/A,FALSE,"COMP"}</definedName>
    <definedName name="asfsdf" localSheetId="10" hidden="1">{#N/A,#N/A,FALSE,"COMP"}</definedName>
    <definedName name="asfsdf" localSheetId="0" hidden="1">{#N/A,#N/A,FALSE,"COMP"}</definedName>
    <definedName name="asfsdf" localSheetId="9" hidden="1">{#N/A,#N/A,FALSE,"COMP"}</definedName>
    <definedName name="asfsdf" localSheetId="11" hidden="1">{#N/A,#N/A,FALSE,"COMP"}</definedName>
    <definedName name="asfsdf" hidden="1">{#N/A,#N/A,FALSE,"COMP"}</definedName>
    <definedName name="asgasgd">Word</definedName>
    <definedName name="asgd">Word</definedName>
    <definedName name="asgtaryg">#REF!</definedName>
    <definedName name="ashish" localSheetId="7">{#N/A,#N/A,TRUE,"ADVANCE SUMM.";#N/A,#N/A,TRUE,"KEITH";#N/A,#N/A,TRUE,"WES"}</definedName>
    <definedName name="ashish" localSheetId="10" hidden="1">{#N/A,#N/A,TRUE,"ADVANCE SUMM.";#N/A,#N/A,TRUE,"KEITH";#N/A,#N/A,TRUE,"WES"}</definedName>
    <definedName name="ashish" localSheetId="0" hidden="1">{#N/A,#N/A,TRUE,"ADVANCE SUMM.";#N/A,#N/A,TRUE,"KEITH";#N/A,#N/A,TRUE,"WES"}</definedName>
    <definedName name="ashish" localSheetId="9" hidden="1">{#N/A,#N/A,TRUE,"ADVANCE SUMM.";#N/A,#N/A,TRUE,"KEITH";#N/A,#N/A,TRUE,"WES"}</definedName>
    <definedName name="ashish" localSheetId="11" hidden="1">{#N/A,#N/A,TRUE,"ADVANCE SUMM.";#N/A,#N/A,TRUE,"KEITH";#N/A,#N/A,TRUE,"WES"}</definedName>
    <definedName name="ashish" hidden="1">{#N/A,#N/A,TRUE,"ADVANCE SUMM.";#N/A,#N/A,TRUE,"KEITH";#N/A,#N/A,TRUE,"WES"}</definedName>
    <definedName name="ashok">#REF!</definedName>
    <definedName name="ashyfadfh">#REF!</definedName>
    <definedName name="asia">#REF!+#REF!</definedName>
    <definedName name="ASIA_PLASTIC_in_KUSD">#REF!</definedName>
    <definedName name="askdelete">#REF!</definedName>
    <definedName name="askljdflasfd">#REF!</definedName>
    <definedName name="asn">#REF!</definedName>
    <definedName name="ASP">#REF!</definedName>
    <definedName name="ass" localSheetId="7">{#N/A,#N/A,FALSE,"COMP"}</definedName>
    <definedName name="ass" localSheetId="10" hidden="1">{#N/A,#N/A,FALSE,"COMP"}</definedName>
    <definedName name="ass" localSheetId="0" hidden="1">{#N/A,#N/A,FALSE,"COMP"}</definedName>
    <definedName name="ass" localSheetId="9" hidden="1">{#N/A,#N/A,FALSE,"COMP"}</definedName>
    <definedName name="ass" localSheetId="11" hidden="1">{#N/A,#N/A,FALSE,"COMP"}</definedName>
    <definedName name="ass" hidden="1">{#N/A,#N/A,FALSE,"COMP"}</definedName>
    <definedName name="ass_cc">#REF!</definedName>
    <definedName name="assa">#REF!</definedName>
    <definedName name="ASSAM">#REF!</definedName>
    <definedName name="Asset">#REF!</definedName>
    <definedName name="Asset_Register">#REF!</definedName>
    <definedName name="ASSETS_WRITTEN_OFF___SALE_AS_ON__30_9_2000">#REF!</definedName>
    <definedName name="assets1">OFFSET(#REF!,1,0,COUNTA(#REF!)-1,1)</definedName>
    <definedName name="AssetType">#REF!</definedName>
    <definedName name="asss">#REF!</definedName>
    <definedName name="assss">#N/A</definedName>
    <definedName name="AsstYr">#REF!</definedName>
    <definedName name="assume">#REF!</definedName>
    <definedName name="ASUBB">#REF!</definedName>
    <definedName name="ASUBG">#REF!</definedName>
    <definedName name="ASUBP">#REF!</definedName>
    <definedName name="ASUBS">#REF!</definedName>
    <definedName name="AT">#REF!</definedName>
    <definedName name="AT_1">#REF!</definedName>
    <definedName name="atish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ish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ish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ish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ish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L">#REF!,#REF!,#REF!</definedName>
    <definedName name="ATORVA_ATV_IP">#REF!</definedName>
    <definedName name="ATORVA_DKT_iii">#REF!</definedName>
    <definedName name="ATTACH_10">#REF!</definedName>
    <definedName name="ATTACH_11">#REF!</definedName>
    <definedName name="ATTACH_12">#REF!</definedName>
    <definedName name="ATTACH_13">#REF!</definedName>
    <definedName name="ATTACH_14">#REF!</definedName>
    <definedName name="ATTACH_2">#REF!</definedName>
    <definedName name="ATTACH_3">#REF!</definedName>
    <definedName name="ATTACH_3A">#REF!</definedName>
    <definedName name="ATTACH_3B">#REF!</definedName>
    <definedName name="ATTACH_4A">#REF!</definedName>
    <definedName name="ATTACH_4B">#REF!</definedName>
    <definedName name="ATTACH_5">#REF!</definedName>
    <definedName name="ATTACH_6">#REF!</definedName>
    <definedName name="ATTACH_6A">#REF!</definedName>
    <definedName name="ATTACH_7">#REF!</definedName>
    <definedName name="ATTACH_7A">#REF!</definedName>
    <definedName name="ATTACH_7B">#REF!</definedName>
    <definedName name="ATTACH_8">#REF!</definedName>
    <definedName name="ATTEND">#REF!</definedName>
    <definedName name="AUDIO_VIDEO_ACCESSORIES">#REF!</definedName>
    <definedName name="AUDIO_VIDEO_EQUIPMENT">#REF!</definedName>
    <definedName name="audit">#REF!</definedName>
    <definedName name="AUDIT_REPORT">#REF!</definedName>
    <definedName name="AUDIT00">#REF!</definedName>
    <definedName name="AUDIT95">#REF!</definedName>
    <definedName name="AUDIT96">#REF!</definedName>
    <definedName name="AUDIT97">#REF!</definedName>
    <definedName name="AUDIT98">#REF!</definedName>
    <definedName name="AUDIT99">#REF!</definedName>
    <definedName name="AUST">#REF!</definedName>
    <definedName name="AUSTRALIA">#REF!</definedName>
    <definedName name="AUSTRIA">#REF!</definedName>
    <definedName name="_xlnm.Auto_Open">#REF!</definedName>
    <definedName name="AV_SOFTWARE">#REF!</definedName>
    <definedName name="avegus0300">#REF!</definedName>
    <definedName name="average_creditor_days">#REF!</definedName>
    <definedName name="average_debtor_days">#REF!</definedName>
    <definedName name="Average_number_of_subs">#REF!</definedName>
    <definedName name="Avg">#REF!</definedName>
    <definedName name="Avg_Exchange_Rate">#REF!</definedName>
    <definedName name="avg_june08">#REF!</definedName>
    <definedName name="avg_june09">#REF!</definedName>
    <definedName name="avg_sept10_EUR">#REF!</definedName>
    <definedName name="Avg_Sub">#REF!</definedName>
    <definedName name="AVNLG">#REF!</definedName>
    <definedName name="axe">#REF!</definedName>
    <definedName name="axedoc">#REF!</definedName>
    <definedName name="AXETIL_AMOR_SPR_DRY">#REF!</definedName>
    <definedName name="AXETIL_AMOR_SSD_AL">#REF!</definedName>
    <definedName name="AXETIL_SOLID_DISPER_AL">#REF!</definedName>
    <definedName name="AY">#REF!</definedName>
    <definedName name="ayear">#REF!</definedName>
    <definedName name="ayear1">#REF!</definedName>
    <definedName name="ayear3">#REF!</definedName>
    <definedName name="ayear5">#REF!</definedName>
    <definedName name="azbvf" localSheetId="7">{#N/A,#N/A,FALSE,"17"}</definedName>
    <definedName name="azbvf" localSheetId="10" hidden="1">{#N/A,#N/A,FALSE,"17"}</definedName>
    <definedName name="azbvf" localSheetId="0" hidden="1">{#N/A,#N/A,FALSE,"17"}</definedName>
    <definedName name="azbvf" localSheetId="9" hidden="1">{#N/A,#N/A,FALSE,"17"}</definedName>
    <definedName name="azbvf" localSheetId="11" hidden="1">{#N/A,#N/A,FALSE,"17"}</definedName>
    <definedName name="azbvf" hidden="1">{#N/A,#N/A,FALSE,"17"}</definedName>
    <definedName name="azbvf_1" localSheetId="7">{#N/A,#N/A,FALSE,"17"}</definedName>
    <definedName name="azbvf_1" localSheetId="10" hidden="1">{#N/A,#N/A,FALSE,"17"}</definedName>
    <definedName name="azbvf_1" localSheetId="0" hidden="1">{#N/A,#N/A,FALSE,"17"}</definedName>
    <definedName name="azbvf_1" localSheetId="9" hidden="1">{#N/A,#N/A,FALSE,"17"}</definedName>
    <definedName name="azbvf_1" localSheetId="11" hidden="1">{#N/A,#N/A,FALSE,"17"}</definedName>
    <definedName name="azbvf_1" hidden="1">{#N/A,#N/A,FALSE,"17"}</definedName>
    <definedName name="azbvf_2" localSheetId="7">{#N/A,#N/A,FALSE,"17"}</definedName>
    <definedName name="azbvf_2" localSheetId="10" hidden="1">{#N/A,#N/A,FALSE,"17"}</definedName>
    <definedName name="azbvf_2" localSheetId="0" hidden="1">{#N/A,#N/A,FALSE,"17"}</definedName>
    <definedName name="azbvf_2" localSheetId="9" hidden="1">{#N/A,#N/A,FALSE,"17"}</definedName>
    <definedName name="azbvf_2" localSheetId="11" hidden="1">{#N/A,#N/A,FALSE,"17"}</definedName>
    <definedName name="azbvf_2" hidden="1">{#N/A,#N/A,FALSE,"17"}</definedName>
    <definedName name="B">#REF!</definedName>
    <definedName name="B.6_22">#REF!</definedName>
    <definedName name="b.6_30">#REF!</definedName>
    <definedName name="b.6_31">#REF!</definedName>
    <definedName name="b.6_32">#REF!</definedName>
    <definedName name="b.6_33">#REF!</definedName>
    <definedName name="b.6_34">#REF!</definedName>
    <definedName name="b.6_40">#REF!</definedName>
    <definedName name="b.6_50">#REF!</definedName>
    <definedName name="b.6_51">#REF!</definedName>
    <definedName name="b.6_52">#REF!</definedName>
    <definedName name="b.6_53">#REF!</definedName>
    <definedName name="b.6_54">#REF!</definedName>
    <definedName name="b.6_55">#REF!</definedName>
    <definedName name="B.SHEET_GROUPIN">#REF!</definedName>
    <definedName name="B_S">#REF!</definedName>
    <definedName name="B_VND">0.05</definedName>
    <definedName name="B_YEN">0.1</definedName>
    <definedName name="b2bc">#REF!</definedName>
    <definedName name="B6_ACTUAL22">#REF!</definedName>
    <definedName name="b6_actual30">#REF!</definedName>
    <definedName name="b6_Actual31">#REF!</definedName>
    <definedName name="b6_actual32">#REF!</definedName>
    <definedName name="b6_actual33">#REF!</definedName>
    <definedName name="b6_actual34">#REF!</definedName>
    <definedName name="b6_actual40">#REF!</definedName>
    <definedName name="b6_actual50">#REF!</definedName>
    <definedName name="b6_actual51">#REF!</definedName>
    <definedName name="b6_actual52">#REF!</definedName>
    <definedName name="b6_actual53">#REF!</definedName>
    <definedName name="b6_actual54">#REF!</definedName>
    <definedName name="b6_actual55">#REF!</definedName>
    <definedName name="Backup">#REF!</definedName>
    <definedName name="Bad_Debt">#REF!</definedName>
    <definedName name="BAL">#REF!</definedName>
    <definedName name="BALANCE_SHEET">#REF!</definedName>
    <definedName name="Balance1">#REF!</definedName>
    <definedName name="Balance2">#REF!</definedName>
    <definedName name="BalanceShees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1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1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1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1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1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2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2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2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2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2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s_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lancesheet">#REF!</definedName>
    <definedName name="balancing.cash">#REF!</definedName>
    <definedName name="Bang_cly">#REF!</definedName>
    <definedName name="Bang_CVC">#REF!</definedName>
    <definedName name="bang_gia">#REF!</definedName>
    <definedName name="Bang_travl">#REF!</definedName>
    <definedName name="Bangalore">[2]Bangalore!$B$4:$XFD$1048576</definedName>
    <definedName name="bank">#REF!</definedName>
    <definedName name="bank_committments">#REF!</definedName>
    <definedName name="BarLabels">#REF!</definedName>
    <definedName name="base">#REF!</definedName>
    <definedName name="BASE2">#REF!</definedName>
    <definedName name="Base3">#REF!</definedName>
    <definedName name="Base4">#REF!</definedName>
    <definedName name="Base5">#REF!</definedName>
    <definedName name="Base6">#REF!</definedName>
    <definedName name="Base7">#REF!</definedName>
    <definedName name="Base8">#REF!</definedName>
    <definedName name="Base9">#REF!</definedName>
    <definedName name="BaseActual">#REF!</definedName>
    <definedName name="BaseCase">#REF!</definedName>
    <definedName name="BaseEntry">#REF!</definedName>
    <definedName name="BaseFake">#REF!</definedName>
    <definedName name="BaseType">#REF!</definedName>
    <definedName name="basic">#REF!</definedName>
    <definedName name="basic1">#REF!</definedName>
    <definedName name="BB">#REF!</definedName>
    <definedName name="bbb">#REF!</definedName>
    <definedName name="bbbb">#REF!</definedName>
    <definedName name="bbbbbb">#REF!</definedName>
    <definedName name="bbbbbbbb" hidden="1">#REF!</definedName>
    <definedName name="bbbbbbbbbbbbbbb" hidden="1">#REF!</definedName>
    <definedName name="BBC">#REF!</definedName>
    <definedName name="bbrh55" hidden="1">#REF!</definedName>
    <definedName name="bbs" localSheetId="7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s" localSheetId="10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s" localSheetId="0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s" localSheetId="9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s" localSheetId="11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">#REF!</definedName>
    <definedName name="BCHART" hidden="1">#REF!</definedName>
    <definedName name="bcos_ae_ex">#REF!</definedName>
    <definedName name="bcos_ae_mh">#REF!</definedName>
    <definedName name="bcos_ae_mi">#REF!</definedName>
    <definedName name="bcos_ae_mlf">#REF!</definedName>
    <definedName name="bcos_as_ex">#REF!</definedName>
    <definedName name="bcos_as_mh">#REF!</definedName>
    <definedName name="bcos_as_mi">#REF!</definedName>
    <definedName name="bcos_as_mlf">#REF!</definedName>
    <definedName name="bcos_enc_ex">#REF!</definedName>
    <definedName name="bcos_enc_mh">#REF!</definedName>
    <definedName name="bcos_enc_mi">#REF!</definedName>
    <definedName name="bcos_enc_mlf">#REF!</definedName>
    <definedName name="bdd">#REF!</definedName>
    <definedName name="bdfgthjy7" hidden="1">#REF!</definedName>
    <definedName name="bdgghdgg5" hidden="1">#REF!</definedName>
    <definedName name="Bear">#REF!</definedName>
    <definedName name="bearr">#REF!</definedName>
    <definedName name="Beg_Bal">#REF!</definedName>
    <definedName name="BEGIN">#REF!</definedName>
    <definedName name="BELL__Polarised">#REF!</definedName>
    <definedName name="BENEFIT00">#REF!</definedName>
    <definedName name="BENEFIT95">#REF!</definedName>
    <definedName name="BENEFIT96">#REF!</definedName>
    <definedName name="BENEFIT97">#REF!</definedName>
    <definedName name="BENEFIT98">#REF!</definedName>
    <definedName name="BENEFIT99">#REF!</definedName>
    <definedName name="bentonite">#REF!</definedName>
    <definedName name="Beowulf" hidden="1">#REF!</definedName>
    <definedName name="beta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gb5g5e" hidden="1">#REF!</definedName>
    <definedName name="BFS">#REF!</definedName>
    <definedName name="BG">#REF!</definedName>
    <definedName name="BG_Cust_Code">#REF!</definedName>
    <definedName name="BG_CustCode">#REF!</definedName>
    <definedName name="BG_Del" hidden="1">15</definedName>
    <definedName name="BG_Ins" hidden="1">4</definedName>
    <definedName name="BG_Mod" hidden="1">6</definedName>
    <definedName name="BG_Value">#REF!</definedName>
    <definedName name="bgfbf5" hidden="1">#REF!</definedName>
    <definedName name="bggdhrth655" hidden="1">#REF!</definedName>
    <definedName name="bghd">#REF!</definedName>
    <definedName name="bghnmh" hidden="1">#REF!</definedName>
    <definedName name="BGP">#REF!</definedName>
    <definedName name="BH">#REF!</definedName>
    <definedName name="BHarat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1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1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1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1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1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2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2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2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2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2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_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1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1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1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1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1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2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2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2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2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2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ratcash_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haskar">#REF!</definedName>
    <definedName name="bhavesh">#REF!</definedName>
    <definedName name="BHAVNAGAR">#REF!</definedName>
    <definedName name="bhupal">#REF!</definedName>
    <definedName name="BigTestSource">#REF!</definedName>
    <definedName name="BigTestTarget">#REF!</definedName>
    <definedName name="bijalpur2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jalpur2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jalpur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jalpur2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jalpur2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jalpur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ll">#REF!</definedName>
    <definedName name="bill1">#REF!</definedName>
    <definedName name="bill2">#REF!</definedName>
    <definedName name="bill3">#REF!</definedName>
    <definedName name="BILLING_RATE">#REF!</definedName>
    <definedName name="billrev2">#REF!</definedName>
    <definedName name="BISUBB">#REF!</definedName>
    <definedName name="BISUBG">#REF!</definedName>
    <definedName name="BISUBP">#REF!</definedName>
    <definedName name="BISUBS">#REF!</definedName>
    <definedName name="BJ">#REF!</definedName>
    <definedName name="BK">#REF!</definedName>
    <definedName name="BL">#REF!</definedName>
    <definedName name="blinds">#REF!</definedName>
    <definedName name="blower">#REF!</definedName>
    <definedName name="BLPH1">#REF!</definedName>
    <definedName name="BLPH10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5">#REF!</definedName>
    <definedName name="BLPH106">#REF!</definedName>
    <definedName name="BLPH107">#REF!</definedName>
    <definedName name="BLPH108">#REF!</definedName>
    <definedName name="BLPH109">#REF!</definedName>
    <definedName name="BLPH11">#REF!</definedName>
    <definedName name="BLPH110">#REF!</definedName>
    <definedName name="BLPH111">#REF!</definedName>
    <definedName name="BLPH112">#REF!</definedName>
    <definedName name="BLPH113">#REF!</definedName>
    <definedName name="BLPH114">#REF!</definedName>
    <definedName name="BLPH115">#REF!</definedName>
    <definedName name="BLPH116">#REF!</definedName>
    <definedName name="BLPH117">#REF!</definedName>
    <definedName name="BLPH118">#REF!</definedName>
    <definedName name="BLPH119">#REF!</definedName>
    <definedName name="BLPH12">#REF!</definedName>
    <definedName name="BLPH120">#REF!</definedName>
    <definedName name="BLPH121">#REF!</definedName>
    <definedName name="BLPH122">#REF!</definedName>
    <definedName name="BLPH123">#REF!</definedName>
    <definedName name="BLPH124">#REF!</definedName>
    <definedName name="BLPH125">#REF!</definedName>
    <definedName name="BLPH126">#REF!</definedName>
    <definedName name="BLPH127">#REF!</definedName>
    <definedName name="BLPH128">#REF!</definedName>
    <definedName name="BLPH129">#REF!</definedName>
    <definedName name="BLPH13">#REF!</definedName>
    <definedName name="BLPH130">#REF!</definedName>
    <definedName name="BLPH131">#REF!</definedName>
    <definedName name="BLPH132">#REF!</definedName>
    <definedName name="BLPH133">#REF!</definedName>
    <definedName name="BLPH134">#REF!</definedName>
    <definedName name="BLPH135">#REF!</definedName>
    <definedName name="BLPH136">#REF!</definedName>
    <definedName name="BLPH137">#REF!</definedName>
    <definedName name="BLPH138">#REF!</definedName>
    <definedName name="BLPH139">#REF!</definedName>
    <definedName name="BLPH14">#REF!</definedName>
    <definedName name="BLPH140">#REF!</definedName>
    <definedName name="BLPH141">#REF!</definedName>
    <definedName name="BLPH142">#REF!</definedName>
    <definedName name="BLPH143">#REF!</definedName>
    <definedName name="BLPH144">#REF!</definedName>
    <definedName name="BLPH145">#REF!</definedName>
    <definedName name="BLPH146">#REF!</definedName>
    <definedName name="BLPH147">#REF!</definedName>
    <definedName name="BLPH148">#REF!</definedName>
    <definedName name="BLPH149">#REF!</definedName>
    <definedName name="BLPH15">#REF!</definedName>
    <definedName name="BLPH150">#REF!</definedName>
    <definedName name="BLPH151">#REF!</definedName>
    <definedName name="BLPH152">#REF!</definedName>
    <definedName name="BLPH153">#REF!</definedName>
    <definedName name="BLPH154">#REF!</definedName>
    <definedName name="BLPH155">#REF!</definedName>
    <definedName name="BLPH156">#REF!</definedName>
    <definedName name="BLPH157">#REF!</definedName>
    <definedName name="BLPH158">#REF!</definedName>
    <definedName name="BLPH16">#REF!</definedName>
    <definedName name="BLPH17">#REF!</definedName>
    <definedName name="BLPH18">#REF!</definedName>
    <definedName name="BLPH19">#REF!</definedName>
    <definedName name="BLPH2">#REF!</definedName>
    <definedName name="BLPH20">#REF!</definedName>
    <definedName name="BLPH21">#REF!</definedName>
    <definedName name="BLPH22">#REF!</definedName>
    <definedName name="BLPH23">#REF!</definedName>
    <definedName name="BLPH24">#REF!</definedName>
    <definedName name="BLPH25">#REF!</definedName>
    <definedName name="BLPH26">#REF!</definedName>
    <definedName name="BLPH27">#REF!</definedName>
    <definedName name="BLPH28">#REF!</definedName>
    <definedName name="BLPH29">#REF!</definedName>
    <definedName name="BLPH3">#REF!</definedName>
    <definedName name="BLPH30">#REF!</definedName>
    <definedName name="BLPH31">#REF!</definedName>
    <definedName name="BLPH32">#REF!</definedName>
    <definedName name="BLPH33">#REF!</definedName>
    <definedName name="BLPH34">#REF!</definedName>
    <definedName name="BLPH35">#REF!</definedName>
    <definedName name="BLPH36">#REF!</definedName>
    <definedName name="BLPH37">#REF!</definedName>
    <definedName name="BLPH38">#REF!</definedName>
    <definedName name="BLPH39">#REF!</definedName>
    <definedName name="BLPH4">#REF!</definedName>
    <definedName name="BLPH40">#REF!</definedName>
    <definedName name="BLPH41">#REF!</definedName>
    <definedName name="BLPH42">#REF!</definedName>
    <definedName name="BLPH43">#REF!</definedName>
    <definedName name="BLPH44">#REF!</definedName>
    <definedName name="BLPH45">#REF!</definedName>
    <definedName name="BLPH46">#REF!</definedName>
    <definedName name="BLPH47">#REF!</definedName>
    <definedName name="BLPH48">#REF!</definedName>
    <definedName name="BLPH49">#REF!</definedName>
    <definedName name="BLPH5">#REF!</definedName>
    <definedName name="BLPH50">#REF!</definedName>
    <definedName name="BLPH51">#REF!</definedName>
    <definedName name="BLPH52">#REF!</definedName>
    <definedName name="BLPH53">#REF!</definedName>
    <definedName name="BLPH54">#REF!</definedName>
    <definedName name="BLPH55">#REF!</definedName>
    <definedName name="BLPH56">#REF!</definedName>
    <definedName name="BLPH57">#REF!</definedName>
    <definedName name="BLPH58">#REF!</definedName>
    <definedName name="BLPH59">#REF!</definedName>
    <definedName name="BLPH6">#REF!</definedName>
    <definedName name="BLPH60">#REF!</definedName>
    <definedName name="BLPH61">#REF!</definedName>
    <definedName name="BLPH62">#REF!</definedName>
    <definedName name="BLPH63">#REF!</definedName>
    <definedName name="BLPH64">#REF!</definedName>
    <definedName name="BLPH65">#REF!</definedName>
    <definedName name="BLPH66">#REF!</definedName>
    <definedName name="BLPH67">#REF!</definedName>
    <definedName name="BLPH68">#REF!</definedName>
    <definedName name="BLPH69">#REF!</definedName>
    <definedName name="BLPH7">#REF!</definedName>
    <definedName name="BLPH70">#REF!</definedName>
    <definedName name="BLPH71">#REF!</definedName>
    <definedName name="BLPH72">#REF!</definedName>
    <definedName name="BLPH73">#REF!</definedName>
    <definedName name="BLPH74">#REF!</definedName>
    <definedName name="BLPH75">#REF!</definedName>
    <definedName name="BLPH76">#REF!</definedName>
    <definedName name="BLPH77">#REF!</definedName>
    <definedName name="BLPH78">#REF!</definedName>
    <definedName name="BLPH79">#REF!</definedName>
    <definedName name="BLPH8">#REF!</definedName>
    <definedName name="BLPH80">#REF!</definedName>
    <definedName name="BLPH81">#REF!</definedName>
    <definedName name="BLPH82">#REF!</definedName>
    <definedName name="BLPH83">#REF!</definedName>
    <definedName name="BLPH84">#REF!</definedName>
    <definedName name="BLPH85">#REF!</definedName>
    <definedName name="BLPH86">#REF!</definedName>
    <definedName name="BLPH87">#REF!</definedName>
    <definedName name="BLPH88">#REF!</definedName>
    <definedName name="BLPH89">#REF!</definedName>
    <definedName name="BLPH9">#REF!</definedName>
    <definedName name="BLPH90">#REF!</definedName>
    <definedName name="BLPH91">#REF!</definedName>
    <definedName name="BLPH92">#REF!</definedName>
    <definedName name="BLPH93">#REF!</definedName>
    <definedName name="BLPH94">#REF!</definedName>
    <definedName name="BLPH95">#REF!</definedName>
    <definedName name="BLPH96">#REF!</definedName>
    <definedName name="BLPH97">#REF!</definedName>
    <definedName name="BLPH98">#REF!</definedName>
    <definedName name="BLPH99">#REF!</definedName>
    <definedName name="BLR80IA" localSheetId="7">#REF!</definedName>
    <definedName name="BLR80IA">#N/A</definedName>
    <definedName name="BLRCRS">#REF!</definedName>
    <definedName name="BLRDRS">#REF!</definedName>
    <definedName name="BLROD">#REF!</definedName>
    <definedName name="BLRTB">#REF!</definedName>
    <definedName name="BLSCH1_4">#REF!</definedName>
    <definedName name="BLSCH6_7">#REF!</definedName>
    <definedName name="BLSCH8">#REF!</definedName>
    <definedName name="BLSRNG">#REF!</definedName>
    <definedName name="BLSSCH">#REF!</definedName>
    <definedName name="BLTable">#REF!</definedName>
    <definedName name="BLWORK">#REF!</definedName>
    <definedName name="BM">#REF!</definedName>
    <definedName name="BML">#REF!</definedName>
    <definedName name="BÑ">#REF!</definedName>
    <definedName name="bnbmcvnm" hidden="1">17</definedName>
    <definedName name="BNE_MESSAGES_HIDDEN" hidden="1">#REF!</definedName>
    <definedName name="BOB_P_M">#REF!</definedName>
    <definedName name="bobines_LX1_K">#REF!</definedName>
    <definedName name="bobines_LX1_K_Total">#REF!</definedName>
    <definedName name="BOD_CEIP">#REF!</definedName>
    <definedName name="BOD_OEQP">#REF!</definedName>
    <definedName name="bol">#REF!</definedName>
    <definedName name="BOM">#REF!</definedName>
    <definedName name="bombay">#REF!</definedName>
    <definedName name="BOMDRS">#REF!</definedName>
    <definedName name="boml">#REF!</definedName>
    <definedName name="BOMODOC">#REF!</definedName>
    <definedName name="BOMTB">#REF!</definedName>
    <definedName name="Bonus">#REF!</definedName>
    <definedName name="bonus1">#REF!</definedName>
    <definedName name="bonus2">#REF!</definedName>
    <definedName name="Bonus22">#REF!</definedName>
    <definedName name="bonusqty">#REF!</definedName>
    <definedName name="bonusvalue">#REF!</definedName>
    <definedName name="Book">#REF!</definedName>
    <definedName name="Book2">#REF!</definedName>
    <definedName name="bookdepr">#REF!</definedName>
    <definedName name="Bookings">#REF!</definedName>
    <definedName name="BOQ">#REF!</definedName>
    <definedName name="BORDERKostenstelle">#REF!</definedName>
    <definedName name="borrow">#REF!</definedName>
    <definedName name="botl">#REF!</definedName>
    <definedName name="botn">#REF!</definedName>
    <definedName name="BottomRow">#REF!</definedName>
    <definedName name="BottomRowYr2">#REF!</definedName>
    <definedName name="BottomRowYr3">#REF!</definedName>
    <definedName name="box_speaker">#REF!</definedName>
    <definedName name="boxes">#REF!</definedName>
    <definedName name="BRAND">#REF!</definedName>
    <definedName name="BRAND_WISE_CONTRIBUTION_BUDGET">#REF!</definedName>
    <definedName name="brandpromotional1">#REF!</definedName>
    <definedName name="brandpromotional2">#REF!</definedName>
    <definedName name="Brazil_2002">#REF!</definedName>
    <definedName name="Brazil_2002_Print">#REF!</definedName>
    <definedName name="Breakdown">#REF!</definedName>
    <definedName name="BRM_101">#REF!</definedName>
    <definedName name="brm_30">#REF!</definedName>
    <definedName name="brm_31">#REF!</definedName>
    <definedName name="brm_32">#REF!</definedName>
    <definedName name="brm_33">#REF!</definedName>
    <definedName name="brm_34">#REF!</definedName>
    <definedName name="brm_40">#REF!</definedName>
    <definedName name="brm_50">#REF!</definedName>
    <definedName name="brm_51">#REF!</definedName>
    <definedName name="brm_52">#REF!</definedName>
    <definedName name="brm_53">#REF!</definedName>
    <definedName name="brm_54">#REF!</definedName>
    <definedName name="brm_55">#REF!</definedName>
    <definedName name="brm_actual30">#REF!</definedName>
    <definedName name="brm_actual31">#REF!</definedName>
    <definedName name="brm_actual32">#REF!</definedName>
    <definedName name="brm_actual33">#REF!</definedName>
    <definedName name="brm_actual34">#REF!</definedName>
    <definedName name="brm_actual40">#REF!</definedName>
    <definedName name="brm_actual50">#REF!</definedName>
    <definedName name="brm_actual51">#REF!</definedName>
    <definedName name="brm_actual52">#REF!</definedName>
    <definedName name="brm_actual53">#REF!</definedName>
    <definedName name="brm_actual54">#REF!</definedName>
    <definedName name="brm_actual55">#REF!</definedName>
    <definedName name="brm_ae_ex">#REF!</definedName>
    <definedName name="brm_ae_mh">#REF!</definedName>
    <definedName name="brm_ae_mi">#REF!</definedName>
    <definedName name="brm_ae_mlf">#REF!</definedName>
    <definedName name="brm_as_ex">#REF!</definedName>
    <definedName name="brm_as_mh">#REF!</definedName>
    <definedName name="brm_as_mi">#REF!</definedName>
    <definedName name="brm_as_mlf">#REF!</definedName>
    <definedName name="brm_enc_ex">#REF!</definedName>
    <definedName name="brm_enc_mh">#REF!</definedName>
    <definedName name="brm_enc_mi">#REF!</definedName>
    <definedName name="brm_enc_mlf">#REF!</definedName>
    <definedName name="brt">#REF!</definedName>
    <definedName name="BS">#REF!</definedName>
    <definedName name="BS_1">#REF!</definedName>
    <definedName name="BS_2">#REF!</definedName>
    <definedName name="BS_x">#REF!</definedName>
    <definedName name="bsa">#REF!</definedName>
    <definedName name="BSANNEX">#REF!</definedName>
    <definedName name="BSDATA">#REF!</definedName>
    <definedName name="BSDateSF">#REF!</definedName>
    <definedName name="BSGROUP">#REF!</definedName>
    <definedName name="BSHEETALL">#REF!</definedName>
    <definedName name="bsk">#REF!</definedName>
    <definedName name="BSList">#REF!</definedName>
    <definedName name="bsm">#REF!</definedName>
    <definedName name="BSName">#REF!</definedName>
    <definedName name="Bsp">#REF!</definedName>
    <definedName name="BSPRN">#REF!</definedName>
    <definedName name="BSRateGBP_USD">#REF!</definedName>
    <definedName name="BSRJ">#REF!</definedName>
    <definedName name="BSS">#REF!</definedName>
    <definedName name="BSTable">#REF!</definedName>
    <definedName name="BSU">#REF!</definedName>
    <definedName name="BT">#REF!</definedName>
    <definedName name="Bt___hdpe">#REF!</definedName>
    <definedName name="btcocnhoi">#REF!</definedName>
    <definedName name="btnHeaderCancel">"Button 3"</definedName>
    <definedName name="btnHeaderOK">"Button 2"</definedName>
    <definedName name="bua">#REF!</definedName>
    <definedName name="BUDANNOH_SGA">#REF!</definedName>
    <definedName name="BUDBS">#REF!</definedName>
    <definedName name="Budget">#REF!</definedName>
    <definedName name="budget_accounts">#REF!</definedName>
    <definedName name="Budget_cost_centers">#REF!</definedName>
    <definedName name="Budget_data">#REF!</definedName>
    <definedName name="BUDSALESBYCUST">#REF!</definedName>
    <definedName name="BUDSENS_CAPEX">#REF!</definedName>
    <definedName name="BUFFF16A">#REF!</definedName>
    <definedName name="BUFFF26C">#REF!</definedName>
    <definedName name="BUFFF26J">#REF!</definedName>
    <definedName name="BUFFF27">#REF!</definedName>
    <definedName name="BUIL">#REF!</definedName>
    <definedName name="BUSINESS_NAME">#REF!</definedName>
    <definedName name="BusinessCode">#REF!</definedName>
    <definedName name="BusinessType">#REF!</definedName>
    <definedName name="buta2c">#REF!</definedName>
    <definedName name="button">#REF!</definedName>
    <definedName name="button_area_1">#REF!</definedName>
    <definedName name="BVCISUMMARY">#REF!</definedName>
    <definedName name="bvshare">#REF!</definedName>
    <definedName name="bvshare2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VND">0.03</definedName>
    <definedName name="C_YEN">0.1</definedName>
    <definedName name="CA">#REF!</definedName>
    <definedName name="CA_L">#REF!</definedName>
    <definedName name="CA2DN">#REF!</definedName>
    <definedName name="CABLE">#REF!</definedName>
    <definedName name="CAC10S">#REF!</definedName>
    <definedName name="CAC10T">#REF!</definedName>
    <definedName name="CAC11S">#REF!</definedName>
    <definedName name="CAC11T">#REF!</definedName>
    <definedName name="CAC12S">#REF!</definedName>
    <definedName name="CAC12T">#REF!</definedName>
    <definedName name="CAC13S">#REF!</definedName>
    <definedName name="CAC13T">#REF!</definedName>
    <definedName name="CAC14S">#REF!</definedName>
    <definedName name="CAC14T">#REF!</definedName>
    <definedName name="CAC15s">#REF!</definedName>
    <definedName name="CAC15T">#REF!</definedName>
    <definedName name="CAC16S">#REF!</definedName>
    <definedName name="CAC16T">#REF!</definedName>
    <definedName name="CAC17S">#REF!</definedName>
    <definedName name="CAC17T">#REF!</definedName>
    <definedName name="CAC18s">#REF!</definedName>
    <definedName name="CAC18T">#REF!</definedName>
    <definedName name="CAC19s">#REF!</definedName>
    <definedName name="CAC19T">#REF!</definedName>
    <definedName name="CAC1S">#REF!</definedName>
    <definedName name="CAC1T">#REF!</definedName>
    <definedName name="CAC20S">#REF!</definedName>
    <definedName name="CAC20T">#REF!</definedName>
    <definedName name="CAC21S">#REF!</definedName>
    <definedName name="CAC21T">#REF!</definedName>
    <definedName name="CAC22s">#REF!</definedName>
    <definedName name="CAC22T">#REF!</definedName>
    <definedName name="CAC23S">#REF!</definedName>
    <definedName name="CAC23T">#REF!</definedName>
    <definedName name="CAC24S">#REF!</definedName>
    <definedName name="CAC24T">#REF!</definedName>
    <definedName name="CAC25S">#REF!</definedName>
    <definedName name="CAC25T">#REF!</definedName>
    <definedName name="CAC26S">#REF!</definedName>
    <definedName name="CAC26T">#REF!</definedName>
    <definedName name="CAC27S">#REF!</definedName>
    <definedName name="CAC27T">#REF!</definedName>
    <definedName name="CAC28S">#REF!</definedName>
    <definedName name="CAC28T">#REF!</definedName>
    <definedName name="CAC29S">#REF!</definedName>
    <definedName name="CAC29T">#REF!</definedName>
    <definedName name="CAC2S">#REF!</definedName>
    <definedName name="CAC2T">#REF!</definedName>
    <definedName name="CAC30S">#REF!</definedName>
    <definedName name="CAC30T">#REF!</definedName>
    <definedName name="CAC31S">#REF!</definedName>
    <definedName name="CAC31T">#REF!</definedName>
    <definedName name="CAC32S">#REF!</definedName>
    <definedName name="CAC32T">#REF!</definedName>
    <definedName name="CAC33S">#REF!</definedName>
    <definedName name="CAC33T">#REF!</definedName>
    <definedName name="CAC34S">#REF!</definedName>
    <definedName name="CAC34T">#REF!</definedName>
    <definedName name="CAC35S">#REF!</definedName>
    <definedName name="CAC35T">#REF!</definedName>
    <definedName name="CAC36S">#REF!</definedName>
    <definedName name="CAC36T">#REF!</definedName>
    <definedName name="CAC37S">#REF!</definedName>
    <definedName name="CAC37T">#REF!</definedName>
    <definedName name="CAC38S">#REF!</definedName>
    <definedName name="CAC38T">#REF!</definedName>
    <definedName name="CAC39S">#REF!</definedName>
    <definedName name="CAC39T">#REF!</definedName>
    <definedName name="CAC3S">#REF!</definedName>
    <definedName name="CAC3T">#REF!</definedName>
    <definedName name="CAC40S">#REF!</definedName>
    <definedName name="CAC40T">#REF!</definedName>
    <definedName name="CAC41S">#REF!</definedName>
    <definedName name="CAC41T">#REF!</definedName>
    <definedName name="CAC42S">#REF!</definedName>
    <definedName name="CAC42T">#REF!</definedName>
    <definedName name="CAC43S">#REF!</definedName>
    <definedName name="CAC43T">#REF!</definedName>
    <definedName name="CAC44S">#REF!</definedName>
    <definedName name="CAC44T">#REF!</definedName>
    <definedName name="CAC45S">#REF!</definedName>
    <definedName name="CAC45T">#REF!</definedName>
    <definedName name="CAC46S">#REF!</definedName>
    <definedName name="CAC46T">#REF!</definedName>
    <definedName name="CAC47S">#REF!</definedName>
    <definedName name="CAC47T">#REF!</definedName>
    <definedName name="CAC48S">#REF!</definedName>
    <definedName name="CAC48T">#REF!</definedName>
    <definedName name="CAC49S">#REF!</definedName>
    <definedName name="CAC49T">#REF!</definedName>
    <definedName name="CAC4S">#REF!</definedName>
    <definedName name="cac4t">#REF!</definedName>
    <definedName name="CAC50S">#REF!</definedName>
    <definedName name="CAC50T">#REF!</definedName>
    <definedName name="CAC51S">#REF!</definedName>
    <definedName name="CAC51T">#REF!</definedName>
    <definedName name="CAC52S">#REF!</definedName>
    <definedName name="CAC52T">#REF!</definedName>
    <definedName name="CAC53S">#REF!</definedName>
    <definedName name="CAC53T">#REF!</definedName>
    <definedName name="CAC54S">#REF!</definedName>
    <definedName name="CAC54T">#REF!</definedName>
    <definedName name="CAC55S">#REF!</definedName>
    <definedName name="CAC55T">#REF!</definedName>
    <definedName name="CAC56S">#REF!</definedName>
    <definedName name="CAC56T">#REF!</definedName>
    <definedName name="CAC57S">#REF!</definedName>
    <definedName name="CAC57T">#REF!</definedName>
    <definedName name="CAC58S">#REF!</definedName>
    <definedName name="CAC58T">#REF!,#REF!</definedName>
    <definedName name="CAC59S">#REF!</definedName>
    <definedName name="CAC59T">#REF!</definedName>
    <definedName name="CAC5S">#REF!</definedName>
    <definedName name="CAC5T">#REF!</definedName>
    <definedName name="CAC60S">#REF!</definedName>
    <definedName name="CAC60T">#REF!,#REF!</definedName>
    <definedName name="CAC61S">#REF!</definedName>
    <definedName name="CAC61T">#REF!,#REF!,#REF!,#REF!,#REF!,#REF!</definedName>
    <definedName name="CAC6S">#REF!</definedName>
    <definedName name="CAC6T">#REF!</definedName>
    <definedName name="CAC70S">#REF!</definedName>
    <definedName name="CAC70T">#REF!</definedName>
    <definedName name="CAC71S">#REF!</definedName>
    <definedName name="CAC71T">#REF!</definedName>
    <definedName name="CAC72S">#REF!</definedName>
    <definedName name="CAC72T">#REF!</definedName>
    <definedName name="CAC73S">#REF!</definedName>
    <definedName name="CAC73T">#REF!,#REF!</definedName>
    <definedName name="CAC74S">#REF!</definedName>
    <definedName name="CAC74T">#REF!</definedName>
    <definedName name="CAC75S">#REF!</definedName>
    <definedName name="CAC75T">#REF!</definedName>
    <definedName name="CAC76S">#REF!</definedName>
    <definedName name="CAC76T">#REF!</definedName>
    <definedName name="CAC77S">#REF!</definedName>
    <definedName name="CAC77T">#REF!</definedName>
    <definedName name="CAC7S">#REF!</definedName>
    <definedName name="CAC7T">#REF!</definedName>
    <definedName name="CAC8S">#REF!</definedName>
    <definedName name="CAC8T">#REF!</definedName>
    <definedName name="CAC9S">#REF!</definedName>
    <definedName name="CAC9T">#REF!</definedName>
    <definedName name="CAFE">#REF!</definedName>
    <definedName name="Calculation">#REF!</definedName>
    <definedName name="CALCUTTA">#REF!</definedName>
    <definedName name="Call_by_Call">#REF!</definedName>
    <definedName name="CAMERA_EQUIPMENT">#REF!</definedName>
    <definedName name="CAN">#REF!</definedName>
    <definedName name="canada" hidden="1">#REF!</definedName>
    <definedName name="Canadacounter" hidden="1">#REF!</definedName>
    <definedName name="CANCEL">#REF!</definedName>
    <definedName name="CANOATAR">#REF!</definedName>
    <definedName name="CANOLA">#REF!</definedName>
    <definedName name="cap\loan">#REF!</definedName>
    <definedName name="Cap_1">#REF!</definedName>
    <definedName name="Cap_2">#REF!</definedName>
    <definedName name="Cap_3">#REF!</definedName>
    <definedName name="Cap_4">#REF!</definedName>
    <definedName name="Cap_5">#REF!</definedName>
    <definedName name="Cap_6">#REF!</definedName>
    <definedName name="Cap_Ade_A_Part">#REF!</definedName>
    <definedName name="Cap_Ade_B_Part">#REF!</definedName>
    <definedName name="CAP_EMP">#REF!</definedName>
    <definedName name="CAPA">#REF!</definedName>
    <definedName name="capability">#REF!</definedName>
    <definedName name="CAPEMP">#REF!</definedName>
    <definedName name="CAPEX">#REF!</definedName>
    <definedName name="CAPEXPEND">#REF!</definedName>
    <definedName name="capgains">#REF!</definedName>
    <definedName name="CAPITAL">#REF!</definedName>
    <definedName name="Capital_Working_in_Progress">#REF!</definedName>
    <definedName name="CapitalGains_exempt_PrintArea">#REF!</definedName>
    <definedName name="CapitalGains_taxable_PrintArea">#REF!</definedName>
    <definedName name="captable">#REF!</definedName>
    <definedName name="captable1">#REF!</definedName>
    <definedName name="captable2">#REF!</definedName>
    <definedName name="car">#REF!</definedName>
    <definedName name="CARATULA1">#REF!</definedName>
    <definedName name="CARATULA2">#REF!</definedName>
    <definedName name="carcont">#REF!</definedName>
    <definedName name="carcont1">#REF!</definedName>
    <definedName name="care" localSheetId="7">{"'Apr-00'!$B$4:$AD$44"}</definedName>
    <definedName name="care" localSheetId="10" hidden="1">{"'Apr-00'!$B$4:$AD$44"}</definedName>
    <definedName name="care" localSheetId="0" hidden="1">{"'Apr-00'!$B$4:$AD$44"}</definedName>
    <definedName name="care" localSheetId="9" hidden="1">{"'Apr-00'!$B$4:$AD$44"}</definedName>
    <definedName name="care" localSheetId="11" hidden="1">{"'Apr-00'!$B$4:$AD$44"}</definedName>
    <definedName name="care" hidden="1">{"'Apr-00'!$B$4:$AD$44"}</definedName>
    <definedName name="carol">#REF!</definedName>
    <definedName name="cars_comp">#REF!</definedName>
    <definedName name="cas">#REF!</definedName>
    <definedName name="Case">#REF!</definedName>
    <definedName name="Case2">#REF!</definedName>
    <definedName name="Case3">#REF!</definedName>
    <definedName name="CaseDebt">#REF!</definedName>
    <definedName name="CaseRepayment">#REF!</definedName>
    <definedName name="CASH" localSheetId="7">{"'Sheet1'!$A$4386:$N$4591"}</definedName>
    <definedName name="CASH" localSheetId="10">{"'Sheet1'!$A$4386:$N$4591"}</definedName>
    <definedName name="CASH" localSheetId="0">{"'Sheet1'!$A$4386:$N$4591"}</definedName>
    <definedName name="CASH" localSheetId="9">{"'Sheet1'!$A$4386:$N$4591"}</definedName>
    <definedName name="CASH" localSheetId="11">{"'Sheet1'!$A$4386:$N$4591"}</definedName>
    <definedName name="CASH">{"'Sheet1'!$A$4386:$N$4591"}</definedName>
    <definedName name="cash_int">#REF!</definedName>
    <definedName name="cash1">#REF!</definedName>
    <definedName name="cash2">#REF!</definedName>
    <definedName name="cashflow">#REF!</definedName>
    <definedName name="CASHFLOW1">#REF!</definedName>
    <definedName name="CASHFLOW2">#REF!</definedName>
    <definedName name="CASHFLOWALL">#REF!</definedName>
    <definedName name="cat">#REF!</definedName>
    <definedName name="categ">#REF!</definedName>
    <definedName name="CATEGORIA">#REF!</definedName>
    <definedName name="Category">#REF!</definedName>
    <definedName name="cb">#REF!</definedName>
    <definedName name="CBPL">#REF!</definedName>
    <definedName name="CBWorkbookPriority">-703460413</definedName>
    <definedName name="CC">#REF!</definedName>
    <definedName name="ccc" localSheetId="7">{"'Apr-00'!$B$4:$AD$44"}</definedName>
    <definedName name="ccc" localSheetId="10" hidden="1">{"'Apr-00'!$B$4:$AD$44"}</definedName>
    <definedName name="ccc" localSheetId="0" hidden="1">{"'Apr-00'!$B$4:$AD$44"}</definedName>
    <definedName name="ccc" localSheetId="9" hidden="1">{"'Apr-00'!$B$4:$AD$44"}</definedName>
    <definedName name="ccc" localSheetId="11" hidden="1">{"'Apr-00'!$B$4:$AD$44"}</definedName>
    <definedName name="ccc" hidden="1">{"'Apr-00'!$B$4:$AD$44"}</definedName>
    <definedName name="cccc">#REF!</definedName>
    <definedName name="ccccc6" hidden="1">#REF!</definedName>
    <definedName name="ccdescribe">#REF!</definedName>
    <definedName name="ccnum">#REF!</definedName>
    <definedName name="CCT">#REF!</definedName>
    <definedName name="ccvc">#N/A</definedName>
    <definedName name="ccvv" hidden="1">#REF!</definedName>
    <definedName name="cd0" localSheetId="7" hidden="1">{#N/A,#N/A,FALSE,"Job Sched"}</definedName>
    <definedName name="cd0" localSheetId="10" hidden="1">{#N/A,#N/A,FALSE,"Job Sched"}</definedName>
    <definedName name="cd0" localSheetId="0" hidden="1">{#N/A,#N/A,FALSE,"Job Sched"}</definedName>
    <definedName name="cd0" localSheetId="9" hidden="1">{#N/A,#N/A,FALSE,"Job Sched"}</definedName>
    <definedName name="cd0" localSheetId="11" hidden="1">{#N/A,#N/A,FALSE,"Job Sched"}</definedName>
    <definedName name="cd0" hidden="1">{#N/A,#N/A,FALSE,"Job Sched"}</definedName>
    <definedName name="cddddddddddddddddddddd" localSheetId="7">{"'Apr-00'!$B$4:$AD$44"}</definedName>
    <definedName name="cddddddddddddddddddddd" localSheetId="10" hidden="1">{"'Apr-00'!$B$4:$AD$44"}</definedName>
    <definedName name="cddddddddddddddddddddd" localSheetId="0" hidden="1">{"'Apr-00'!$B$4:$AD$44"}</definedName>
    <definedName name="cddddddddddddddddddddd" localSheetId="9" hidden="1">{"'Apr-00'!$B$4:$AD$44"}</definedName>
    <definedName name="cddddddddddddddddddddd" localSheetId="11" hidden="1">{"'Apr-00'!$B$4:$AD$44"}</definedName>
    <definedName name="cddddddddddddddddddddd" hidden="1">{"'Apr-00'!$B$4:$AD$44"}</definedName>
    <definedName name="cde">#REF!</definedName>
    <definedName name="CDPG1">#REF!</definedName>
    <definedName name="CDPG5">#REF!</definedName>
    <definedName name="CDW">#REF!</definedName>
    <definedName name="CEF_AXT_AMOR_SSD">#REF!</definedName>
    <definedName name="CEFAC">#REF!</definedName>
    <definedName name="CEFAC_AL">#REF!</definedName>
    <definedName name="CEFAC_M_AL">#REF!</definedName>
    <definedName name="CEFAC_M_MOD_II">#REF!</definedName>
    <definedName name="CEFAC_N_US">#REF!</definedName>
    <definedName name="CEFADRO">#REF!</definedName>
    <definedName name="CEFADROXIL_AL">#REF!</definedName>
    <definedName name="CEFAZOLINE">#REF!</definedName>
    <definedName name="CEFCLOR_SUS">#REF!</definedName>
    <definedName name="CEFOTAXIM_ACID">#REF!</definedName>
    <definedName name="CEFOTAXIME">#REF!</definedName>
    <definedName name="CEFTRI_SOD_NS">#REF!</definedName>
    <definedName name="CEFTRI_SOD_S">#REF!</definedName>
    <definedName name="CEFURO_AXETIL_AMOUR">#REF!</definedName>
    <definedName name="CEFURO_AXETIL_AMOUR_AL">#REF!</definedName>
    <definedName name="CEFURO_AXETIL_AMOUR_IX">#REF!</definedName>
    <definedName name="CEFURO_AXETIL_CRY">#REF!</definedName>
    <definedName name="CEFURO_AXETIL_CRY_IX">#REF!</definedName>
    <definedName name="CEFUROXIME_AXETIL_AMOUR">#REF!</definedName>
    <definedName name="Ceiling_speaker">#REF!</definedName>
    <definedName name="Ceiling_Speaker_Unsupervised">#REF!</definedName>
    <definedName name="CELECOXIB">#REF!</definedName>
    <definedName name="celltips_area">#REF!</definedName>
    <definedName name="Cenvat" localSheetId="7">#REF!</definedName>
    <definedName name="Cenvat">#N/A</definedName>
    <definedName name="Cenvat1" localSheetId="7">#REF!</definedName>
    <definedName name="Cenvat1">#N/A</definedName>
    <definedName name="ceramics_ass">#REF!</definedName>
    <definedName name="Ceramics_Factory">#REF!</definedName>
    <definedName name="Ceramics_Factory__cost_per_unit">#REF!</definedName>
    <definedName name="Ceramics_proj">#REF!</definedName>
    <definedName name="cert">#REF!</definedName>
    <definedName name="cf">#REF!</definedName>
    <definedName name="CF_1">#REF!</definedName>
    <definedName name="CF_2">#REF!</definedName>
    <definedName name="cf_categ">#REF!</definedName>
    <definedName name="CFAdvTicket">#REF!</definedName>
    <definedName name="CFcomp">#REF!</definedName>
    <definedName name="cfk">#REF!</definedName>
    <definedName name="CFPositiveInMonths">#REF!</definedName>
    <definedName name="CFReserves">#REF!</definedName>
    <definedName name="cfs">#REF!</definedName>
    <definedName name="cfvrsr" hidden="1">#REF!</definedName>
    <definedName name="CHA">#REF!</definedName>
    <definedName name="chairs">#REF!</definedName>
    <definedName name="CHAIRSSOFA">#REF!</definedName>
    <definedName name="Chal">#REF!</definedName>
    <definedName name="Chall">#REF!</definedName>
    <definedName name="challan">#REF!</definedName>
    <definedName name="ChallanDatabase">#REF!</definedName>
    <definedName name="ChallanDatabaseTotal">#REF!</definedName>
    <definedName name="ChallanSrnoList">#REF!</definedName>
    <definedName name="CHANGE">#REF!</definedName>
    <definedName name="ChangeRange">#REF!</definedName>
    <definedName name="Channels1" localSheetId="7">{"'Apr-00'!$B$4:$AD$44"}</definedName>
    <definedName name="Channels1" localSheetId="10" hidden="1">{"'Apr-00'!$B$4:$AD$44"}</definedName>
    <definedName name="Channels1" localSheetId="0" hidden="1">{"'Apr-00'!$B$4:$AD$44"}</definedName>
    <definedName name="Channels1" localSheetId="9" hidden="1">{"'Apr-00'!$B$4:$AD$44"}</definedName>
    <definedName name="Channels1" localSheetId="11" hidden="1">{"'Apr-00'!$B$4:$AD$44"}</definedName>
    <definedName name="Channels1" hidden="1">{"'Apr-00'!$B$4:$AD$44"}</definedName>
    <definedName name="Charlotte__PAM_2002">#REF!</definedName>
    <definedName name="Charlotte__PAM_2002_Print">#REF!</definedName>
    <definedName name="Charlotte_GEM_2002">#REF!</definedName>
    <definedName name="Charlotte_GEM_2002_Print">#REF!</definedName>
    <definedName name="Chart2" hidden="1">#REF!</definedName>
    <definedName name="ChartCreationRange">OFFSET(#REF!,0,0,COUNTA(#REF!)-10,8)</definedName>
    <definedName name="ChartData">OFFSET(#REF!,1,0,COUNTA(#REF!)-11,5)</definedName>
    <definedName name="ChartDataRange">OFFSET(#REF!,1,0,COUNTA(#REF!),1)</definedName>
    <definedName name="CHARTOFACCOUNTSID1">#REF!</definedName>
    <definedName name="CHARTS">#REF!</definedName>
    <definedName name="Chartt" hidden="1">#REF!</definedName>
    <definedName name="CHECK">#REF!</definedName>
    <definedName name="CheckForm">#REF!</definedName>
    <definedName name="CheckGainLoss">#REF!</definedName>
    <definedName name="Chennels1" localSheetId="7">{"'Apr-00'!$B$4:$AD$44"}</definedName>
    <definedName name="Chennels1" localSheetId="10" hidden="1">{"'Apr-00'!$B$4:$AD$44"}</definedName>
    <definedName name="Chennels1" localSheetId="0" hidden="1">{"'Apr-00'!$B$4:$AD$44"}</definedName>
    <definedName name="Chennels1" localSheetId="9" hidden="1">{"'Apr-00'!$B$4:$AD$44"}</definedName>
    <definedName name="Chennels1" localSheetId="11" hidden="1">{"'Apr-00'!$B$4:$AD$44"}</definedName>
    <definedName name="Chennels1" hidden="1">{"'Apr-00'!$B$4:$AD$44"}</definedName>
    <definedName name="CHF">#REF!</definedName>
    <definedName name="Chid">#REF!</definedName>
    <definedName name="CHINA_PLASTIC_in_KUSD">#REF!</definedName>
    <definedName name="china_working_days">#REF!</definedName>
    <definedName name="Chit">#REF!</definedName>
    <definedName name="chiyoko">#REF!</definedName>
    <definedName name="chung">66</definedName>
    <definedName name="Churn">#REF!</definedName>
    <definedName name="churn1">#REF!</definedName>
    <definedName name="cikd">#REF!</definedName>
    <definedName name="cikt">#REF!</definedName>
    <definedName name="CIL">#REF!</definedName>
    <definedName name="CIPRO_AL">#REF!</definedName>
    <definedName name="CIQWBGuid" hidden="1">"Columbo LabCorp DRL_3.2.16_vLincoln.xlsx"</definedName>
    <definedName name="Circ">#REF!</definedName>
    <definedName name="cjhsadvgcuy">#REF!</definedName>
    <definedName name="CL">#REF!</definedName>
    <definedName name="cl_debt">#REF!</definedName>
    <definedName name="Clasification">#REF!</definedName>
    <definedName name="Clause" localSheetId="7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" localSheetId="9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" localSheetId="1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1" localSheetId="7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1" localSheetId="9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1" localSheetId="1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2" localSheetId="7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2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2" localSheetId="9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2" localSheetId="1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clause10">#REF!</definedName>
    <definedName name="CLAUSE13">#REF!</definedName>
    <definedName name="CLAUSE13b">#REF!</definedName>
    <definedName name="clause14">#REF!</definedName>
    <definedName name="clause14d">#REF!</definedName>
    <definedName name="clause15">#REF!</definedName>
    <definedName name="clause16b">#REF!</definedName>
    <definedName name="clause17a">#REF!</definedName>
    <definedName name="clause17B">#REF!</definedName>
    <definedName name="clause17C">#REF!</definedName>
    <definedName name="CLAUSE17D">#REF!</definedName>
    <definedName name="clause17E">#REF!</definedName>
    <definedName name="clause17F">#REF!</definedName>
    <definedName name="clause17h">#REF!</definedName>
    <definedName name="clause17K">#REF!</definedName>
    <definedName name="clause18">#REF!</definedName>
    <definedName name="CLAUSE20">#REF!</definedName>
    <definedName name="clause21">#REF!</definedName>
    <definedName name="CLAUSE22A">#REF!</definedName>
    <definedName name="CLAUSE22B">#REF!</definedName>
    <definedName name="clause23">#REF!</definedName>
    <definedName name="clause24">#REF!</definedName>
    <definedName name="clause24b">#REF!</definedName>
    <definedName name="clause25">#REF!</definedName>
    <definedName name="clause26">#REF!</definedName>
    <definedName name="clause27">#REF!</definedName>
    <definedName name="clause28">#REF!</definedName>
    <definedName name="clause28b">#REF!</definedName>
    <definedName name="CLEAR_OTHER">#REF!</definedName>
    <definedName name="CLEAR_PL">#REF!</definedName>
    <definedName name="ClientName">#REF!</definedName>
    <definedName name="clo">#REF!</definedName>
    <definedName name="ClosePrint">#REF!</definedName>
    <definedName name="Closing">#REF!</definedName>
    <definedName name="CLOSING_BLOCK">#REF!</definedName>
    <definedName name="Closing_Exchange_rate">#REF!</definedName>
    <definedName name="closing_june08">#REF!</definedName>
    <definedName name="closing_june09">#REF!</definedName>
    <definedName name="closing_sept10_EUR">#REF!</definedName>
    <definedName name="ClosingCVD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1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1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1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1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1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2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2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2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2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2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singCVD_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LOXA_AL">#REF!</definedName>
    <definedName name="CLUBS">#REF!</definedName>
    <definedName name="cm">#REF!</definedName>
    <definedName name="cma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cma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cma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cma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cma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cma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cmb_TDS2.StateCode">#REF!</definedName>
    <definedName name="CME">#REF!</definedName>
    <definedName name="cmmargin">#REF!</definedName>
    <definedName name="cmpSpoolPath">"H:\USER\ACCTNG\Transfer\Analysis Reports by Sales Area\September 1999 by area.txt"</definedName>
    <definedName name="Cname1">#REF!</definedName>
    <definedName name="Cname2">#REF!</definedName>
    <definedName name="CO">#REF!</definedName>
    <definedName name="CoA">#REF!</definedName>
    <definedName name="CoAdd">#REF!</definedName>
    <definedName name="COAT">#REF!</definedName>
    <definedName name="Code">#REF!</definedName>
    <definedName name="Code_Structure">#REF!</definedName>
    <definedName name="Code1">#REF!</definedName>
    <definedName name="CODE3">#REF!</definedName>
    <definedName name="COGS_1">#REF!</definedName>
    <definedName name="COGS_2">#REF!</definedName>
    <definedName name="COGS_3">#REF!</definedName>
    <definedName name="COGS_4">#REF!</definedName>
    <definedName name="COGS_5">#REF!</definedName>
    <definedName name="COGS_Jan04">#REF!</definedName>
    <definedName name="coloums" hidden="1">11</definedName>
    <definedName name="Column">#REF!</definedName>
    <definedName name="ColumnColor">#REF!</definedName>
    <definedName name="ColumnNums">#REF!</definedName>
    <definedName name="COM">#REF!</definedName>
    <definedName name="Comb_BS_1999">#REF!</definedName>
    <definedName name="Comb_CF_1999">#REF!</definedName>
    <definedName name="Comb_CF_2000">#REF!</definedName>
    <definedName name="COMERCIALES">#REF!</definedName>
    <definedName name="comm">#REF!</definedName>
    <definedName name="comm2">#REF!</definedName>
    <definedName name="comm3">#REF!</definedName>
    <definedName name="COMMN">#REF!</definedName>
    <definedName name="COMMON">#REF!</definedName>
    <definedName name="Common_Marketing">#REF!</definedName>
    <definedName name="commrev2">#REF!</definedName>
    <definedName name="COMMUNICATION_EQUIPMENT">#REF!</definedName>
    <definedName name="Comp">#REF!</definedName>
    <definedName name="comp1">#REF!</definedName>
    <definedName name="comp1_churn_sensitivity_duration">#REF!</definedName>
    <definedName name="company">#REF!</definedName>
    <definedName name="companycode">#REF!</definedName>
    <definedName name="CompanyName">#REF!</definedName>
    <definedName name="Comparativo">#REF!</definedName>
    <definedName name="CompareSetupPerson3">#REF!</definedName>
    <definedName name="Comparison">#REF!</definedName>
    <definedName name="COMPINC">#REF!</definedName>
    <definedName name="CompList">#REF!</definedName>
    <definedName name="CompPremEquity">#REF!</definedName>
    <definedName name="CompPremExch">#REF!</definedName>
    <definedName name="CompPremPerSh">#REF!</definedName>
    <definedName name="comps">#REF!</definedName>
    <definedName name="COMPT._OF_TAX">#REF!</definedName>
    <definedName name="COMPTAX">#REF!</definedName>
    <definedName name="Computation">#REF!</definedName>
    <definedName name="Computation_of_interest_under_section_12B">#REF!</definedName>
    <definedName name="COMPUTATION_OF_INTEREST_UNDER_SECTION_234_C">#REF!</definedName>
    <definedName name="COMPUTER">#REF!</definedName>
    <definedName name="COMPUTER___ACESSORIES">#REF!</definedName>
    <definedName name="computers">#REF!</definedName>
    <definedName name="con">#REF!</definedName>
    <definedName name="CON_EQP_COS">#REF!</definedName>
    <definedName name="CoName">#REF!</definedName>
    <definedName name="CoName1">#REF!</definedName>
    <definedName name="CONC25">#REF!</definedName>
    <definedName name="CONC30">#REF!</definedName>
    <definedName name="CONCS25">#REF!</definedName>
    <definedName name="CONCS30">#REF!</definedName>
    <definedName name="conference">#REF!</definedName>
    <definedName name="Conflict">#REF!</definedName>
    <definedName name="Cong_HM_DTCT">#REF!</definedName>
    <definedName name="Cong_M_DTCT">#REF!</definedName>
    <definedName name="Cong_NC_DTCT">#REF!</definedName>
    <definedName name="Cong_VL_DTCT">#REF!</definedName>
    <definedName name="CONNECTSTRING1">#REF!</definedName>
    <definedName name="CONS">#REF!</definedName>
    <definedName name="Cons_Start">#REF!</definedName>
    <definedName name="CONSOL">#REF!</definedName>
    <definedName name="Console">#REF!</definedName>
    <definedName name="CONSOLIDATEDAPI">#REF!</definedName>
    <definedName name="CONSOLIDATEDDF">#REF!</definedName>
    <definedName name="CONSOLIDATEDIF">#REF!</definedName>
    <definedName name="CONSTR">#REF!</definedName>
    <definedName name="CONSUMABLE_SALES_OWN_DISTRIB">#REF!</definedName>
    <definedName name="CONSUMABLES_OWN_IG">#REF!</definedName>
    <definedName name="CONSUMABLES_OWN_LABEL">#REF!</definedName>
    <definedName name="CONSUMABLES_SALES_OWN_LABEL_000_s_I_G">#REF!</definedName>
    <definedName name="CONSUMABLES_SALES_OWN_LABEL_000_s_THDP">#REF!</definedName>
    <definedName name="CONT">#REF!</definedName>
    <definedName name="CONTB">#REF!</definedName>
    <definedName name="Contents">#REF!</definedName>
    <definedName name="ContentsHelp">#REF!</definedName>
    <definedName name="CONTINUE">#REF!</definedName>
    <definedName name="ContMFG">#REF!</definedName>
    <definedName name="Contract_Type">#REF!</definedName>
    <definedName name="contractor">#REF!</definedName>
    <definedName name="CONTRIBUTIONAPI">#REF!</definedName>
    <definedName name="CONTRIBUTIONDF">#REF!</definedName>
    <definedName name="ContributionEquity">#REF!</definedName>
    <definedName name="ContributionExch">#REF!</definedName>
    <definedName name="CONTRIBUTIONIF">#REF!</definedName>
    <definedName name="ContributionPerSh">#REF!</definedName>
    <definedName name="Control_Link_1">#REF!</definedName>
    <definedName name="Control_Link_1Save">#REF!</definedName>
    <definedName name="conv">#REF!</definedName>
    <definedName name="Conv_real">#REF!</definedName>
    <definedName name="conversion">#REF!</definedName>
    <definedName name="ConversionFactor">#REF!</definedName>
    <definedName name="Convert_Debt">#REF!</definedName>
    <definedName name="Convert_Pref">#REF!</definedName>
    <definedName name="Converts">#REF!</definedName>
    <definedName name="Conveyance">#REF!</definedName>
    <definedName name="convin">#REF!,#REF!</definedName>
    <definedName name="copcopr">#REF!</definedName>
    <definedName name="copcor1">#REF!</definedName>
    <definedName name="COPM">#REF!</definedName>
    <definedName name="copqcm3lpd" hidden="1">#REF!</definedName>
    <definedName name="Copy_Debt1">#REF!</definedName>
    <definedName name="Copy_Debt2">#REF!</definedName>
    <definedName name="CopySp">#REF!</definedName>
    <definedName name="CORPORATE">#REF!</definedName>
    <definedName name="COS_cat">#REF!</definedName>
    <definedName name="cos2003budget">#REF!</definedName>
    <definedName name="COS2003Proforma">#REF!</definedName>
    <definedName name="COS2004Budget">#REF!</definedName>
    <definedName name="COSBudget">#REF!</definedName>
    <definedName name="COST">#REF!</definedName>
    <definedName name="cost_calcn">#REF!</definedName>
    <definedName name="Cost_centers">#REF!</definedName>
    <definedName name="COST1">#REF!</definedName>
    <definedName name="COST2">#REF!</definedName>
    <definedName name="COST3">#REF!</definedName>
    <definedName name="COST4">#REF!</definedName>
    <definedName name="COST5">#REF!</definedName>
    <definedName name="CoStatus">#REF!</definedName>
    <definedName name="costcentres">#REF!</definedName>
    <definedName name="costofmaterial">#REF!</definedName>
    <definedName name="cot7.5">#REF!</definedName>
    <definedName name="cot8.5">#REF!</definedName>
    <definedName name="Countermeasure">#REF!</definedName>
    <definedName name="CountOfTab">#REF!</definedName>
    <definedName name="country">#REF!</definedName>
    <definedName name="Country_Name">"Q2merge"</definedName>
    <definedName name="Country_ratio">#REF!</definedName>
    <definedName name="countrymaster">#REF!</definedName>
    <definedName name="COVER">#REF!</definedName>
    <definedName name="coverage">#REF!</definedName>
    <definedName name="coverageratio">#REF!</definedName>
    <definedName name="cox">#REF!</definedName>
    <definedName name="CP">#REF!</definedName>
    <definedName name="cpc">#REF!</definedName>
    <definedName name="CPS">#REF!</definedName>
    <definedName name="CR">#REF!</definedName>
    <definedName name="Crave_PL_1999">#REF!</definedName>
    <definedName name="Crave_PL_2000">#REF!</definedName>
    <definedName name="CREATESUMMARYJNLS1">#REF!</definedName>
    <definedName name="CreateTable">#REF!</definedName>
    <definedName name="creditor_days_sensitivities">#REF!</definedName>
    <definedName name="CREDITORS_L">#REF!</definedName>
    <definedName name="CREDITORS_L1">#REF!</definedName>
    <definedName name="CRIT">#REF!</definedName>
    <definedName name="_xlnm.Criteria">#REF!</definedName>
    <definedName name="Criteria_MI">#REF!</definedName>
    <definedName name="CRITERIACOLUMN1">#REF!</definedName>
    <definedName name="CRITINST">#REF!</definedName>
    <definedName name="CRITPURC">#REF!</definedName>
    <definedName name="CRO">#REF!</definedName>
    <definedName name="Crores">#REF!</definedName>
    <definedName name="CRRM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" localSheetId="7">{#N/A,#N/A,FALSE,"Const";#N/A,#N/A,FALSE,"P&amp;L";#N/A,#N/A,FALSE,"Sale"}</definedName>
    <definedName name="csa" localSheetId="10" hidden="1">{#N/A,#N/A,FALSE,"Const";#N/A,#N/A,FALSE,"P&amp;L";#N/A,#N/A,FALSE,"Sale"}</definedName>
    <definedName name="csa" localSheetId="0" hidden="1">{#N/A,#N/A,FALSE,"Const";#N/A,#N/A,FALSE,"P&amp;L";#N/A,#N/A,FALSE,"Sale"}</definedName>
    <definedName name="csa" localSheetId="9" hidden="1">{#N/A,#N/A,FALSE,"Const";#N/A,#N/A,FALSE,"P&amp;L";#N/A,#N/A,FALSE,"Sale"}</definedName>
    <definedName name="csa" localSheetId="11" hidden="1">{#N/A,#N/A,FALSE,"Const";#N/A,#N/A,FALSE,"P&amp;L";#N/A,#N/A,FALSE,"Sale"}</definedName>
    <definedName name="csa" hidden="1">{#N/A,#N/A,FALSE,"Const";#N/A,#N/A,FALSE,"P&amp;L";#N/A,#N/A,FALSE,"Sale"}</definedName>
    <definedName name="cScenarioValuations">#REF!</definedName>
    <definedName name="csDesignMode">1</definedName>
    <definedName name="csdffg45" hidden="1">#REF!</definedName>
    <definedName name="CSN">#REF!</definedName>
    <definedName name="CSNMININV">#REF!</definedName>
    <definedName name="CSNTOTAL">#REF!</definedName>
    <definedName name="ctiep">#REF!</definedName>
    <definedName name="cTrafficData">#REF!</definedName>
    <definedName name="CU_LY">#REF!</definedName>
    <definedName name="cu102.ShareScalingFactor" hidden="1">1000000</definedName>
    <definedName name="cu103.EmployeeScalingFactor" hidden="1">1000</definedName>
    <definedName name="cu107.DPSSymbol" hidden="1">"Rs"</definedName>
    <definedName name="cu107.EPSSymbol" hidden="1">"Rs"</definedName>
    <definedName name="cu71.ScalingFactor" hidden="1">1000000</definedName>
    <definedName name="Cum.No.NodesPD">#REF!</definedName>
    <definedName name="cuoc_vc">#REF!</definedName>
    <definedName name="Curr">#REF!</definedName>
    <definedName name="CURR_LIAB_L">#REF!</definedName>
    <definedName name="Currency">#REF!</definedName>
    <definedName name="Currency_multiple">#REF!</definedName>
    <definedName name="currency_range">#REF!</definedName>
    <definedName name="Currency_Unit">#REF!</definedName>
    <definedName name="Current">#REF!</definedName>
    <definedName name="Current_Sal">#REF!</definedName>
    <definedName name="CurrentDate">#REF!</definedName>
    <definedName name="CurrentYear">#REF!</definedName>
    <definedName name="CurrFY">#REF!</definedName>
    <definedName name="Cust">#REF!</definedName>
    <definedName name="Cust_Grp">#REF!</definedName>
    <definedName name="Customer">#REF!</definedName>
    <definedName name="Customer_Names">#REF!</definedName>
    <definedName name="customerlist">#REF!</definedName>
    <definedName name="cValuation">#REF!</definedName>
    <definedName name="cvcv">#REF!</definedName>
    <definedName name="CVD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1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1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1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1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1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2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2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2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2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2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_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1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1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1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1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1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2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2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2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2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2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VDClsoign_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WIP">#REF!</definedName>
    <definedName name="Cwvu.GREY_ALL.">#REF!</definedName>
    <definedName name="cx">#REF!</definedName>
    <definedName name="CXN_T_AL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1EBIT">#REF!</definedName>
    <definedName name="CY1GrossProfit">#REF!</definedName>
    <definedName name="CY1Rev">#REF!</definedName>
    <definedName name="CY2EBIT">#REF!</definedName>
    <definedName name="CY2GrossProfit">#REF!</definedName>
    <definedName name="CY2Rev">#REF!</definedName>
    <definedName name="CY3EBIT">#REF!</definedName>
    <definedName name="CY3GrossProfit">#REF!</definedName>
    <definedName name="CY3Rev">#REF!</definedName>
    <definedName name="CZK">#REF!</definedName>
    <definedName name="d">#REF!</definedName>
    <definedName name="D11__20">#REF!</definedName>
    <definedName name="D11__20_Total">#REF!</definedName>
    <definedName name="d134\">#REF!</definedName>
    <definedName name="D201Actual">#REF!</definedName>
    <definedName name="D201Forecast">#REF!</definedName>
    <definedName name="D222Actual">#REF!</definedName>
    <definedName name="D222Forecast">#REF!</definedName>
    <definedName name="D225Forecast">#REF!</definedName>
    <definedName name="D232Actual">#REF!</definedName>
    <definedName name="D232Forecast">#REF!</definedName>
    <definedName name="d240Forecast">#REF!</definedName>
    <definedName name="D240Month">#REF!</definedName>
    <definedName name="D240Monthbudget">#REF!</definedName>
    <definedName name="D242Forecast">#REF!</definedName>
    <definedName name="D242Month">#REF!</definedName>
    <definedName name="D242Monthbudget">#REF!</definedName>
    <definedName name="D250Actual">#REF!</definedName>
    <definedName name="D250Forecast">#REF!</definedName>
    <definedName name="D250Names">#REF!</definedName>
    <definedName name="D251Actual">#REF!</definedName>
    <definedName name="D251Forecast">#REF!</definedName>
    <definedName name="D252Actual">#REF!</definedName>
    <definedName name="D252Forecast">#REF!</definedName>
    <definedName name="D253Forecast">#REF!</definedName>
    <definedName name="D254Forecast">#REF!</definedName>
    <definedName name="D261Forecast">#REF!</definedName>
    <definedName name="d262\">#REF!</definedName>
    <definedName name="D262Forecast">#REF!</definedName>
    <definedName name="D270Forecast">#REF!</definedName>
    <definedName name="D281Actual">#REF!</definedName>
    <definedName name="d282Actual">#REF!</definedName>
    <definedName name="D283Actual">#REF!</definedName>
    <definedName name="D283Budget">#REF!</definedName>
    <definedName name="D283Forecast">#REF!</definedName>
    <definedName name="D290Forecast">#REF!</definedName>
    <definedName name="D291Forecast">#REF!</definedName>
    <definedName name="D292Forecast">#REF!</definedName>
    <definedName name="D293Forecast">#REF!</definedName>
    <definedName name="D294Forecast">#REF!</definedName>
    <definedName name="D295Forecast">#REF!</definedName>
    <definedName name="D301Forecast">#REF!</definedName>
    <definedName name="D303Forecast">#REF!</definedName>
    <definedName name="D304Budget">#REF!</definedName>
    <definedName name="D305Actual">#REF!</definedName>
    <definedName name="D305forecast">#REF!</definedName>
    <definedName name="D306Forecast">#REF!</definedName>
    <definedName name="D307Forecast">#REF!</definedName>
    <definedName name="D310Forecast">#REF!</definedName>
    <definedName name="D311Actual">#REF!</definedName>
    <definedName name="D311Forecast">#REF!</definedName>
    <definedName name="D320Forecast">#REF!</definedName>
    <definedName name="D401Forecast">#REF!</definedName>
    <definedName name="D401month">#REF!</definedName>
    <definedName name="D401monthbudget">#REF!</definedName>
    <definedName name="D403budget">#REF!</definedName>
    <definedName name="D403Names">#REF!</definedName>
    <definedName name="D405Budget">#REF!</definedName>
    <definedName name="D405Forecast">#REF!</definedName>
    <definedName name="D420Forecast">#REF!</definedName>
    <definedName name="D420month">#REF!</definedName>
    <definedName name="D420monthbudget">#REF!</definedName>
    <definedName name="D425Budget">#REF!</definedName>
    <definedName name="D425Names">#REF!</definedName>
    <definedName name="D500Forecast">#REF!</definedName>
    <definedName name="D500month">#REF!</definedName>
    <definedName name="D500monthbudget">#REF!</definedName>
    <definedName name="D501Actual">#REF!</definedName>
    <definedName name="D501Forecast">#REF!</definedName>
    <definedName name="D501month">#REF!</definedName>
    <definedName name="D501monthbudget">#REF!</definedName>
    <definedName name="D501Names">#REF!</definedName>
    <definedName name="D503Actual">#REF!</definedName>
    <definedName name="D503Forecast">#REF!</definedName>
    <definedName name="D503month">#REF!</definedName>
    <definedName name="D503monthbudget">#REF!</definedName>
    <definedName name="D503Names">#REF!</definedName>
    <definedName name="D504Actual">#REF!</definedName>
    <definedName name="D504Forecast">#REF!</definedName>
    <definedName name="D504month">#REF!</definedName>
    <definedName name="D504monthbudget">#REF!</definedName>
    <definedName name="D504Names">#REF!</definedName>
    <definedName name="da">#REF!</definedName>
    <definedName name="DA_3614858225800002171" hidden="1">#REF!</definedName>
    <definedName name="DA_3614858225800002234" hidden="1">#REF!</definedName>
    <definedName name="daf" localSheetId="7">{#N/A,#N/A,TRUE,"ADVANCE SUMM.";#N/A,#N/A,TRUE,"KEITH";#N/A,#N/A,TRUE,"WES"}</definedName>
    <definedName name="daf" localSheetId="10" hidden="1">{#N/A,#N/A,TRUE,"ADVANCE SUMM.";#N/A,#N/A,TRUE,"KEITH";#N/A,#N/A,TRUE,"WES"}</definedName>
    <definedName name="daf" localSheetId="0" hidden="1">{#N/A,#N/A,TRUE,"ADVANCE SUMM.";#N/A,#N/A,TRUE,"KEITH";#N/A,#N/A,TRUE,"WES"}</definedName>
    <definedName name="daf" localSheetId="9" hidden="1">{#N/A,#N/A,TRUE,"ADVANCE SUMM.";#N/A,#N/A,TRUE,"KEITH";#N/A,#N/A,TRUE,"WES"}</definedName>
    <definedName name="daf" localSheetId="11" hidden="1">{#N/A,#N/A,TRUE,"ADVANCE SUMM.";#N/A,#N/A,TRUE,"KEITH";#N/A,#N/A,TRUE,"WES"}</definedName>
    <definedName name="daf" hidden="1">{#N/A,#N/A,TRUE,"ADVANCE SUMM.";#N/A,#N/A,TRUE,"KEITH";#N/A,#N/A,TRUE,"WES"}</definedName>
    <definedName name="dagfsdfhdsfh">#REF!</definedName>
    <definedName name="dam">78000</definedName>
    <definedName name="DAMAN">#REF!</definedName>
    <definedName name="daman1">#REF!</definedName>
    <definedName name="darshan">#REF!</definedName>
    <definedName name="dat">#REF!</definedName>
    <definedName name="DAT1A">#REF!</definedName>
    <definedName name="Data">#REF!</definedName>
    <definedName name="Data__Internet_Privatkunden">#REF!</definedName>
    <definedName name="Data__X.25_Frame_Relay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>#REF!</definedName>
    <definedName name="DATA_06" hidden="1">#REF!</definedName>
    <definedName name="DATA_07" hidden="1">#REF!</definedName>
    <definedName name="DATA_08" hidden="1">#REF!</definedName>
    <definedName name="data_bus">#REF!</definedName>
    <definedName name="Data_Cons">OFFSET(#REF!,0,0,COUNTA(#REF!),COUNTA(#REF!))</definedName>
    <definedName name="_xlnm.Data_Form">#N/A</definedName>
    <definedName name="Data_IND">OFFSET(#REF!,0,0,COUNTA(#REF!),COUNTA(#REF!))</definedName>
    <definedName name="DATA_INPUT_SHEET___TRADING_ACCOUNT_THIRD_PARTY">#REF!</definedName>
    <definedName name="Data_ITL">OFFSET(#REF!,0,0,COUNTA(#REF!),COUNTA(#REF!))</definedName>
    <definedName name="data_le">#REF!</definedName>
    <definedName name="Data_LLC">OFFSET(#REF!,0,0,COUNTA(#REF!),COUNTA(#REF!))</definedName>
    <definedName name="Data_UKL">OFFSET(#REF!,0,0,COUNTA(#REF!),COUNTA(#REF!))</definedName>
    <definedName name="DATA00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 hidden="1">#REF!</definedName>
    <definedName name="Database_MI">#REF!</definedName>
    <definedName name="DATABASE1">#REF!</definedName>
    <definedName name="datacover1">#REF!</definedName>
    <definedName name="DataPrint">#REF!</definedName>
    <definedName name="Datasheet_for_CV">#REF!</definedName>
    <definedName name="Datasheet_for_PV_CV_2">#REF!</definedName>
    <definedName name="DataTable">#REF!</definedName>
    <definedName name="DATE">#REF!</definedName>
    <definedName name="DATE___0">#REF!</definedName>
    <definedName name="DATE___6">#REF!</definedName>
    <definedName name="Date_Headings">#REF!</definedName>
    <definedName name="Date1">#REF!</definedName>
    <definedName name="DATEBOX">#REF!</definedName>
    <definedName name="DATER">#REF!</definedName>
    <definedName name="Days_in_Receivables">#REF!,#REF!</definedName>
    <definedName name="days_per_month">#REF!</definedName>
    <definedName name="DaysoftheWeek">#REF!</definedName>
    <definedName name="db">#REF!</definedName>
    <definedName name="dbase">#REF!</definedName>
    <definedName name="DBNAME1">#REF!</definedName>
    <definedName name="DBUSERNAME1">#REF!</definedName>
    <definedName name="dc1.">#REF!</definedName>
    <definedName name="DCF_analysis___Standard_model">#REF!</definedName>
    <definedName name="DD">#REF!</definedName>
    <definedName name="DD_BS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DD_BS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DD_BS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DD_BS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DD_BS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DD_BS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ddd" localSheetId="7">{#N/A,#N/A,FALSE,"15"}</definedName>
    <definedName name="ddd" localSheetId="10" hidden="1">{#N/A,#N/A,FALSE,"15"}</definedName>
    <definedName name="ddd" localSheetId="0" hidden="1">{#N/A,#N/A,FALSE,"15"}</definedName>
    <definedName name="ddd" localSheetId="9" hidden="1">{#N/A,#N/A,FALSE,"15"}</definedName>
    <definedName name="ddd" localSheetId="11" hidden="1">{#N/A,#N/A,FALSE,"15"}</definedName>
    <definedName name="ddd" hidden="1">{#N/A,#N/A,FALSE,"15"}</definedName>
    <definedName name="ddd_1" localSheetId="7">{#N/A,#N/A,FALSE,"15"}</definedName>
    <definedName name="ddd_1" localSheetId="10" hidden="1">{#N/A,#N/A,FALSE,"15"}</definedName>
    <definedName name="ddd_1" localSheetId="0" hidden="1">{#N/A,#N/A,FALSE,"15"}</definedName>
    <definedName name="ddd_1" localSheetId="9" hidden="1">{#N/A,#N/A,FALSE,"15"}</definedName>
    <definedName name="ddd_1" localSheetId="11" hidden="1">{#N/A,#N/A,FALSE,"15"}</definedName>
    <definedName name="ddd_1" hidden="1">{#N/A,#N/A,FALSE,"15"}</definedName>
    <definedName name="ddd_2" localSheetId="7">{#N/A,#N/A,FALSE,"15"}</definedName>
    <definedName name="ddd_2" localSheetId="10" hidden="1">{#N/A,#N/A,FALSE,"15"}</definedName>
    <definedName name="ddd_2" localSheetId="0" hidden="1">{#N/A,#N/A,FALSE,"15"}</definedName>
    <definedName name="ddd_2" localSheetId="9" hidden="1">{#N/A,#N/A,FALSE,"15"}</definedName>
    <definedName name="ddd_2" localSheetId="11" hidden="1">{#N/A,#N/A,FALSE,"15"}</definedName>
    <definedName name="ddd_2" hidden="1">{#N/A,#N/A,FALSE,"15"}</definedName>
    <definedName name="dddd">#REF!</definedName>
    <definedName name="dddddd">#REF!</definedName>
    <definedName name="ddddddd" hidden="1">#REF!</definedName>
    <definedName name="dddddddddd" localSheetId="7">{"'Apr-00'!$B$4:$AD$44"}</definedName>
    <definedName name="dddddddddd" localSheetId="10" hidden="1">{"'Apr-00'!$B$4:$AD$44"}</definedName>
    <definedName name="dddddddddd" localSheetId="0" hidden="1">{"'Apr-00'!$B$4:$AD$44"}</definedName>
    <definedName name="dddddddddd" localSheetId="9" hidden="1">{"'Apr-00'!$B$4:$AD$44"}</definedName>
    <definedName name="dddddddddd" localSheetId="11" hidden="1">{"'Apr-00'!$B$4:$AD$44"}</definedName>
    <definedName name="dddddddddd" hidden="1">{"'Apr-00'!$B$4:$AD$44"}</definedName>
    <definedName name="ddddddddddd">#REF!</definedName>
    <definedName name="ddddddddddddd" hidden="1">#REF!</definedName>
    <definedName name="dddddddddddddd" hidden="1">#REF!</definedName>
    <definedName name="ddde">#REF!</definedName>
    <definedName name="ddsd">#N/A</definedName>
    <definedName name="ddssdaa">#N/A</definedName>
    <definedName name="de">#REF!</definedName>
    <definedName name="Deals_IndustryGroup">#REF!</definedName>
    <definedName name="DealsDollars_IndustryGroup">#REF!</definedName>
    <definedName name="death">#REF!,#REF!,#REF!,#REF!</definedName>
    <definedName name="Debt">#REF!</definedName>
    <definedName name="debt_exc">#REF!</definedName>
    <definedName name="Debt_Exp_to_Sales">#REF!,#REF!</definedName>
    <definedName name="debt_funding_years">#REF!</definedName>
    <definedName name="debt_funding_years_numbers">#REF!</definedName>
    <definedName name="debt_interest">#REF!</definedName>
    <definedName name="debt_pieces">#REF!</definedName>
    <definedName name="debt_ratio">#REF!</definedName>
    <definedName name="debt_repay">#REF!</definedName>
    <definedName name="debt_repayment_date">#REF!</definedName>
    <definedName name="debt_repayment_options">#REF!</definedName>
    <definedName name="debt_repayment_selection">#REF!</definedName>
    <definedName name="debt_split">#REF!</definedName>
    <definedName name="debt_start_date">#REF!</definedName>
    <definedName name="debtor_days_sensitivities">#REF!</definedName>
    <definedName name="debtors">#REF!</definedName>
    <definedName name="debtrepay">#REF!</definedName>
    <definedName name="debtsaleofcompany">#REF!</definedName>
    <definedName name="debtsch">#REF!</definedName>
    <definedName name="Dec_05">#REF!</definedName>
    <definedName name="Dec95JobSched">#REF!</definedName>
    <definedName name="decgc">#REF!</definedName>
    <definedName name="decsales">#REF!</definedName>
    <definedName name="dee" hidden="1">#REF!</definedName>
    <definedName name="def" hidden="1">#REF!</definedName>
    <definedName name="DefaultScaleAmount">#REF!</definedName>
    <definedName name="deferredtax">#REF!</definedName>
    <definedName name="delaneyrae" localSheetId="7">#REF!</definedName>
    <definedName name="delaneyrae">#N/A</definedName>
    <definedName name="DELETELOGICTYPE1">#REF!</definedName>
    <definedName name="DeleteRange">#REF!</definedName>
    <definedName name="DeleteTable">#REF!</definedName>
    <definedName name="Deletions">#REF!</definedName>
    <definedName name="DELHI">#REF!</definedName>
    <definedName name="DELOC">#REF!</definedName>
    <definedName name="DELOD">#REF!</definedName>
    <definedName name="DeltaColor">#REF!</definedName>
    <definedName name="DELTB">#REF!</definedName>
    <definedName name="den_bu">#REF!</definedName>
    <definedName name="DENA" localSheetId="7">{#N/A,#N/A,TRUE,"ADVANCE SUMM.";#N/A,#N/A,TRUE,"KEITH";#N/A,#N/A,TRUE,"WES"}</definedName>
    <definedName name="DENA" localSheetId="10" hidden="1">{#N/A,#N/A,TRUE,"ADVANCE SUMM.";#N/A,#N/A,TRUE,"KEITH";#N/A,#N/A,TRUE,"WES"}</definedName>
    <definedName name="DENA" localSheetId="0" hidden="1">{#N/A,#N/A,TRUE,"ADVANCE SUMM.";#N/A,#N/A,TRUE,"KEITH";#N/A,#N/A,TRUE,"WES"}</definedName>
    <definedName name="DENA" localSheetId="9" hidden="1">{#N/A,#N/A,TRUE,"ADVANCE SUMM.";#N/A,#N/A,TRUE,"KEITH";#N/A,#N/A,TRUE,"WES"}</definedName>
    <definedName name="DENA" localSheetId="11" hidden="1">{#N/A,#N/A,TRUE,"ADVANCE SUMM.";#N/A,#N/A,TRUE,"KEITH";#N/A,#N/A,TRUE,"WES"}</definedName>
    <definedName name="DENA" hidden="1">{#N/A,#N/A,TRUE,"ADVANCE SUMM.";#N/A,#N/A,TRUE,"KEITH";#N/A,#N/A,TRUE,"WES"}</definedName>
    <definedName name="denbu">#REF!</definedName>
    <definedName name="DEP">#REF!</definedName>
    <definedName name="Dep.">#REF!</definedName>
    <definedName name="DEP._AS_PER_IT" localSheetId="7">#REF!</definedName>
    <definedName name="DEP._AS_PER_IT">#N/A</definedName>
    <definedName name="Dep_Details">#REF!</definedName>
    <definedName name="DEP_I.T.ACT">#REF!</definedName>
    <definedName name="dep_pm">#REF!</definedName>
    <definedName name="Dep_Summary">#REF!</definedName>
    <definedName name="Depart_Detailed">#REF!</definedName>
    <definedName name="DEPB">#REF!</definedName>
    <definedName name="depcom_pa">#REF!</definedName>
    <definedName name="depn">#REF!</definedName>
    <definedName name="DEPN_ATTACHMENT">#REF!</definedName>
    <definedName name="DepnITax">#REF!</definedName>
    <definedName name="depr">#REF!</definedName>
    <definedName name="Depr.Bks.">#REF!</definedName>
    <definedName name="Depr.IT" localSheetId="7">{"'Sheet1'!$A$1:$K$31"}</definedName>
    <definedName name="Depr.IT" localSheetId="10" hidden="1">{"'Sheet1'!$A$1:$K$31"}</definedName>
    <definedName name="Depr.IT" localSheetId="0" hidden="1">{"'Sheet1'!$A$1:$K$31"}</definedName>
    <definedName name="Depr.IT" localSheetId="9" hidden="1">{"'Sheet1'!$A$1:$K$31"}</definedName>
    <definedName name="Depr.IT" localSheetId="11" hidden="1">{"'Sheet1'!$A$1:$K$31"}</definedName>
    <definedName name="Depr.IT" hidden="1">{"'Sheet1'!$A$1:$K$31"}</definedName>
    <definedName name="Depr.IT_1" localSheetId="7">{"'Sheet1'!$A$1:$K$31"}</definedName>
    <definedName name="Depr.IT_1" localSheetId="10" hidden="1">{"'Sheet1'!$A$1:$K$31"}</definedName>
    <definedName name="Depr.IT_1" localSheetId="0" hidden="1">{"'Sheet1'!$A$1:$K$31"}</definedName>
    <definedName name="Depr.IT_1" localSheetId="9" hidden="1">{"'Sheet1'!$A$1:$K$31"}</definedName>
    <definedName name="Depr.IT_1" localSheetId="11" hidden="1">{"'Sheet1'!$A$1:$K$31"}</definedName>
    <definedName name="Depr.IT_1" hidden="1">{"'Sheet1'!$A$1:$K$31"}</definedName>
    <definedName name="Depr.IT_2" localSheetId="7">{"'Sheet1'!$A$1:$K$31"}</definedName>
    <definedName name="Depr.IT_2" localSheetId="10" hidden="1">{"'Sheet1'!$A$1:$K$31"}</definedName>
    <definedName name="Depr.IT_2" localSheetId="0" hidden="1">{"'Sheet1'!$A$1:$K$31"}</definedName>
    <definedName name="Depr.IT_2" localSheetId="9" hidden="1">{"'Sheet1'!$A$1:$K$31"}</definedName>
    <definedName name="Depr.IT_2" localSheetId="11" hidden="1">{"'Sheet1'!$A$1:$K$31"}</definedName>
    <definedName name="Depr.IT_2" hidden="1">{"'Sheet1'!$A$1:$K$31"}</definedName>
    <definedName name="depr_bb">#REF!</definedName>
    <definedName name="depr_build">#REF!</definedName>
    <definedName name="Depr_Computers">#REF!</definedName>
    <definedName name="depr_equip">#REF!</definedName>
    <definedName name="depr_ex_network">#REF!</definedName>
    <definedName name="depr_Furniture">#REF!</definedName>
    <definedName name="depr_land">#REF!</definedName>
    <definedName name="depr_oth">#REF!</definedName>
    <definedName name="depreciation">#REF!</definedName>
    <definedName name="Depreciation_Group_Co_Act">#REF!</definedName>
    <definedName name="DEPRECIATION_L">#REF!</definedName>
    <definedName name="DEPRECIATION_L1">#REF!</definedName>
    <definedName name="DEPRECIATION_L2">#REF!</definedName>
    <definedName name="DEPRECIATION_L3">#REF!</definedName>
    <definedName name="Deprecition">#REF!</definedName>
    <definedName name="Deprecition_Group_IT_Act">#REF!</definedName>
    <definedName name="DEPREN">#REF!</definedName>
    <definedName name="deprentry">#REF!</definedName>
    <definedName name="DeprIT" localSheetId="7">{#N/A,#N/A,FALSE,"17"}</definedName>
    <definedName name="DeprIT" localSheetId="10" hidden="1">{#N/A,#N/A,FALSE,"17"}</definedName>
    <definedName name="DeprIT" localSheetId="0" hidden="1">{#N/A,#N/A,FALSE,"17"}</definedName>
    <definedName name="DeprIT" localSheetId="9" hidden="1">{#N/A,#N/A,FALSE,"17"}</definedName>
    <definedName name="DeprIT" localSheetId="11" hidden="1">{#N/A,#N/A,FALSE,"17"}</definedName>
    <definedName name="DeprIT" hidden="1">{#N/A,#N/A,FALSE,"17"}</definedName>
    <definedName name="DeprIT_1" localSheetId="7">{#N/A,#N/A,FALSE,"17"}</definedName>
    <definedName name="DeprIT_1" localSheetId="10" hidden="1">{#N/A,#N/A,FALSE,"17"}</definedName>
    <definedName name="DeprIT_1" localSheetId="0" hidden="1">{#N/A,#N/A,FALSE,"17"}</definedName>
    <definedName name="DeprIT_1" localSheetId="9" hidden="1">{#N/A,#N/A,FALSE,"17"}</definedName>
    <definedName name="DeprIT_1" localSheetId="11" hidden="1">{#N/A,#N/A,FALSE,"17"}</definedName>
    <definedName name="DeprIT_1" hidden="1">{#N/A,#N/A,FALSE,"17"}</definedName>
    <definedName name="DeprIT_2" localSheetId="7">{#N/A,#N/A,FALSE,"17"}</definedName>
    <definedName name="DeprIT_2" localSheetId="10" hidden="1">{#N/A,#N/A,FALSE,"17"}</definedName>
    <definedName name="DeprIT_2" localSheetId="0" hidden="1">{#N/A,#N/A,FALSE,"17"}</definedName>
    <definedName name="DeprIT_2" localSheetId="9" hidden="1">{#N/A,#N/A,FALSE,"17"}</definedName>
    <definedName name="DeprIT_2" localSheetId="11" hidden="1">{#N/A,#N/A,FALSE,"17"}</definedName>
    <definedName name="DeprIT_2" hidden="1">{#N/A,#N/A,FALSE,"17"}</definedName>
    <definedName name="Dept">#REF!</definedName>
    <definedName name="depveh_pa">#REF!</definedName>
    <definedName name="Destruct1">#REF!</definedName>
    <definedName name="Destruct2">#REF!</definedName>
    <definedName name="det">#REF!</definedName>
    <definedName name="deta">#REF!</definedName>
    <definedName name="DETAIL">#REF!</definedName>
    <definedName name="details">#REF!</definedName>
    <definedName name="dev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_cat">#REF!</definedName>
    <definedName name="Development2003budget">#REF!</definedName>
    <definedName name="Development2003proforma">#REF!</definedName>
    <definedName name="Development2004budget">#REF!</definedName>
    <definedName name="DEWAS">#REF!</definedName>
    <definedName name="dez">#REF!,#REF!,#REF!,#REF!</definedName>
    <definedName name="df" hidden="1">#REF!</definedName>
    <definedName name="dfasdf">#REF!</definedName>
    <definedName name="dfasdfasdf">#N/A</definedName>
    <definedName name="dfasdfdsfsd">#N/A</definedName>
    <definedName name="dfasfd">#N/A</definedName>
    <definedName name="dfd">#REF!</definedName>
    <definedName name="dfdas">#REF!</definedName>
    <definedName name="dfdasd">#N/A</definedName>
    <definedName name="dfdf">#REF!</definedName>
    <definedName name="dfdfd">#REF!</definedName>
    <definedName name="dfdfdf">#N/A</definedName>
    <definedName name="dfdfdfd">#REF!</definedName>
    <definedName name="dfdsdsfsdf">#N/A</definedName>
    <definedName name="dfdsfd">#N/A</definedName>
    <definedName name="dfdsfds">#N/A</definedName>
    <definedName name="dfdsffgfg4">#REF!</definedName>
    <definedName name="dfg">#REF!</definedName>
    <definedName name="dfggggg54" hidden="1">#REF!</definedName>
    <definedName name="DFGJ">#REF!</definedName>
    <definedName name="DFGMN">#REF!</definedName>
    <definedName name="dfgsd">#REF!</definedName>
    <definedName name="dfgsdhfsdh">#REF!</definedName>
    <definedName name="dfh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ngkfd">#REF!</definedName>
    <definedName name="dfs" localSheetId="7">{#N/A,#N/A,FALSE,"Standing data"}</definedName>
    <definedName name="dfs" localSheetId="10">{#N/A,#N/A,FALSE,"Standing data"}</definedName>
    <definedName name="dfs" localSheetId="0">{#N/A,#N/A,FALSE,"Standing data"}</definedName>
    <definedName name="dfs" localSheetId="9">{#N/A,#N/A,FALSE,"Standing data"}</definedName>
    <definedName name="dfs" localSheetId="11">{#N/A,#N/A,FALSE,"Standing data"}</definedName>
    <definedName name="dfs">{#N/A,#N/A,FALSE,"Standing data"}</definedName>
    <definedName name="dfsadfas">#N/A</definedName>
    <definedName name="dfsadfd">#N/A</definedName>
    <definedName name="dfsafsdfd">#N/A</definedName>
    <definedName name="dfsd">#REF!</definedName>
    <definedName name="dfsddssdsd">#N/A</definedName>
    <definedName name="dfsdfe" hidden="1">#REF!</definedName>
    <definedName name="dfsdfsdf" hidden="1">#REF!</definedName>
    <definedName name="dfsdfsdfs">#N/A</definedName>
    <definedName name="dfsdfsdfsd">#N/A</definedName>
    <definedName name="dfserfgt4" hidden="1">#REF!</definedName>
    <definedName name="dfsfdgsgf4" hidden="1">#REF!</definedName>
    <definedName name="dft">#REF!</definedName>
    <definedName name="dga" localSheetId="7">{#N/A,#N/A,FALSE,"$170M Cash";#N/A,#N/A,FALSE,"$250M Cash";#N/A,#N/A,FALSE,"$325M Cash"}</definedName>
    <definedName name="dga" localSheetId="10" hidden="1">{#N/A,#N/A,FALSE,"$170M Cash";#N/A,#N/A,FALSE,"$250M Cash";#N/A,#N/A,FALSE,"$325M Cash"}</definedName>
    <definedName name="dga" localSheetId="0" hidden="1">{#N/A,#N/A,FALSE,"$170M Cash";#N/A,#N/A,FALSE,"$250M Cash";#N/A,#N/A,FALSE,"$325M Cash"}</definedName>
    <definedName name="dga" localSheetId="9" hidden="1">{#N/A,#N/A,FALSE,"$170M Cash";#N/A,#N/A,FALSE,"$250M Cash";#N/A,#N/A,FALSE,"$325M Cash"}</definedName>
    <definedName name="dga" localSheetId="11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b" localSheetId="7">{#N/A,#N/A,FALSE,"$170M Cash";#N/A,#N/A,FALSE,"$250M Cash";#N/A,#N/A,FALSE,"$325M Cash"}</definedName>
    <definedName name="dgb" localSheetId="10" hidden="1">{#N/A,#N/A,FALSE,"$170M Cash";#N/A,#N/A,FALSE,"$250M Cash";#N/A,#N/A,FALSE,"$325M Cash"}</definedName>
    <definedName name="dgb" localSheetId="0" hidden="1">{#N/A,#N/A,FALSE,"$170M Cash";#N/A,#N/A,FALSE,"$250M Cash";#N/A,#N/A,FALSE,"$325M Cash"}</definedName>
    <definedName name="dgb" localSheetId="9" hidden="1">{#N/A,#N/A,FALSE,"$170M Cash";#N/A,#N/A,FALSE,"$250M Cash";#N/A,#N/A,FALSE,"$325M Cash"}</definedName>
    <definedName name="dgb" localSheetId="11" hidden="1">{#N/A,#N/A,FALSE,"$170M Cash";#N/A,#N/A,FALSE,"$250M Cash";#N/A,#N/A,FALSE,"$325M Cash"}</definedName>
    <definedName name="dgb" hidden="1">{#N/A,#N/A,FALSE,"$170M Cash";#N/A,#N/A,FALSE,"$250M Cash";#N/A,#N/A,FALSE,"$325M Cash"}</definedName>
    <definedName name="DGCTI592">#REF!</definedName>
    <definedName name="dgdsfge5" hidden="1">#REF!</definedName>
    <definedName name="dgfgdfhg5" hidden="1">#REF!</definedName>
    <definedName name="dgkfgkgfk">#REF!</definedName>
    <definedName name="dhakjs" localSheetId="7">{"'August 2000'!$A$1:$J$101"}</definedName>
    <definedName name="dhakjs" localSheetId="10" hidden="1">{"'August 2000'!$A$1:$J$101"}</definedName>
    <definedName name="dhakjs" localSheetId="0" hidden="1">{"'August 2000'!$A$1:$J$101"}</definedName>
    <definedName name="dhakjs" localSheetId="9" hidden="1">{"'August 2000'!$A$1:$J$101"}</definedName>
    <definedName name="dhakjs" localSheetId="11" hidden="1">{"'August 2000'!$A$1:$J$101"}</definedName>
    <definedName name="dhakjs" hidden="1">{"'August 2000'!$A$1:$J$101"}</definedName>
    <definedName name="dhngntt" hidden="1">#REF!</definedName>
    <definedName name="dhom">#REF!</definedName>
    <definedName name="Di">#REF!</definedName>
    <definedName name="DIALOGUE">#REF!</definedName>
    <definedName name="DickVos_Total_Lines">#REF!</definedName>
    <definedName name="DickVos_Voice_Channels">#REF!</definedName>
    <definedName name="diff">#REF!</definedName>
    <definedName name="Difference">#REF!</definedName>
    <definedName name="Difference_1">#REF!</definedName>
    <definedName name="DifferentEndpointColors">#REF!</definedName>
    <definedName name="DifferentNegativeColors">#REF!</definedName>
    <definedName name="Differenz_zu_Lieferantenumsatz">#REF!</definedName>
    <definedName name="dinesh" localSheetId="7">{#N/A,#N/A,TRUE,"ADVANCE SUMM.";#N/A,#N/A,TRUE,"KEITH";#N/A,#N/A,TRUE,"WES"}</definedName>
    <definedName name="dinesh" localSheetId="10" hidden="1">{#N/A,#N/A,TRUE,"ADVANCE SUMM.";#N/A,#N/A,TRUE,"KEITH";#N/A,#N/A,TRUE,"WES"}</definedName>
    <definedName name="dinesh" localSheetId="0" hidden="1">{#N/A,#N/A,TRUE,"ADVANCE SUMM.";#N/A,#N/A,TRUE,"KEITH";#N/A,#N/A,TRUE,"WES"}</definedName>
    <definedName name="dinesh" localSheetId="9" hidden="1">{#N/A,#N/A,TRUE,"ADVANCE SUMM.";#N/A,#N/A,TRUE,"KEITH";#N/A,#N/A,TRUE,"WES"}</definedName>
    <definedName name="dinesh" localSheetId="11" hidden="1">{#N/A,#N/A,TRUE,"ADVANCE SUMM.";#N/A,#N/A,TRUE,"KEITH";#N/A,#N/A,TRUE,"WES"}</definedName>
    <definedName name="dinesh" hidden="1">{#N/A,#N/A,TRUE,"ADVANCE SUMM.";#N/A,#N/A,TRUE,"KEITH";#N/A,#N/A,TRUE,"WES"}</definedName>
    <definedName name="Directors">#REF!</definedName>
    <definedName name="DIRECTORS_REPOR" localSheetId="7">#REF!</definedName>
    <definedName name="DIRECTORS_REPOR">#N/A</definedName>
    <definedName name="DIRECTSALES">#REF!</definedName>
    <definedName name="Direktanschaltung__GK_All_in___resale">#REF!</definedName>
    <definedName name="Direktanschaltung__GK_All_in___TAL">#REF!</definedName>
    <definedName name="DIS">#REF!</definedName>
    <definedName name="Disaggregations">#REF!</definedName>
    <definedName name="Disaggregations1">#REF!</definedName>
    <definedName name="Discount">#REF!</definedName>
    <definedName name="discount2data">#REF!</definedName>
    <definedName name="discount34">#REF!</definedName>
    <definedName name="discount64data">#REF!</definedName>
    <definedName name="discount9.6">#REF!</definedName>
    <definedName name="discounted_cash_flow_1">#REF!</definedName>
    <definedName name="discounted_cash_flow_2">#REF!</definedName>
    <definedName name="discounted_cash_flow_3">#REF!</definedName>
    <definedName name="DISH_ANTENNA">#REF!</definedName>
    <definedName name="display_area_2">#REF!</definedName>
    <definedName name="Disposal">#REF!</definedName>
    <definedName name="distance">#REF!</definedName>
    <definedName name="DISTRIBUTION_EQUIPMENT">#REF!</definedName>
    <definedName name="Distributor">#REF!</definedName>
    <definedName name="Distributors_getting_commissions">#REF!</definedName>
    <definedName name="ditributormargin">#REF!</definedName>
    <definedName name="Div">#REF!</definedName>
    <definedName name="division">#REF!</definedName>
    <definedName name="DivISList">#REF!</definedName>
    <definedName name="Divisor">#REF!</definedName>
    <definedName name="DJKJK">#REF!</definedName>
    <definedName name="DKT_III">#REF!</definedName>
    <definedName name="DLY">#REF!</definedName>
    <definedName name="dMonteCarloResults">#REF!</definedName>
    <definedName name="dMonteCarloVariables">#REF!</definedName>
    <definedName name="dn">#REF!</definedName>
    <definedName name="DocType">Word</definedName>
    <definedName name="doh">#REF!</definedName>
    <definedName name="DOLLAR">#REF!</definedName>
    <definedName name="Dollar_DM">#REF!</definedName>
    <definedName name="Dollar95">#REF!</definedName>
    <definedName name="DORDAL">#REF!</definedName>
    <definedName name="DOXY_AL">#REF!</definedName>
    <definedName name="DPC">#REF!</definedName>
    <definedName name="draft" localSheetId="7">{"'Apr-00'!$B$4:$AD$44"}</definedName>
    <definedName name="draft" localSheetId="10" hidden="1">{"'Apr-00'!$B$4:$AD$44"}</definedName>
    <definedName name="draft" localSheetId="0" hidden="1">{"'Apr-00'!$B$4:$AD$44"}</definedName>
    <definedName name="draft" localSheetId="9" hidden="1">{"'Apr-00'!$B$4:$AD$44"}</definedName>
    <definedName name="draft" localSheetId="11" hidden="1">{"'Apr-00'!$B$4:$AD$44"}</definedName>
    <definedName name="draft" hidden="1">{"'Apr-00'!$B$4:$AD$44"}</definedName>
    <definedName name="draft1" localSheetId="7">{"'Apr-00'!$B$4:$AD$44"}</definedName>
    <definedName name="draft1" localSheetId="10" hidden="1">{"'Apr-00'!$B$4:$AD$44"}</definedName>
    <definedName name="draft1" localSheetId="0" hidden="1">{"'Apr-00'!$B$4:$AD$44"}</definedName>
    <definedName name="draft1" localSheetId="9" hidden="1">{"'Apr-00'!$B$4:$AD$44"}</definedName>
    <definedName name="draft1" localSheetId="11" hidden="1">{"'Apr-00'!$B$4:$AD$44"}</definedName>
    <definedName name="draft1" hidden="1">{"'Apr-00'!$B$4:$AD$44"}</definedName>
    <definedName name="draft2" localSheetId="7">{"'Apr-00'!$B$4:$AD$44"}</definedName>
    <definedName name="draft2" localSheetId="10" hidden="1">{"'Apr-00'!$B$4:$AD$44"}</definedName>
    <definedName name="draft2" localSheetId="0" hidden="1">{"'Apr-00'!$B$4:$AD$44"}</definedName>
    <definedName name="draft2" localSheetId="9" hidden="1">{"'Apr-00'!$B$4:$AD$44"}</definedName>
    <definedName name="draft2" localSheetId="11" hidden="1">{"'Apr-00'!$B$4:$AD$44"}</definedName>
    <definedName name="draft2" hidden="1">{"'Apr-00'!$B$4:$AD$44"}</definedName>
    <definedName name="DragandDrop">#REF!</definedName>
    <definedName name="drfasef">#REF!</definedName>
    <definedName name="drgn">#REF!</definedName>
    <definedName name="drpHeaderCompany">"Drop Down 9"</definedName>
    <definedName name="drpHeaderCurrency">"Drop Down 10"</definedName>
    <definedName name="drpHeaderMonth">"Drop Down 12"</definedName>
    <definedName name="drpHeaderValueType">"Drop Down 13"</definedName>
    <definedName name="drpHeaderYear">"Drop Down 11"</definedName>
    <definedName name="drs">#REF!</definedName>
    <definedName name="DRS_L1">#REF!</definedName>
    <definedName name="Druckbereich_MI">#REF!</definedName>
    <definedName name="DS.FNG">#REF!</definedName>
    <definedName name="dsaffeesf34" hidden="1">#REF!</definedName>
    <definedName name="dScenariosDefined">#REF!</definedName>
    <definedName name="dScenarioValuations">#REF!</definedName>
    <definedName name="DSD.CALCS">#REF!</definedName>
    <definedName name="DSD.DP">#REF!</definedName>
    <definedName name="DSD.Sales">#REF!</definedName>
    <definedName name="dsdasdsa">#REF!</definedName>
    <definedName name="dsdf">#REF!</definedName>
    <definedName name="dsdffg">#REF!</definedName>
    <definedName name="dsfgdfhgter43" hidden="1">#REF!</definedName>
    <definedName name="dsfgdsfgs">#REF!</definedName>
    <definedName name="dsfgsdgf">#REF!</definedName>
    <definedName name="dsfsdfsdfsdfsda">#N/A</definedName>
    <definedName name="dsfsf4w" hidden="1">#REF!</definedName>
    <definedName name="dsfsgfdg54" hidden="1">#REF!</definedName>
    <definedName name="dsfsrga54" hidden="1">#REF!</definedName>
    <definedName name="dsnxoxlo" localSheetId="7">{#N/A,#N/A,TRUE,"ADVANCE SUMM.";#N/A,#N/A,TRUE,"KEITH";#N/A,#N/A,TRUE,"WES"}</definedName>
    <definedName name="dsnxoxlo" localSheetId="10" hidden="1">{#N/A,#N/A,TRUE,"ADVANCE SUMM.";#N/A,#N/A,TRUE,"KEITH";#N/A,#N/A,TRUE,"WES"}</definedName>
    <definedName name="dsnxoxlo" localSheetId="0" hidden="1">{#N/A,#N/A,TRUE,"ADVANCE SUMM.";#N/A,#N/A,TRUE,"KEITH";#N/A,#N/A,TRUE,"WES"}</definedName>
    <definedName name="dsnxoxlo" localSheetId="9" hidden="1">{#N/A,#N/A,TRUE,"ADVANCE SUMM.";#N/A,#N/A,TRUE,"KEITH";#N/A,#N/A,TRUE,"WES"}</definedName>
    <definedName name="dsnxoxlo" localSheetId="11" hidden="1">{#N/A,#N/A,TRUE,"ADVANCE SUMM.";#N/A,#N/A,TRUE,"KEITH";#N/A,#N/A,TRUE,"WES"}</definedName>
    <definedName name="dsnxoxlo" hidden="1">{#N/A,#N/A,TRUE,"ADVANCE SUMM.";#N/A,#N/A,TRUE,"KEITH";#N/A,#N/A,TRUE,"WES"}</definedName>
    <definedName name="dsra4wrt4" hidden="1">#REF!</definedName>
    <definedName name="dssdf">#N/A</definedName>
    <definedName name="DSUBB">#REF!</definedName>
    <definedName name="DSUBG">#REF!</definedName>
    <definedName name="DSUBP">#REF!</definedName>
    <definedName name="DSUBS">#REF!</definedName>
    <definedName name="DSUMDATA">#REF!</definedName>
    <definedName name="dt">#REF!</definedName>
    <definedName name="dtacurrentyear">#REF!</definedName>
    <definedName name="DTAGUmsatzklnorm">#REF!</definedName>
    <definedName name="DTAGUmsatzklredu">#REF!</definedName>
    <definedName name="DTAGUmsatzmitlnorm">#REF!</definedName>
    <definedName name="DTAGUmsatzmittlreduz">#REF!</definedName>
    <definedName name="DTAGUmsatznorm">#REF!</definedName>
    <definedName name="DTAGUmsatzreduziert">#REF!</definedName>
    <definedName name="dTrafficData">#REF!</definedName>
    <definedName name="DTS">#REF!</definedName>
    <definedName name="duoi">#REF!</definedName>
    <definedName name="dupli" localSheetId="7">{#N/A,#N/A,FALSE,"PCPL9899"}</definedName>
    <definedName name="dupli" localSheetId="10" hidden="1">{#N/A,#N/A,FALSE,"PCPL9899"}</definedName>
    <definedName name="dupli" localSheetId="0" hidden="1">{#N/A,#N/A,FALSE,"PCPL9899"}</definedName>
    <definedName name="dupli" localSheetId="9" hidden="1">{#N/A,#N/A,FALSE,"PCPL9899"}</definedName>
    <definedName name="dupli" localSheetId="11" hidden="1">{#N/A,#N/A,FALSE,"PCPL9899"}</definedName>
    <definedName name="dupli" hidden="1">{#N/A,#N/A,FALSE,"PCPL9899"}</definedName>
    <definedName name="dupli_1" localSheetId="7">{#N/A,#N/A,FALSE,"PCPL9899"}</definedName>
    <definedName name="dupli_1" localSheetId="10" hidden="1">{#N/A,#N/A,FALSE,"PCPL9899"}</definedName>
    <definedName name="dupli_1" localSheetId="0" hidden="1">{#N/A,#N/A,FALSE,"PCPL9899"}</definedName>
    <definedName name="dupli_1" localSheetId="9" hidden="1">{#N/A,#N/A,FALSE,"PCPL9899"}</definedName>
    <definedName name="dupli_1" localSheetId="11" hidden="1">{#N/A,#N/A,FALSE,"PCPL9899"}</definedName>
    <definedName name="dupli_1" hidden="1">{#N/A,#N/A,FALSE,"PCPL9899"}</definedName>
    <definedName name="dupli_2" localSheetId="7">{#N/A,#N/A,FALSE,"PCPL9899"}</definedName>
    <definedName name="dupli_2" localSheetId="10" hidden="1">{#N/A,#N/A,FALSE,"PCPL9899"}</definedName>
    <definedName name="dupli_2" localSheetId="0" hidden="1">{#N/A,#N/A,FALSE,"PCPL9899"}</definedName>
    <definedName name="dupli_2" localSheetId="9" hidden="1">{#N/A,#N/A,FALSE,"PCPL9899"}</definedName>
    <definedName name="dupli_2" localSheetId="11" hidden="1">{#N/A,#N/A,FALSE,"PCPL9899"}</definedName>
    <definedName name="dupli_2" hidden="1">{#N/A,#N/A,FALSE,"PCPL9899"}</definedName>
    <definedName name="duplica1">#REF!</definedName>
    <definedName name="Durchleitungsgebühren">#REF!</definedName>
    <definedName name="DutoanDongmo">#REF!</definedName>
    <definedName name="DV">#REF!</definedName>
    <definedName name="dValuation">#REF!</definedName>
    <definedName name="dVariableSetting">#REF!</definedName>
    <definedName name="dw">#REF!</definedName>
    <definedName name="e">#REF!</definedName>
    <definedName name="ebitda_margin_summary">#REF!</definedName>
    <definedName name="ec">#REF!</definedName>
    <definedName name="EC_IS">#REF!</definedName>
    <definedName name="EC_matcost">#REF!</definedName>
    <definedName name="EC_pri">#REF!</definedName>
    <definedName name="ec_sale">#REF!</definedName>
    <definedName name="ec_salesvar">#REF!</definedName>
    <definedName name="ecdiv">#REF!</definedName>
    <definedName name="ecexp">#REF!</definedName>
    <definedName name="ecproduct">#REF!</definedName>
    <definedName name="ecpromo">#REF!</definedName>
    <definedName name="ecsale">#REF!</definedName>
    <definedName name="ecvar">#REF!</definedName>
    <definedName name="EDA">#REF!</definedName>
    <definedName name="EDAsum">#REF!</definedName>
    <definedName name="edfd">#N/A</definedName>
    <definedName name="edhfsdh">#REF!</definedName>
    <definedName name="EDITING_EQUIPMENTS">#REF!</definedName>
    <definedName name="edsf">#REF!</definedName>
    <definedName name="EE">#REF!</definedName>
    <definedName name="eedata">#REF!</definedName>
    <definedName name="eee">#REF!</definedName>
    <definedName name="eeee">#REF!</definedName>
    <definedName name="eeeeeee" hidden="1">#REF!</definedName>
    <definedName name="eeeeeeeee" hidden="1">#REF!</definedName>
    <definedName name="EEEEEEEEEE" localSheetId="7">{"'Apr-00'!$B$4:$AD$44"}</definedName>
    <definedName name="EEEEEEEEEE" localSheetId="10" hidden="1">{"'Apr-00'!$B$4:$AD$44"}</definedName>
    <definedName name="EEEEEEEEEE" localSheetId="0" hidden="1">{"'Apr-00'!$B$4:$AD$44"}</definedName>
    <definedName name="EEEEEEEEEE" localSheetId="9" hidden="1">{"'Apr-00'!$B$4:$AD$44"}</definedName>
    <definedName name="EEEEEEEEEE" localSheetId="11" hidden="1">{"'Apr-00'!$B$4:$AD$44"}</definedName>
    <definedName name="EEEEEEEEEE" hidden="1">{"'Apr-00'!$B$4:$AD$44"}</definedName>
    <definedName name="eeeeeeeeeeeee">#REF!</definedName>
    <definedName name="eeeeeeeeeeeeee">#REF!</definedName>
    <definedName name="eeeeeeeeeeeeeeeeee" localSheetId="7">{#N/A,#N/A,FALSE,"$170M Cash";#N/A,#N/A,FALSE,"$250M Cash";#N/A,#N/A,FALSE,"$325M Cash"}</definedName>
    <definedName name="eeeeeeeeeeeeeeeeee" localSheetId="10" hidden="1">{#N/A,#N/A,FALSE,"$170M Cash";#N/A,#N/A,FALSE,"$250M Cash";#N/A,#N/A,FALSE,"$325M Cash"}</definedName>
    <definedName name="eeeeeeeeeeeeeeeeee" localSheetId="0" hidden="1">{#N/A,#N/A,FALSE,"$170M Cash";#N/A,#N/A,FALSE,"$250M Cash";#N/A,#N/A,FALSE,"$325M Cash"}</definedName>
    <definedName name="eeeeeeeeeeeeeeeeee" localSheetId="9" hidden="1">{#N/A,#N/A,FALSE,"$170M Cash";#N/A,#N/A,FALSE,"$250M Cash";#N/A,#N/A,FALSE,"$325M Cash"}</definedName>
    <definedName name="eeeeeeeeeeeeeeeeee" localSheetId="11" hidden="1">{#N/A,#N/A,FALSE,"$170M Cash";#N/A,#N/A,FALSE,"$250M Cash";#N/A,#N/A,FALSE,"$325M Cash"}</definedName>
    <definedName name="eeeeeeeeeeeeeeeeee" hidden="1">{#N/A,#N/A,FALSE,"$170M Cash";#N/A,#N/A,FALSE,"$250M Cash";#N/A,#N/A,FALSE,"$325M Cash"}</definedName>
    <definedName name="eefe">#N/A</definedName>
    <definedName name="EF">#REF!</definedName>
    <definedName name="efe">#N/A</definedName>
    <definedName name="efef">#N/A</definedName>
    <definedName name="efefe">#N/A</definedName>
    <definedName name="eferferfge">#REF!</definedName>
    <definedName name="EFG">#REF!</definedName>
    <definedName name="efre">#REF!</definedName>
    <definedName name="egbfebggbefb" localSheetId="7">{#N/A,#N/A,FALSE,"Global by BU";#N/A,#N/A,FALSE,"U.S. by BU";#N/A,#N/A,FALSE,"Canada by BU";#N/A,#N/A,FALSE,"Europe by BU";#N/A,#N/A,FALSE,"Asia by BU";#N/A,#N/A,FALSE,"Cala by BU"}</definedName>
    <definedName name="egbfebggbefb" localSheetId="10" hidden="1">{#N/A,#N/A,FALSE,"Global by BU";#N/A,#N/A,FALSE,"U.S. by BU";#N/A,#N/A,FALSE,"Canada by BU";#N/A,#N/A,FALSE,"Europe by BU";#N/A,#N/A,FALSE,"Asia by BU";#N/A,#N/A,FALSE,"Cala by BU"}</definedName>
    <definedName name="egbfebggbefb" localSheetId="0" hidden="1">{#N/A,#N/A,FALSE,"Global by BU";#N/A,#N/A,FALSE,"U.S. by BU";#N/A,#N/A,FALSE,"Canada by BU";#N/A,#N/A,FALSE,"Europe by BU";#N/A,#N/A,FALSE,"Asia by BU";#N/A,#N/A,FALSE,"Cala by BU"}</definedName>
    <definedName name="egbfebggbefb" localSheetId="9" hidden="1">{#N/A,#N/A,FALSE,"Global by BU";#N/A,#N/A,FALSE,"U.S. by BU";#N/A,#N/A,FALSE,"Canada by BU";#N/A,#N/A,FALSE,"Europe by BU";#N/A,#N/A,FALSE,"Asia by BU";#N/A,#N/A,FALSE,"Cala by BU"}</definedName>
    <definedName name="egbfebggbefb" localSheetId="11" hidden="1">{#N/A,#N/A,FALSE,"Global by BU";#N/A,#N/A,FALSE,"U.S. by BU";#N/A,#N/A,FALSE,"Canada by BU";#N/A,#N/A,FALSE,"Europe by BU";#N/A,#N/A,FALSE,"Asia by BU";#N/A,#N/A,FALSE,"Cala by BU"}</definedName>
    <definedName name="egbfebggbefb" hidden="1">{#N/A,#N/A,FALSE,"Global by BU";#N/A,#N/A,FALSE,"U.S. by BU";#N/A,#N/A,FALSE,"Canada by BU";#N/A,#N/A,FALSE,"Europe by BU";#N/A,#N/A,FALSE,"Asia by BU";#N/A,#N/A,FALSE,"Cala by BU"}</definedName>
    <definedName name="Egg_Bowler" hidden="1">#REF!</definedName>
    <definedName name="egy">#REF!</definedName>
    <definedName name="ehb" localSheetId="7">{#N/A,#N/A,FALSE,"$170M Cash";#N/A,#N/A,FALSE,"$250M Cash";#N/A,#N/A,FALSE,"$325M Cash"}</definedName>
    <definedName name="ehb" localSheetId="10" hidden="1">{#N/A,#N/A,FALSE,"$170M Cash";#N/A,#N/A,FALSE,"$250M Cash";#N/A,#N/A,FALSE,"$325M Cash"}</definedName>
    <definedName name="ehb" localSheetId="0" hidden="1">{#N/A,#N/A,FALSE,"$170M Cash";#N/A,#N/A,FALSE,"$250M Cash";#N/A,#N/A,FALSE,"$325M Cash"}</definedName>
    <definedName name="ehb" localSheetId="9" hidden="1">{#N/A,#N/A,FALSE,"$170M Cash";#N/A,#N/A,FALSE,"$250M Cash";#N/A,#N/A,FALSE,"$325M Cash"}</definedName>
    <definedName name="ehb" localSheetId="11" hidden="1">{#N/A,#N/A,FALSE,"$170M Cash";#N/A,#N/A,FALSE,"$250M Cash";#N/A,#N/A,FALSE,"$325M Cash"}</definedName>
    <definedName name="ehb" hidden="1">{#N/A,#N/A,FALSE,"$170M Cash";#N/A,#N/A,FALSE,"$250M Cash";#N/A,#N/A,FALSE,"$325M Cash"}</definedName>
    <definedName name="EhxibitC2">#REF!</definedName>
    <definedName name="Electric_Installation">#REF!</definedName>
    <definedName name="Electrical">#REF!</definedName>
    <definedName name="ELECTRICALFITTINGS">#REF!</definedName>
    <definedName name="ELECTRICALWIRING">#REF!</definedName>
    <definedName name="Elim_99">#REF!</definedName>
    <definedName name="Eliminations_2002">#REF!</definedName>
    <definedName name="Eliminations_2002_Print">#REF!</definedName>
    <definedName name="email">#REF!</definedName>
    <definedName name="Embsw">#REF!</definedName>
    <definedName name="Embswsum">#REF!</definedName>
    <definedName name="EMC_Target">#REF!</definedName>
    <definedName name="EMEA">#REF!</definedName>
    <definedName name="EMEA_working_days">#REF!</definedName>
    <definedName name="EMEAITAFRASCANDGRAPH" hidden="1">#REF!</definedName>
    <definedName name="emi">#REF!</definedName>
    <definedName name="EMOB_Historic">#REF!</definedName>
    <definedName name="EMP_BENFIT_EXP">#REF!</definedName>
    <definedName name="EMPDATA">#REF!</definedName>
    <definedName name="Employe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1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1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1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1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1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2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2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2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2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2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_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ployee">#REF!</definedName>
    <definedName name="enca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Bal">#REF!</definedName>
    <definedName name="EndFSPeriod">#REF!</definedName>
    <definedName name="Ending">#REF!</definedName>
    <definedName name="Eng">#REF!</definedName>
    <definedName name="Engineering_Links">#REF!</definedName>
    <definedName name="EngineeringLinksStart">#REF!</definedName>
    <definedName name="EngineeringStart">#REF!</definedName>
    <definedName name="ENGL">#REF!</definedName>
    <definedName name="ENGLAND">#REF!</definedName>
    <definedName name="EngLinksStart">#REF!</definedName>
    <definedName name="EngSummaryStart">#REF!</definedName>
    <definedName name="ENTERPRISE_SALES">#REF!</definedName>
    <definedName name="ENTERPRISE_SALES_000_s_DISTR">#REF!</definedName>
    <definedName name="ENTERPRISE_SALES_000_s_I_G">#REF!</definedName>
    <definedName name="ENTERPRISE_SALES_000_s_THDP">#REF!</definedName>
    <definedName name="Entertain">#REF!</definedName>
    <definedName name="ENTITY">#REF!</definedName>
    <definedName name="Entitywise_Collection_Flash">#REF!</definedName>
    <definedName name="Entrada_MPFQ">#REF!</definedName>
    <definedName name="entval2">#REF!</definedName>
    <definedName name="entvalue">#REF!</definedName>
    <definedName name="EPMWorkbookOptions_1" hidden="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"jqr64u7ezs3v39/7i|evpPF9k28WyabPlNP/IvjW7|a2PqNc0ffwqP6/zZv7l8stVvjw6z8omf3w3/JDbnZR5Vj/N2uzL5evsMjctux9zWzOWl3XV5tM2n5nW/S/C9lez9K58dNb8ZFYX2aTMv8jrCweh9zmRzoJV2h39P45h/1l2AQAA"</definedName>
    <definedName name="eqsh">#REF!</definedName>
    <definedName name="EQUIP">#REF!</definedName>
    <definedName name="EQUIP_G1">#REF!</definedName>
    <definedName name="EQUIP_G2">#REF!</definedName>
    <definedName name="EQUIP_G3">#REF!</definedName>
    <definedName name="EQUIP_G4">#REF!</definedName>
    <definedName name="EQUIP_I1">#REF!</definedName>
    <definedName name="EQUIP_I2">#REF!</definedName>
    <definedName name="EQUIP_I3">#REF!</definedName>
    <definedName name="EQUIP_I4">#REF!</definedName>
    <definedName name="EQUIP_T1">#REF!</definedName>
    <definedName name="EQUIP_T2">#REF!</definedName>
    <definedName name="EQUIP_T3">#REF!</definedName>
    <definedName name="EQUIP_T4">#REF!</definedName>
    <definedName name="Equipment_2002">#REF!</definedName>
    <definedName name="Equipment_2002_Print">#REF!</definedName>
    <definedName name="EQUIPMENT_SALES_000_s_DISTRIB">#REF!</definedName>
    <definedName name="EQUIPMENT_SALES_000_s_I_G">#REF!</definedName>
    <definedName name="EQUIPMENT_SALES_000_s_THDP">#REF!</definedName>
    <definedName name="EQUIPMENT00">#REF!</definedName>
    <definedName name="EQUIPMENT95">#REF!</definedName>
    <definedName name="EQUIPMENT96">#REF!</definedName>
    <definedName name="EQUIPMENT97">#REF!</definedName>
    <definedName name="EQUIPMENT98">#REF!</definedName>
    <definedName name="EQUIPMENT99">#REF!</definedName>
    <definedName name="equity_ratio">#REF!</definedName>
    <definedName name="equityvaloct">#REF!</definedName>
    <definedName name="eqvaloct">#REF!</definedName>
    <definedName name="eqvalue">#REF!</definedName>
    <definedName name="ER">#REF!</definedName>
    <definedName name="er45gg" hidden="1">#REF!</definedName>
    <definedName name="EraseMe">#REF!</definedName>
    <definedName name="ergadfg">#REF!</definedName>
    <definedName name="ErrorsRowsCurrent">#REF!</definedName>
    <definedName name="es_11b">#REF!</definedName>
    <definedName name="es_2.3">#REF!</definedName>
    <definedName name="es_26">#REF!</definedName>
    <definedName name="ES_28_1">#REF!</definedName>
    <definedName name="ES_28_2">#REF!</definedName>
    <definedName name="es_41">#REF!</definedName>
    <definedName name="es_42">#REF!</definedName>
    <definedName name="es_5sxs">#REF!</definedName>
    <definedName name="es_6a">#REF!</definedName>
    <definedName name="es_6b">#REF!</definedName>
    <definedName name="ESEN" localSheetId="7">{"'Apr-00'!$B$4:$AD$44"}</definedName>
    <definedName name="ESEN" localSheetId="10" hidden="1">{"'Apr-00'!$B$4:$AD$44"}</definedName>
    <definedName name="ESEN" localSheetId="0" hidden="1">{"'Apr-00'!$B$4:$AD$44"}</definedName>
    <definedName name="ESEN" localSheetId="9" hidden="1">{"'Apr-00'!$B$4:$AD$44"}</definedName>
    <definedName name="ESEN" localSheetId="11" hidden="1">{"'Apr-00'!$B$4:$AD$44"}</definedName>
    <definedName name="ESEN" hidden="1">{"'Apr-00'!$B$4:$AD$44"}</definedName>
    <definedName name="ESICPF">#REF!</definedName>
    <definedName name="estim">#REF!</definedName>
    <definedName name="ESTIMATE">#REF!</definedName>
    <definedName name="etc" hidden="1">#REF!</definedName>
    <definedName name="EthicalsDIV">#REF!</definedName>
    <definedName name="ETTEW">#REF!</definedName>
    <definedName name="EU">#REF!</definedName>
    <definedName name="EUHQ">#REF!</definedName>
    <definedName name="Euor">#REF!</definedName>
    <definedName name="EUR">#REF!</definedName>
    <definedName name="Euro">#REF!</definedName>
    <definedName name="Euro_To_Dollar">#REF!</definedName>
    <definedName name="Euro1">#REF!</definedName>
    <definedName name="Euro31399">#REF!</definedName>
    <definedName name="Euro98">#REF!</definedName>
    <definedName name="Europe_2002">#REF!</definedName>
    <definedName name="Europe_2002_Print">#REF!</definedName>
    <definedName name="EUROPEAN_HQ">#REF!</definedName>
    <definedName name="ev">#REF!</definedName>
    <definedName name="EV__CVPARAMS__">"Trend!$B$17:$C$38;"</definedName>
    <definedName name="EV__DECIMALSYMBOL__">"."</definedName>
    <definedName name="EV__EVCOM_OPTIONS__">8</definedName>
    <definedName name="EV__EXPOPTIONS__">1</definedName>
    <definedName name="EV__LASTREFTIME__">40283.4967361111</definedName>
    <definedName name="EV__LOCKEDCVW__FINANCE">"TOT_CONTRIB,P08Fcst,TOTALCC,TotalAdj,E_7000,TOT_SUB_LNCH,2006.TOTAL,PERIODIC,"</definedName>
    <definedName name="EV__LOCKEDCVW__KPI">"ACTUAL,TOTALCC,TotalAdj,All_Minions,TOT_ANDROID,TOT_WGS_FRNGS,USD,TOT_SUB_LNCH,2006.TOTAL,PERIODIC,"</definedName>
    <definedName name="EV__LOCKEDCVW__PROJ_EVEREST">"ACTUAL,TOTALADJ,TOT_DELIVER,TOT_ANDROID,2000.TOTAL,PERIODIC,"</definedName>
    <definedName name="EV__LOCKEDCVW__RATE">"ACTUAL,USD,AVG,RateInput,2000.TOTAL,PERIODIC,"</definedName>
    <definedName name="EV__LOCKSTATUS__">1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134217735</definedName>
    <definedName name="EV__WBVERSION__">0</definedName>
    <definedName name="EV__WSINFO__">1</definedName>
    <definedName name="EV_LASTREFTIME" hidden="1">38943.6463310185</definedName>
    <definedName name="evaristo">#REF!</definedName>
    <definedName name="EVT">#REF!</definedName>
    <definedName name="ew">#REF!</definedName>
    <definedName name="ewr">#REF!</definedName>
    <definedName name="ewrew">#REF!</definedName>
    <definedName name="EX">#REF!</definedName>
    <definedName name="EX_INDIA">#REF!</definedName>
    <definedName name="EX_SUMMARY">#REF!</definedName>
    <definedName name="ExactAddinReports" hidden="1">1</definedName>
    <definedName name="EXC">#REF!</definedName>
    <definedName name="Excel_BuiltIn__FilterDatabase">#REF!</definedName>
    <definedName name="Excel_BuiltIn_Criteria">"$#REF!.#REF!#REF!"</definedName>
    <definedName name="Excel_BuiltIn_Database">#REF!</definedName>
    <definedName name="Excel_BuiltIn_Extract">"$#REF!.#REF!#REF!"</definedName>
    <definedName name="Excel_BuiltIn_Print_Area_2">#REF!</definedName>
    <definedName name="Excel_BuiltIn_Print_Area_2___0">#REF!</definedName>
    <definedName name="Excel_BuiltIn_Print_Area_4">#REF!</definedName>
    <definedName name="Excel_BuiltIn_Print_Area_4___0">"$#REF!.$A$1:$J$19"</definedName>
    <definedName name="Excel_BuiltIn_Print_Area_4_1">#REF!</definedName>
    <definedName name="Excel_BuiltIn_Print_Area_4_1_4">#REF!</definedName>
    <definedName name="Excel_BuiltIn_Print_Area_4_1_5">#REF!</definedName>
    <definedName name="Excel_BuiltIn_Print_Area_4_1_7">#REF!</definedName>
    <definedName name="Excel_BuiltIn_Print_Area_4_3">#REF!</definedName>
    <definedName name="Excel_BuiltIn_Print_Area_4_4">#REF!</definedName>
    <definedName name="Excel_BuiltIn_Print_Area_4_5">#REF!</definedName>
    <definedName name="Excel_BuiltIn_Print_Area_4_5_4">#REF!</definedName>
    <definedName name="Excel_BuiltIn_Print_Area_4_5_5">#REF!</definedName>
    <definedName name="Excel_BuiltIn_Print_Area_4_5_7">#REF!</definedName>
    <definedName name="Excel_BuiltIn_Print_Area_4_6">#REF!</definedName>
    <definedName name="Excel_BuiltIn_Print_Area_4_7">#REF!</definedName>
    <definedName name="Excel_BuiltIn_Print_Area_5">#REF!</definedName>
    <definedName name="Excel_BuiltIn_Print_Area_6">#REF!</definedName>
    <definedName name="Excel_BuiltIn_Print_Titles_1">#REF!,#REF!</definedName>
    <definedName name="Excel_BuiltIn_Print_Titles_1_1">#REF!</definedName>
    <definedName name="Excel_BuiltIn_Print_Titles_1_1_11">#REF!</definedName>
    <definedName name="Excel_BuiltIn_Print_Titles_1_1_12">#REF!</definedName>
    <definedName name="Excel_BuiltIn_Print_Titles_1_1_4">#REF!</definedName>
    <definedName name="Excel_BuiltIn_Print_Titles_1_5">#REF!</definedName>
    <definedName name="Excel_BuiltIn_Print_Titles_1_7">#REF!</definedName>
    <definedName name="Excel_BuiltIn_Print_Titles_10">#REF!</definedName>
    <definedName name="Excel_BuiltIn_Print_Titles_2">#REF!,#REF!</definedName>
    <definedName name="Excel_BuiltIn_Print_Titles_2_1">#REF!</definedName>
    <definedName name="Excel_BuiltIn_Print_Titles_2_1_1">#REF!</definedName>
    <definedName name="Excel_BuiltIn_Print_Titles_2_1_1_1">"$#REF!.$A$22:$DJ$22"</definedName>
    <definedName name="Excel_BuiltIn_Print_Titles_2_1_1_1_11">#REF!</definedName>
    <definedName name="Excel_BuiltIn_Print_Titles_2_1_1_1_12">#REF!</definedName>
    <definedName name="Excel_BuiltIn_Print_Titles_2_1_1_11">#REF!</definedName>
    <definedName name="Excel_BuiltIn_Print_Titles_2_1_1_12">#REF!</definedName>
    <definedName name="Excel_BuiltIn_Print_Titles_2_1_1_4">#REF!</definedName>
    <definedName name="Excel_BuiltIn_Print_Titles_2_1_1_4_1">#REF!</definedName>
    <definedName name="Excel_BuiltIn_Print_Titles_2_1_1_4_1_11">#REF!</definedName>
    <definedName name="Excel_BuiltIn_Print_Titles_2_1_1_4_1_12">#REF!</definedName>
    <definedName name="Excel_BuiltIn_Print_Titles_2_1_1_4_11">#REF!</definedName>
    <definedName name="Excel_BuiltIn_Print_Titles_2_1_1_4_12">#REF!</definedName>
    <definedName name="Excel_BuiltIn_Print_Titles_2_1_11">#REF!</definedName>
    <definedName name="Excel_BuiltIn_Print_Titles_2_1_12">#REF!</definedName>
    <definedName name="Excel_BuiltIn_Print_Titles_2_1_2">"$#REF!.$A$22:$DJ$22"</definedName>
    <definedName name="Excel_BuiltIn_Print_Titles_2_1_3">#REF!</definedName>
    <definedName name="Excel_BuiltIn_Print_Titles_2_1_4">"$#REF!.$A$22:$DJ$22"</definedName>
    <definedName name="Excel_BuiltIn_Print_Titles_2_1_4_1">#REF!</definedName>
    <definedName name="Excel_BuiltIn_Print_Titles_2_1_4_1_11">#REF!</definedName>
    <definedName name="Excel_BuiltIn_Print_Titles_2_1_4_1_12">#REF!</definedName>
    <definedName name="Excel_BuiltIn_Print_Titles_2_1_4_4">#REF!</definedName>
    <definedName name="Excel_BuiltIn_Print_Titles_2_1_4_4_11">#REF!</definedName>
    <definedName name="Excel_BuiltIn_Print_Titles_2_1_4_4_12">#REF!</definedName>
    <definedName name="Excel_BuiltIn_Print_Titles_2_1_4_5">#REF!</definedName>
    <definedName name="Excel_BuiltIn_Print_Titles_2_1_4_7">#REF!</definedName>
    <definedName name="Excel_BuiltIn_Print_Titles_2_1_5">#REF!</definedName>
    <definedName name="Excel_BuiltIn_Print_Titles_2_1_5_4">#REF!</definedName>
    <definedName name="Excel_BuiltIn_Print_Titles_2_1_7">#REF!</definedName>
    <definedName name="Excel_BuiltIn_Print_Titles_2_5">#REF!</definedName>
    <definedName name="Excel_BuiltIn_Print_Titles_2_7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3">#REF!</definedName>
    <definedName name="Excel_BuiltIn_Print_Titles_3_1_3_5">#REF!</definedName>
    <definedName name="Excel_BuiltIn_Print_Titles_3_1_3_7">#REF!</definedName>
    <definedName name="Excel_BuiltIn_Print_Titles_3_1_4">#REF!</definedName>
    <definedName name="Excel_BuiltIn_Print_Titles_3_1_4_5">#REF!</definedName>
    <definedName name="Excel_BuiltIn_Print_Titles_3_1_5">#REF!</definedName>
    <definedName name="Excel_BuiltIn_Print_Titles_3_1_6">#REF!</definedName>
    <definedName name="Excel_BuiltIn_Print_Titles_3_1_7">#REF!</definedName>
    <definedName name="Excel_BuiltIn_Print_Titles_3_5">#REF!</definedName>
    <definedName name="Excel_BuiltIn_Print_Titles_3_7">#REF!</definedName>
    <definedName name="Excel_BuiltIn_Print_Titles_4">#REF!</definedName>
    <definedName name="Excel_BuiltIn_Print_Titles_4_1">#REF!</definedName>
    <definedName name="Excel_BuiltIn_Print_Titles_4_1_11">#REF!</definedName>
    <definedName name="Excel_BuiltIn_Print_Titles_4_1_12">#REF!</definedName>
    <definedName name="Excel_BuiltIn_Print_Titles_4_1_2">#REF!</definedName>
    <definedName name="Excel_BuiltIn_Print_Titles_4_1_4">#REF!</definedName>
    <definedName name="Excel_BuiltIn_Print_Titles_4_1_4_11">#REF!</definedName>
    <definedName name="Excel_BuiltIn_Print_Titles_4_1_4_12">#REF!</definedName>
    <definedName name="Excel_BuiltIn_Print_Titles_4_11">#REF!</definedName>
    <definedName name="Excel_BuiltIn_Print_Titles_4_12">#REF!</definedName>
    <definedName name="Excel_BuiltIn_Print_Titles_4_3">#REF!</definedName>
    <definedName name="Excel_BuiltIn_Print_Titles_4_3_11">#REF!</definedName>
    <definedName name="Excel_BuiltIn_Print_Titles_4_3_12">#REF!</definedName>
    <definedName name="Excel_BuiltIn_Print_Titles_4_4">#REF!</definedName>
    <definedName name="Excel_BuiltIn_Print_Titles_4_4_1">#REF!</definedName>
    <definedName name="Excel_BuiltIn_Print_Titles_4_4_1_11">#REF!</definedName>
    <definedName name="Excel_BuiltIn_Print_Titles_4_4_1_12">#REF!</definedName>
    <definedName name="Excel_BuiltIn_Print_Titles_4_4_11">#REF!</definedName>
    <definedName name="Excel_BuiltIn_Print_Titles_4_4_12">#REF!</definedName>
    <definedName name="Excel_BuiltIn_Print_Titles_4_4_4">#REF!</definedName>
    <definedName name="Excel_BuiltIn_Print_Titles_4_4_4_11">#REF!</definedName>
    <definedName name="Excel_BuiltIn_Print_Titles_4_4_4_12">#REF!</definedName>
    <definedName name="Excel_BuiltIn_Print_Titles_4_5">#REF!</definedName>
    <definedName name="Excel_BuiltIn_Print_Titles_4_5_11">#REF!</definedName>
    <definedName name="Excel_BuiltIn_Print_Titles_4_5_12">#REF!</definedName>
    <definedName name="Excel_BuiltIn_Print_Titles_4_5_4">#REF!</definedName>
    <definedName name="Excel_BuiltIn_Print_Titles_4_5_4_11">#REF!</definedName>
    <definedName name="Excel_BuiltIn_Print_Titles_4_5_4_12">#REF!</definedName>
    <definedName name="Excel_BuiltIn_Print_Titles_4_5_5">#REF!</definedName>
    <definedName name="Excel_BuiltIn_Print_Titles_4_5_7">#REF!</definedName>
    <definedName name="Excel_BuiltIn_Print_Titles_4_6">#REF!</definedName>
    <definedName name="Excel_BuiltIn_Print_Titles_4_6_11">#REF!</definedName>
    <definedName name="Excel_BuiltIn_Print_Titles_4_6_12">#REF!</definedName>
    <definedName name="Excel_BuiltIn_Print_Titles_4_7">#REF!</definedName>
    <definedName name="Excel_BuiltIn_Print_Titles_5">#REF!</definedName>
    <definedName name="Excel_BuiltIn_Print_Titles_5_1">#REF!</definedName>
    <definedName name="Excel_BuiltIn_Print_Titles_5_1_11">#REF!</definedName>
    <definedName name="Excel_BuiltIn_Print_Titles_5_1_12">#REF!</definedName>
    <definedName name="Excel_BuiltIn_Print_Titles_5_1_4">#REF!</definedName>
    <definedName name="Excel_BuiltIn_Print_Titles_5_1_4_11">#REF!</definedName>
    <definedName name="Excel_BuiltIn_Print_Titles_5_1_4_12">#REF!</definedName>
    <definedName name="Excel_BuiltIn_Print_Titles_5_11">#REF!</definedName>
    <definedName name="Excel_BuiltIn_Print_Titles_5_12">#REF!</definedName>
    <definedName name="Excel_BuiltIn_Print_Titles_5_3">#REF!</definedName>
    <definedName name="Excel_BuiltIn_Print_Titles_5_3_11">#REF!</definedName>
    <definedName name="Excel_BuiltIn_Print_Titles_5_3_12">#REF!</definedName>
    <definedName name="Excel_BuiltIn_Print_Titles_5_4">#REF!</definedName>
    <definedName name="Excel_BuiltIn_Print_Titles_5_4_1">#REF!</definedName>
    <definedName name="Excel_BuiltIn_Print_Titles_5_4_1_1">#REF!</definedName>
    <definedName name="Excel_BuiltIn_Print_Titles_5_4_1_1_11">#REF!</definedName>
    <definedName name="Excel_BuiltIn_Print_Titles_5_4_1_1_12">#REF!</definedName>
    <definedName name="Excel_BuiltIn_Print_Titles_5_4_1_11">#REF!</definedName>
    <definedName name="Excel_BuiltIn_Print_Titles_5_4_1_12">#REF!</definedName>
    <definedName name="Excel_BuiltIn_Print_Titles_5_4_1_4">#REF!</definedName>
    <definedName name="Excel_BuiltIn_Print_Titles_5_4_1_4_11">#REF!</definedName>
    <definedName name="Excel_BuiltIn_Print_Titles_5_4_1_4_12">#REF!</definedName>
    <definedName name="Excel_BuiltIn_Print_Titles_5_4_11">#REF!</definedName>
    <definedName name="Excel_BuiltIn_Print_Titles_5_4_12">#REF!</definedName>
    <definedName name="Excel_BuiltIn_Print_Titles_5_4_4">#REF!</definedName>
    <definedName name="Excel_BuiltIn_Print_Titles_5_4_4_11">#REF!</definedName>
    <definedName name="Excel_BuiltIn_Print_Titles_5_4_4_12">#REF!</definedName>
    <definedName name="Excel_BuiltIn_Print_Titles_5_4_5">#REF!</definedName>
    <definedName name="Excel_BuiltIn_Print_Titles_5_4_7">#REF!</definedName>
    <definedName name="Excel_BuiltIn_Print_Titles_5_5">#REF!</definedName>
    <definedName name="Excel_BuiltIn_Print_Titles_5_5_11">#REF!</definedName>
    <definedName name="Excel_BuiltIn_Print_Titles_5_5_12">#REF!</definedName>
    <definedName name="Excel_BuiltIn_Print_Titles_5_5_4">#REF!</definedName>
    <definedName name="Excel_BuiltIn_Print_Titles_5_5_4_11">#REF!</definedName>
    <definedName name="Excel_BuiltIn_Print_Titles_5_5_4_12">#REF!</definedName>
    <definedName name="Excel_BuiltIn_Print_Titles_5_5_5">#REF!</definedName>
    <definedName name="Excel_BuiltIn_Print_Titles_5_5_7">#REF!</definedName>
    <definedName name="Excel_BuiltIn_Print_Titles_5_6">#REF!</definedName>
    <definedName name="Excel_BuiltIn_Print_Titles_5_6_11">#REF!</definedName>
    <definedName name="Excel_BuiltIn_Print_Titles_5_6_12">#REF!</definedName>
    <definedName name="Excel_BuiltIn_Print_Titles_5_6_4">#REF!</definedName>
    <definedName name="Excel_BuiltIn_Print_Titles_5_6_4_11">#REF!</definedName>
    <definedName name="Excel_BuiltIn_Print_Titles_5_6_4_12">#REF!</definedName>
    <definedName name="Excel_BuiltIn_Print_Titles_5_7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1">#REF!</definedName>
    <definedName name="Excel_BuiltIn_Print_Titles_6_1_1_12">#REF!</definedName>
    <definedName name="Excel_BuiltIn_Print_Titles_6_1_11">#REF!</definedName>
    <definedName name="Excel_BuiltIn_Print_Titles_6_1_12">#REF!</definedName>
    <definedName name="Excel_BuiltIn_Print_Titles_6_1_4">#REF!</definedName>
    <definedName name="Excel_BuiltIn_Print_Titles_6_1_4_11">#REF!</definedName>
    <definedName name="Excel_BuiltIn_Print_Titles_6_1_4_12">#REF!</definedName>
    <definedName name="Excel_BuiltIn_Print_Titles_6_1_5">#REF!</definedName>
    <definedName name="Excel_BuiltIn_Print_Titles_6_1_7">#REF!</definedName>
    <definedName name="Excel_BuiltIn_Print_Titles_6_1_7_11">#REF!</definedName>
    <definedName name="Excel_BuiltIn_Print_Titles_6_1_7_12">#REF!</definedName>
    <definedName name="Excel_BuiltIn_Print_Titles_6_1_7_5">#REF!</definedName>
    <definedName name="Excel_BuiltIn_Print_Titles_6_1_7_7">#REF!</definedName>
    <definedName name="Excel_BuiltIn_Print_Titles_6_1_8">#REF!</definedName>
    <definedName name="Excel_BuiltIn_Print_Titles_6_1_8_11">#REF!</definedName>
    <definedName name="Excel_BuiltIn_Print_Titles_6_1_8_12">#REF!</definedName>
    <definedName name="Excel_BuiltIn_Print_Titles_6_1_8_5">#REF!</definedName>
    <definedName name="Excel_BuiltIn_Print_Titles_6_1_8_7">#REF!</definedName>
    <definedName name="Excel_BuiltIn_Print_Titles_6_1_8_7_11">#REF!</definedName>
    <definedName name="Excel_BuiltIn_Print_Titles_6_1_8_7_12">#REF!</definedName>
    <definedName name="Excel_BuiltIn_Print_Titles_6_1_8_7_5">#REF!</definedName>
    <definedName name="Excel_BuiltIn_Print_Titles_6_1_8_7_7">#REF!</definedName>
    <definedName name="Excel_BuiltIn_Print_Titles_6_10">#REF!</definedName>
    <definedName name="Excel_BuiltIn_Print_Titles_6_11">#REF!</definedName>
    <definedName name="Excel_BuiltIn_Print_Titles_6_12">#REF!</definedName>
    <definedName name="Excel_BuiltIn_Print_Titles_6_3">#REF!</definedName>
    <definedName name="Excel_BuiltIn_Print_Titles_6_3_11">#REF!</definedName>
    <definedName name="Excel_BuiltIn_Print_Titles_6_3_12">#REF!</definedName>
    <definedName name="Excel_BuiltIn_Print_Titles_6_4">#REF!</definedName>
    <definedName name="Excel_BuiltIn_Print_Titles_6_4_1">#REF!</definedName>
    <definedName name="Excel_BuiltIn_Print_Titles_6_4_1_1">#REF!</definedName>
    <definedName name="Excel_BuiltIn_Print_Titles_6_4_1_1_11">#REF!</definedName>
    <definedName name="Excel_BuiltIn_Print_Titles_6_4_1_1_12">#REF!</definedName>
    <definedName name="Excel_BuiltIn_Print_Titles_6_4_1_11">#REF!</definedName>
    <definedName name="Excel_BuiltIn_Print_Titles_6_4_1_12">#REF!</definedName>
    <definedName name="Excel_BuiltIn_Print_Titles_6_4_1_4">#REF!</definedName>
    <definedName name="Excel_BuiltIn_Print_Titles_6_4_1_4_11">#REF!</definedName>
    <definedName name="Excel_BuiltIn_Print_Titles_6_4_1_4_12">#REF!</definedName>
    <definedName name="Excel_BuiltIn_Print_Titles_6_4_11">#REF!</definedName>
    <definedName name="Excel_BuiltIn_Print_Titles_6_4_12">#REF!</definedName>
    <definedName name="Excel_BuiltIn_Print_Titles_6_4_4">#REF!</definedName>
    <definedName name="Excel_BuiltIn_Print_Titles_6_4_4_11">#REF!</definedName>
    <definedName name="Excel_BuiltIn_Print_Titles_6_4_4_12">#REF!</definedName>
    <definedName name="Excel_BuiltIn_Print_Titles_6_4_5">#REF!</definedName>
    <definedName name="Excel_BuiltIn_Print_Titles_6_4_7">#REF!</definedName>
    <definedName name="Excel_BuiltIn_Print_Titles_6_5">#REF!</definedName>
    <definedName name="Excel_BuiltIn_Print_Titles_6_5_11">#REF!</definedName>
    <definedName name="Excel_BuiltIn_Print_Titles_6_5_12">#REF!</definedName>
    <definedName name="Excel_BuiltIn_Print_Titles_6_5_4">#REF!</definedName>
    <definedName name="Excel_BuiltIn_Print_Titles_6_5_4_11">#REF!</definedName>
    <definedName name="Excel_BuiltIn_Print_Titles_6_5_4_12">#REF!</definedName>
    <definedName name="Excel_BuiltIn_Print_Titles_6_5_5">#REF!</definedName>
    <definedName name="Excel_BuiltIn_Print_Titles_6_5_7">#REF!</definedName>
    <definedName name="Excel_BuiltIn_Print_Titles_6_6">#REF!</definedName>
    <definedName name="Excel_BuiltIn_Print_Titles_6_6_11">#REF!</definedName>
    <definedName name="Excel_BuiltIn_Print_Titles_6_6_12">#REF!</definedName>
    <definedName name="Excel_BuiltIn_Print_Titles_6_6_4">#REF!</definedName>
    <definedName name="Excel_BuiltIn_Print_Titles_6_6_4_11">#REF!</definedName>
    <definedName name="Excel_BuiltIn_Print_Titles_6_6_4_12">#REF!</definedName>
    <definedName name="Excel_BuiltIn_Print_Titles_6_7">#REF!</definedName>
    <definedName name="Excel_BuiltIn_Print_Titles_8_1">"$#REF!.$A$20:$DJ$20"</definedName>
    <definedName name="Excel_BuiltIn_Print_Titles_8_1_1">"$#REF!.$A$20:$DJ$20"</definedName>
    <definedName name="Excel_BuiltIn_Print_Titles_8_1_5">#REF!</definedName>
    <definedName name="Excel_BuiltIn_Print_Titles_8_1_5_11">#REF!</definedName>
    <definedName name="Excel_BuiltIn_Print_Titles_8_1_5_12">#REF!</definedName>
    <definedName name="Excel_BuiltIn_Print_Titles_8_1_5_4">#REF!</definedName>
    <definedName name="Excel_BuiltIn_Print_Titles_8_1_5_4_11">#REF!</definedName>
    <definedName name="Excel_BuiltIn_Print_Titles_8_1_5_4_12">#REF!</definedName>
    <definedName name="Excel_BuiltIn_Recorder">"$#REF!.$A$1:$A$65536"</definedName>
    <definedName name="except1">#REF!</definedName>
    <definedName name="exception">#REF!</definedName>
    <definedName name="EXCH">#REF!</definedName>
    <definedName name="Exchange">#REF!</definedName>
    <definedName name="exchange.rate">#REF!</definedName>
    <definedName name="Exchange_Rate">#REF!</definedName>
    <definedName name="Exchange_rate_US">#REF!</definedName>
    <definedName name="ExchBase">#REF!</definedName>
    <definedName name="ExchBase2">#REF!</definedName>
    <definedName name="ExchIncr">#REF!</definedName>
    <definedName name="Exercisable">#REF!</definedName>
    <definedName name="Exgratia">#REF!</definedName>
    <definedName name="Exh1_a">#REF!</definedName>
    <definedName name="exh1_b">#REF!</definedName>
    <definedName name="Exhibit">#REF!</definedName>
    <definedName name="Exhibit_B">#REF!</definedName>
    <definedName name="Exhibit_E">#REF!</definedName>
    <definedName name="Exhibit_G">#REF!</definedName>
    <definedName name="Exhibit_H">#REF!</definedName>
    <definedName name="Exhibit_I">#REF!</definedName>
    <definedName name="exhibit_II">#REF!</definedName>
    <definedName name="exhibit1">#REF!</definedName>
    <definedName name="ExhibitC1">#REF!</definedName>
    <definedName name="ExhibitG">#REF!</definedName>
    <definedName name="EXHT" hidden="1">15</definedName>
    <definedName name="Exit_Reason">#REF!</definedName>
    <definedName name="EXITYEAR">#REF!</definedName>
    <definedName name="exp">#REF!</definedName>
    <definedName name="EXPA_Historic">#REF!</definedName>
    <definedName name="expect" localSheetId="7">{#N/A,#N/A,FALSE,"$170M Cash";#N/A,#N/A,FALSE,"$250M Cash";#N/A,#N/A,FALSE,"$325M Cash"}</definedName>
    <definedName name="expect" localSheetId="10" hidden="1">{#N/A,#N/A,FALSE,"$170M Cash";#N/A,#N/A,FALSE,"$250M Cash";#N/A,#N/A,FALSE,"$325M Cash"}</definedName>
    <definedName name="expect" localSheetId="0" hidden="1">{#N/A,#N/A,FALSE,"$170M Cash";#N/A,#N/A,FALSE,"$250M Cash";#N/A,#N/A,FALSE,"$325M Cash"}</definedName>
    <definedName name="expect" localSheetId="9" hidden="1">{#N/A,#N/A,FALSE,"$170M Cash";#N/A,#N/A,FALSE,"$250M Cash";#N/A,#N/A,FALSE,"$325M Cash"}</definedName>
    <definedName name="expect" localSheetId="11" hidden="1">{#N/A,#N/A,FALSE,"$170M Cash";#N/A,#N/A,FALSE,"$250M Cash";#N/A,#N/A,FALSE,"$325M Cash"}</definedName>
    <definedName name="expect" hidden="1">{#N/A,#N/A,FALSE,"$170M Cash";#N/A,#N/A,FALSE,"$250M Cash";#N/A,#N/A,FALSE,"$325M Cash"}</definedName>
    <definedName name="Expected_balance">#REF!</definedName>
    <definedName name="Expected_balance_1">#REF!</definedName>
    <definedName name="Expectedbalance">#REF!</definedName>
    <definedName name="EXPENSES">#REF!</definedName>
    <definedName name="expgen">#REF!</definedName>
    <definedName name="expgen1">#REF!</definedName>
    <definedName name="EXPRNG">#REF!</definedName>
    <definedName name="exrt">#REF!</definedName>
    <definedName name="Extra_Care_Sales_Promotion">#REF!</definedName>
    <definedName name="Extra_Pay">#REF!</definedName>
    <definedName name="Extra_Shift_Depreciation_on_Studio">#REF!</definedName>
    <definedName name="Extracare_Selling">#REF!</definedName>
    <definedName name="_xlnm.Extract">#REF!</definedName>
    <definedName name="Extract_MI">#REF!</definedName>
    <definedName name="eyc_30">#REF!</definedName>
    <definedName name="eyc_31">#REF!</definedName>
    <definedName name="eyc_32">#REF!</definedName>
    <definedName name="eyc_33">#REF!</definedName>
    <definedName name="eyc_34">#REF!</definedName>
    <definedName name="eyc_40">#REF!</definedName>
    <definedName name="eyc_50">#REF!</definedName>
    <definedName name="eyc_51">#REF!</definedName>
    <definedName name="eyc_52">#REF!</definedName>
    <definedName name="eyc_53">#REF!</definedName>
    <definedName name="eyc_54">#REF!</definedName>
    <definedName name="eyc_55">#REF!</definedName>
    <definedName name="eyc_actual30">#REF!</definedName>
    <definedName name="eyc_actual31">#REF!</definedName>
    <definedName name="eyc_actual32">#REF!</definedName>
    <definedName name="eyc_actual33">#REF!</definedName>
    <definedName name="eyc_actual34">#REF!</definedName>
    <definedName name="eyc_actual40">#REF!</definedName>
    <definedName name="eyc_actual50">#REF!</definedName>
    <definedName name="eyc_actual51">#REF!</definedName>
    <definedName name="eyc_actual52">#REF!</definedName>
    <definedName name="eyc_actual53">#REF!</definedName>
    <definedName name="eyc_actual54">#REF!</definedName>
    <definedName name="eyc_actual55">#REF!</definedName>
    <definedName name="eyc_ae_ex">#REF!</definedName>
    <definedName name="eyc_ae_mh">#REF!</definedName>
    <definedName name="eyc_ae_mi">#REF!</definedName>
    <definedName name="eyc_ae_mlf">#REF!</definedName>
    <definedName name="eyc_as_ex">#REF!</definedName>
    <definedName name="eyc_as_mh">#REF!</definedName>
    <definedName name="eyc_as_mi">#REF!</definedName>
    <definedName name="eyc_as_mlf">#REF!</definedName>
    <definedName name="eyc_enc_ex">#REF!</definedName>
    <definedName name="eyc_enc_mh">#REF!</definedName>
    <definedName name="eyc_enc_mi">#REF!</definedName>
    <definedName name="eyc_enc_mlf">#REF!</definedName>
    <definedName name="F">#REF!</definedName>
    <definedName name="F_1">#REF!</definedName>
    <definedName name="F_F">#REF!</definedName>
    <definedName name="F_INGRESO">#REF!</definedName>
    <definedName name="F26C">#REF!</definedName>
    <definedName name="F26C.12">#REF!</definedName>
    <definedName name="F26C.6a">#REF!</definedName>
    <definedName name="F26C.6b">#REF!</definedName>
    <definedName name="F26J">#REF!</definedName>
    <definedName name="F26J.12">#REF!</definedName>
    <definedName name="F26J.6a">#REF!</definedName>
    <definedName name="F26J.6b">#REF!</definedName>
    <definedName name="F26K.6a">#REF!</definedName>
    <definedName name="F26K.6b">#REF!</definedName>
    <definedName name="F27N">#REF!</definedName>
    <definedName name="fa" localSheetId="7">{#N/A,#N/A,FALSE,"2"}</definedName>
    <definedName name="fa" localSheetId="10" hidden="1">{#N/A,#N/A,FALSE,"2"}</definedName>
    <definedName name="fa" localSheetId="0" hidden="1">{#N/A,#N/A,FALSE,"2"}</definedName>
    <definedName name="fa" localSheetId="9" hidden="1">{#N/A,#N/A,FALSE,"2"}</definedName>
    <definedName name="fa" localSheetId="11" hidden="1">{#N/A,#N/A,FALSE,"2"}</definedName>
    <definedName name="fa" hidden="1">{#N/A,#N/A,FALSE,"2"}</definedName>
    <definedName name="fa_1" localSheetId="7">{#N/A,#N/A,FALSE,"2"}</definedName>
    <definedName name="fa_1" localSheetId="10" hidden="1">{#N/A,#N/A,FALSE,"2"}</definedName>
    <definedName name="fa_1" localSheetId="0" hidden="1">{#N/A,#N/A,FALSE,"2"}</definedName>
    <definedName name="fa_1" localSheetId="9" hidden="1">{#N/A,#N/A,FALSE,"2"}</definedName>
    <definedName name="fa_1" localSheetId="11" hidden="1">{#N/A,#N/A,FALSE,"2"}</definedName>
    <definedName name="fa_1" hidden="1">{#N/A,#N/A,FALSE,"2"}</definedName>
    <definedName name="fa_2" localSheetId="7">{#N/A,#N/A,FALSE,"2"}</definedName>
    <definedName name="fa_2" localSheetId="10" hidden="1">{#N/A,#N/A,FALSE,"2"}</definedName>
    <definedName name="fa_2" localSheetId="0" hidden="1">{#N/A,#N/A,FALSE,"2"}</definedName>
    <definedName name="fa_2" localSheetId="9" hidden="1">{#N/A,#N/A,FALSE,"2"}</definedName>
    <definedName name="fa_2" localSheetId="11" hidden="1">{#N/A,#N/A,FALSE,"2"}</definedName>
    <definedName name="fa_2" hidden="1">{#N/A,#N/A,FALSE,"2"}</definedName>
    <definedName name="FA_BSSI">#REF!</definedName>
    <definedName name="FA_EII_New">#REF!</definedName>
    <definedName name="FABSSI">#REF!</definedName>
    <definedName name="FABYDHARA">#REF!</definedName>
    <definedName name="FAC_CLASS">#REF!</definedName>
    <definedName name="Facility_cat">#REF!</definedName>
    <definedName name="Facilitymonth">#REF!</definedName>
    <definedName name="Facilitymonthbudget">#REF!</definedName>
    <definedName name="FACL">#REF!</definedName>
    <definedName name="factory">#REF!</definedName>
    <definedName name="fagdafgadf" localSheetId="7">{#N/A,#N/A,FALSE,"Global Wls Trend";#N/A,#N/A,FALSE,"Region Trend";#N/A,#N/A,FALSE,"PBU Trend"}</definedName>
    <definedName name="fagdafgadf" localSheetId="10" hidden="1">{#N/A,#N/A,FALSE,"Global Wls Trend";#N/A,#N/A,FALSE,"Region Trend";#N/A,#N/A,FALSE,"PBU Trend"}</definedName>
    <definedName name="fagdafgadf" localSheetId="0" hidden="1">{#N/A,#N/A,FALSE,"Global Wls Trend";#N/A,#N/A,FALSE,"Region Trend";#N/A,#N/A,FALSE,"PBU Trend"}</definedName>
    <definedName name="fagdafgadf" localSheetId="9" hidden="1">{#N/A,#N/A,FALSE,"Global Wls Trend";#N/A,#N/A,FALSE,"Region Trend";#N/A,#N/A,FALSE,"PBU Trend"}</definedName>
    <definedName name="fagdafgadf" localSheetId="11" hidden="1">{#N/A,#N/A,FALSE,"Global Wls Trend";#N/A,#N/A,FALSE,"Region Trend";#N/A,#N/A,FALSE,"PBU Trend"}</definedName>
    <definedName name="fagdafgadf" hidden="1">{#N/A,#N/A,FALSE,"Global Wls Trend";#N/A,#N/A,FALSE,"Region Trend";#N/A,#N/A,FALSE,"PBU Trend"}</definedName>
    <definedName name="fagdfgda" localSheetId="7">{#N/A,#N/A,FALSE,"Global by BU";#N/A,#N/A,FALSE,"U.S. by BU";#N/A,#N/A,FALSE,"Canada by BU";#N/A,#N/A,FALSE,"Europe by BU";#N/A,#N/A,FALSE,"Asia by BU";#N/A,#N/A,FALSE,"Cala by BU"}</definedName>
    <definedName name="fagdfgda" localSheetId="10" hidden="1">{#N/A,#N/A,FALSE,"Global by BU";#N/A,#N/A,FALSE,"U.S. by BU";#N/A,#N/A,FALSE,"Canada by BU";#N/A,#N/A,FALSE,"Europe by BU";#N/A,#N/A,FALSE,"Asia by BU";#N/A,#N/A,FALSE,"Cala by BU"}</definedName>
    <definedName name="fagdfgda" localSheetId="0" hidden="1">{#N/A,#N/A,FALSE,"Global by BU";#N/A,#N/A,FALSE,"U.S. by BU";#N/A,#N/A,FALSE,"Canada by BU";#N/A,#N/A,FALSE,"Europe by BU";#N/A,#N/A,FALSE,"Asia by BU";#N/A,#N/A,FALSE,"Cala by BU"}</definedName>
    <definedName name="fagdfgda" localSheetId="9" hidden="1">{#N/A,#N/A,FALSE,"Global by BU";#N/A,#N/A,FALSE,"U.S. by BU";#N/A,#N/A,FALSE,"Canada by BU";#N/A,#N/A,FALSE,"Europe by BU";#N/A,#N/A,FALSE,"Asia by BU";#N/A,#N/A,FALSE,"Cala by BU"}</definedName>
    <definedName name="fagdfgda" localSheetId="11" hidden="1">{#N/A,#N/A,FALSE,"Global by BU";#N/A,#N/A,FALSE,"U.S. by BU";#N/A,#N/A,FALSE,"Canada by BU";#N/A,#N/A,FALSE,"Europe by BU";#N/A,#N/A,FALSE,"Asia by BU";#N/A,#N/A,FALSE,"Cala by BU"}</definedName>
    <definedName name="fagdfgda" hidden="1">{#N/A,#N/A,FALSE,"Global by BU";#N/A,#N/A,FALSE,"U.S. by BU";#N/A,#N/A,FALSE,"Canada by BU";#N/A,#N/A,FALSE,"Europe by BU";#N/A,#N/A,FALSE,"Asia by BU";#N/A,#N/A,FALSE,"Cala by BU"}</definedName>
    <definedName name="FakeNums">#REF!</definedName>
    <definedName name="Family">#REF!</definedName>
    <definedName name="farng">#REF!</definedName>
    <definedName name="fas">#REF!</definedName>
    <definedName name="fasdfsd">39166.5621180556</definedName>
    <definedName name="FastTrack">#REF!</definedName>
    <definedName name="FASYSTEM">#REF!</definedName>
    <definedName name="FAWORK">#REF!</definedName>
    <definedName name="FAX_MACHINE">#REF!</definedName>
    <definedName name="FAX00">#REF!</definedName>
    <definedName name="FAXNO">#REF!</definedName>
    <definedName name="FBCPX">#REF!</definedName>
    <definedName name="fbgbbbb4" hidden="1">#REF!</definedName>
    <definedName name="fbgjkkk" hidden="1">#REF!</definedName>
    <definedName name="FBPPlan">#REF!</definedName>
    <definedName name="fc">#REF!</definedName>
    <definedName name="FC5_total">#REF!</definedName>
    <definedName name="FC6_total">#REF!</definedName>
    <definedName name="FCMapping">#REF!</definedName>
    <definedName name="fcst">#REF!</definedName>
    <definedName name="fdf" hidden="1">#REF!</definedName>
    <definedName name="fdfd" hidden="1">#REF!</definedName>
    <definedName name="fdfg">#REF!</definedName>
    <definedName name="fdfsdsd">#N/A</definedName>
    <definedName name="FDP_280_1_aSrv">#REF!</definedName>
    <definedName name="FDP_281_1_aSrv">#REF!</definedName>
    <definedName name="FDP_282_1_aSrv">#REF!</definedName>
    <definedName name="FDP_283_1_aSrv">#REF!</definedName>
    <definedName name="fdsafads">#REF!</definedName>
    <definedName name="fdsfgfhgdht" hidden="1">#REF!</definedName>
    <definedName name="feb\">#REF!</definedName>
    <definedName name="Febop">#REF!</definedName>
    <definedName name="fed">#REF!</definedName>
    <definedName name="Fee">#REF!</definedName>
    <definedName name="FEF">#REF!</definedName>
    <definedName name="feffdfbgbd" hidden="1">#REF!</definedName>
    <definedName name="FEV">#REF!</definedName>
    <definedName name="FF" hidden="1">#REF!</definedName>
    <definedName name="FF_945_956">#REF!</definedName>
    <definedName name="FF_967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APPCOLNAME7_1">#REF!</definedName>
    <definedName name="FFAPPCOLNAME8_1">#REF!</definedName>
    <definedName name="fff">#REF!</definedName>
    <definedName name="ffff">#REF!</definedName>
    <definedName name="ffffff">#REF!</definedName>
    <definedName name="ffffffffffffff">#REF!</definedName>
    <definedName name="ffghnbbb5" hidden="1">#REF!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MENT7_1">#REF!</definedName>
    <definedName name="FFSEGMENT8_1">#REF!</definedName>
    <definedName name="FFSEGSEPARATOR1">#REF!</definedName>
    <definedName name="fg">#REF!</definedName>
    <definedName name="fgbtrt5" hidden="1">#REF!</definedName>
    <definedName name="fgbvbgfs4" hidden="1">#REF!</definedName>
    <definedName name="fgdfg5" hidden="1">#REF!</definedName>
    <definedName name="fgdfghtrh5" hidden="1">#REF!</definedName>
    <definedName name="fgdfgrdfg45" hidden="1">#REF!</definedName>
    <definedName name="fgdhgt5e">#REF!</definedName>
    <definedName name="fgdhnnbb5" hidden="1">#REF!</definedName>
    <definedName name="fgebefgbfegb" localSheetId="7">{#N/A,#N/A,FALSE,"Global Wls Trend";#N/A,#N/A,FALSE,"Region Trend";#N/A,#N/A,FALSE,"PBU Trend"}</definedName>
    <definedName name="fgebefgbfegb" localSheetId="10" hidden="1">{#N/A,#N/A,FALSE,"Global Wls Trend";#N/A,#N/A,FALSE,"Region Trend";#N/A,#N/A,FALSE,"PBU Trend"}</definedName>
    <definedName name="fgebefgbfegb" localSheetId="0" hidden="1">{#N/A,#N/A,FALSE,"Global Wls Trend";#N/A,#N/A,FALSE,"Region Trend";#N/A,#N/A,FALSE,"PBU Trend"}</definedName>
    <definedName name="fgebefgbfegb" localSheetId="9" hidden="1">{#N/A,#N/A,FALSE,"Global Wls Trend";#N/A,#N/A,FALSE,"Region Trend";#N/A,#N/A,FALSE,"PBU Trend"}</definedName>
    <definedName name="fgebefgbfegb" localSheetId="11" hidden="1">{#N/A,#N/A,FALSE,"Global Wls Trend";#N/A,#N/A,FALSE,"Region Trend";#N/A,#N/A,FALSE,"PBU Trend"}</definedName>
    <definedName name="fgebefgbfegb" hidden="1">{#N/A,#N/A,FALSE,"Global Wls Trend";#N/A,#N/A,FALSE,"Region Trend";#N/A,#N/A,FALSE,"PBU Trend"}</definedName>
    <definedName name="fgfagdfg54" hidden="1">#REF!</definedName>
    <definedName name="fgfdgdfh54" hidden="1">#REF!</definedName>
    <definedName name="fgfdggghhhh" hidden="1">#REF!</definedName>
    <definedName name="fgfdgtg4" hidden="1">#REF!</definedName>
    <definedName name="fgfgfg4" hidden="1">#REF!</definedName>
    <definedName name="fgfgrg554" hidden="1">#REF!</definedName>
    <definedName name="fgfhgfjhj7" hidden="1">#REF!</definedName>
    <definedName name="fggggggggggggg">#REF!</definedName>
    <definedName name="fgh">#REF!</definedName>
    <definedName name="fghggger" hidden="1">#REF!</definedName>
    <definedName name="fghgh6" hidden="1">#REF!</definedName>
    <definedName name="FGP">#REF!</definedName>
    <definedName name="fgr">#REF!</definedName>
    <definedName name="fgr_11">#REF!</definedName>
    <definedName name="fgr_12">#REF!</definedName>
    <definedName name="fgrdtgdt" hidden="1">#REF!</definedName>
    <definedName name="fgrertet" hidden="1">#REF!</definedName>
    <definedName name="fgsrete4" hidden="1">#REF!</definedName>
    <definedName name="fhkdfjdklsa">#REF!</definedName>
    <definedName name="FIELDNAMECOLUMN1">#REF!</definedName>
    <definedName name="FIELDNAMEROW1">#REF!</definedName>
    <definedName name="FILE">#REF!</definedName>
    <definedName name="FileDirectory">#REF!</definedName>
    <definedName name="FileName">#REF!</definedName>
    <definedName name="fill" hidden="1">#REF!</definedName>
    <definedName name="FIN">#REF!</definedName>
    <definedName name="Fin_CounterGraphJuly02" hidden="1">#REF!</definedName>
    <definedName name="final_centers_version_4">#REF!</definedName>
    <definedName name="financials">#REF!</definedName>
    <definedName name="Findrng">#REF!</definedName>
    <definedName name="FINSUM">#REF!</definedName>
    <definedName name="fintb">#REF!</definedName>
    <definedName name="FIRST_MONTH">#REF!</definedName>
    <definedName name="FIRST_YEAR">#REF!</definedName>
    <definedName name="first_year_model">#REF!</definedName>
    <definedName name="FIRSTDATAROW1">#REF!</definedName>
    <definedName name="FirstRow1">#REF!</definedName>
    <definedName name="FirstRow2">#REF!</definedName>
    <definedName name="FirstRow3">#REF!</definedName>
    <definedName name="FirstRow4">#REF!</definedName>
    <definedName name="FIRSTYEAR">#REF!</definedName>
    <definedName name="FIX">#REF!</definedName>
    <definedName name="FixAsset">#REF!</definedName>
    <definedName name="FIXED">#REF!</definedName>
    <definedName name="FIXED_ASSETS">#REF!</definedName>
    <definedName name="FIXED_ASSETS_L">#REF!</definedName>
    <definedName name="FIXEDASSETS">#REF!</definedName>
    <definedName name="FIXEDDEP">#REF!</definedName>
    <definedName name="fj">#REF!</definedName>
    <definedName name="fkjkfg" hidden="1">#REF!</definedName>
    <definedName name="FLINE">#REF!</definedName>
    <definedName name="FloatingLabels">#REF!</definedName>
    <definedName name="flooring">#REF!</definedName>
    <definedName name="FLUCLOXA">#REF!</definedName>
    <definedName name="FLUCONAZOLE">#REF!</definedName>
    <definedName name="FLUX">#REF!</definedName>
    <definedName name="FMS">#REF!</definedName>
    <definedName name="FncDistList">#REF!</definedName>
    <definedName name="FncList">#REF!</definedName>
    <definedName name="FncName">#REF!</definedName>
    <definedName name="FNDNAM1">#REF!</definedName>
    <definedName name="FNDUSERID1">#REF!</definedName>
    <definedName name="fog" localSheetId="7">#REF!</definedName>
    <definedName name="fog">#N/A</definedName>
    <definedName name="foggybottom" localSheetId="7">#REF!</definedName>
    <definedName name="foggybottom">#N/A</definedName>
    <definedName name="foggymountain" localSheetId="7">#REF!</definedName>
    <definedName name="foggymountain">#N/A</definedName>
    <definedName name="FolderItemNumber">#REF!</definedName>
    <definedName name="FolderItemTitle">#REF!</definedName>
    <definedName name="FolderNameSaves">#REF!</definedName>
    <definedName name="Fono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for">#REF!</definedName>
    <definedName name="forecast">#REF!</definedName>
    <definedName name="forecast2">#REF!</definedName>
    <definedName name="foreign_travelling">#REF!</definedName>
    <definedName name="forex">#REF!</definedName>
    <definedName name="forex_series">#REF!</definedName>
    <definedName name="forex_series_04_to_29">#REF!</definedName>
    <definedName name="FORM">#REF!</definedName>
    <definedName name="FORM_IV">#REF!</definedName>
    <definedName name="Format">#REF!</definedName>
    <definedName name="format1">#REF!</definedName>
    <definedName name="format11">#REF!</definedName>
    <definedName name="format11p">#REF!</definedName>
    <definedName name="format12">#REF!</definedName>
    <definedName name="format12p">#REF!</definedName>
    <definedName name="formats1">#REF!</definedName>
    <definedName name="formats2">#REF!</definedName>
    <definedName name="formats3">#REF!</definedName>
    <definedName name="Forms">#REF!</definedName>
    <definedName name="FORRAJ90">#REF!</definedName>
    <definedName name="FORRAJERAS">#REF!</definedName>
    <definedName name="fortcollins" localSheetId="7">#REF!</definedName>
    <definedName name="fortcollins">#N/A</definedName>
    <definedName name="fr">#REF!</definedName>
    <definedName name="FRAITASCAND_graph" hidden="1">#REF!</definedName>
    <definedName name="FRAN">#REF!</definedName>
    <definedName name="France">#REF!</definedName>
    <definedName name="Franchisee_Commission">#REF!</definedName>
    <definedName name="Franchisee_Sales_Promotion">#REF!</definedName>
    <definedName name="Franchisee_Selling">#REF!</definedName>
    <definedName name="frdf" hidden="1">#REF!</definedName>
    <definedName name="fre">#REF!</definedName>
    <definedName name="From">#REF!</definedName>
    <definedName name="FRT">#REF!</definedName>
    <definedName name="FS">#REF!</definedName>
    <definedName name="fsdaf">#N/A</definedName>
    <definedName name="fsdafd">#N/A</definedName>
    <definedName name="fsdf">#N/A</definedName>
    <definedName name="fsdfas">#N/A</definedName>
    <definedName name="fsdfgsd">#REF!</definedName>
    <definedName name="fsgfgd45" hidden="1">#REF!</definedName>
    <definedName name="FSS">#REF!</definedName>
    <definedName name="fsvfsvree4" hidden="1">#REF!</definedName>
    <definedName name="FT_Position">#REF!</definedName>
    <definedName name="FT_Status">#REF!</definedName>
    <definedName name="Fuel___Power_Energy_Savings">"ceramic _ass"</definedName>
    <definedName name="FUEL00">#REF!</definedName>
    <definedName name="FUEL95">#REF!</definedName>
    <definedName name="FUEL96">#REF!</definedName>
    <definedName name="FUEL97">#REF!</definedName>
    <definedName name="FUEL98">#REF!</definedName>
    <definedName name="FUEL99">#REF!</definedName>
    <definedName name="Full_Print">#REF!</definedName>
    <definedName name="full_year_ebitda_margin">#REF!</definedName>
    <definedName name="FULLCOMPANY">#REF!</definedName>
    <definedName name="FUNCTIONALCURRENCY1">#REF!</definedName>
    <definedName name="FUND">#REF!</definedName>
    <definedName name="fur">#REF!</definedName>
    <definedName name="furn">#REF!</definedName>
    <definedName name="Furniture">#REF!</definedName>
    <definedName name="Furniture___Fixture">#REF!</definedName>
    <definedName name="FURNITURE00">#REF!</definedName>
    <definedName name="FURNITURE95">#REF!</definedName>
    <definedName name="FURNITURE96">#REF!</definedName>
    <definedName name="FURNITURE97">#REF!</definedName>
    <definedName name="FURNITURE98">#REF!</definedName>
    <definedName name="FURNITURE99">#REF!</definedName>
    <definedName name="fwsdgwerg">#REF!</definedName>
    <definedName name="fx">#REF!</definedName>
    <definedName name="fxb">#REF!</definedName>
    <definedName name="fxc">#REF!</definedName>
    <definedName name="fxd">#REF!</definedName>
    <definedName name="FXRATES93">#REF!</definedName>
    <definedName name="FXRATES94">#REF!</definedName>
    <definedName name="FXRATES95">#REF!</definedName>
    <definedName name="FY">#REF!</definedName>
    <definedName name="FYE">#REF!</definedName>
    <definedName name="FYEND">#REF!</definedName>
    <definedName name="G">#REF!</definedName>
    <definedName name="G_1">#REF!</definedName>
    <definedName name="G_2">#REF!</definedName>
    <definedName name="ga">#REF!</definedName>
    <definedName name="game" localSheetId="7">{#N/A,#N/A,FALSE,"PCPL9899"}</definedName>
    <definedName name="game" localSheetId="10" hidden="1">{#N/A,#N/A,FALSE,"PCPL9899"}</definedName>
    <definedName name="game" localSheetId="0" hidden="1">{#N/A,#N/A,FALSE,"PCPL9899"}</definedName>
    <definedName name="game" localSheetId="9" hidden="1">{#N/A,#N/A,FALSE,"PCPL9899"}</definedName>
    <definedName name="game" localSheetId="11" hidden="1">{#N/A,#N/A,FALSE,"PCPL9899"}</definedName>
    <definedName name="game" hidden="1">{#N/A,#N/A,FALSE,"PCPL9899"}</definedName>
    <definedName name="game_1" localSheetId="7">{#N/A,#N/A,FALSE,"PCPL9899"}</definedName>
    <definedName name="game_1" localSheetId="10" hidden="1">{#N/A,#N/A,FALSE,"PCPL9899"}</definedName>
    <definedName name="game_1" localSheetId="0" hidden="1">{#N/A,#N/A,FALSE,"PCPL9899"}</definedName>
    <definedName name="game_1" localSheetId="9" hidden="1">{#N/A,#N/A,FALSE,"PCPL9899"}</definedName>
    <definedName name="game_1" localSheetId="11" hidden="1">{#N/A,#N/A,FALSE,"PCPL9899"}</definedName>
    <definedName name="game_1" hidden="1">{#N/A,#N/A,FALSE,"PCPL9899"}</definedName>
    <definedName name="game_2" localSheetId="7">{#N/A,#N/A,FALSE,"PCPL9899"}</definedName>
    <definedName name="game_2" localSheetId="10" hidden="1">{#N/A,#N/A,FALSE,"PCPL9899"}</definedName>
    <definedName name="game_2" localSheetId="0" hidden="1">{#N/A,#N/A,FALSE,"PCPL9899"}</definedName>
    <definedName name="game_2" localSheetId="9" hidden="1">{#N/A,#N/A,FALSE,"PCPL9899"}</definedName>
    <definedName name="game_2" localSheetId="11" hidden="1">{#N/A,#N/A,FALSE,"PCPL9899"}</definedName>
    <definedName name="game_2" hidden="1">{#N/A,#N/A,FALSE,"PCPL9899"}</definedName>
    <definedName name="gb">#REF!</definedName>
    <definedName name="GBDBDB">#REF!</definedName>
    <definedName name="GBInstActual">#REF!</definedName>
    <definedName name="GBInstForecast">#REF!</definedName>
    <definedName name="GBP">#REF!</definedName>
    <definedName name="GBPLookup">#REF!</definedName>
    <definedName name="GC">#REF!</definedName>
    <definedName name="gcdec07">#REF!</definedName>
    <definedName name="GCJAN11">#REF!</definedName>
    <definedName name="GCNOV10">#REF!</definedName>
    <definedName name="gcs" localSheetId="7">{"'Apr-00'!$B$4:$AD$44"}</definedName>
    <definedName name="gcs" localSheetId="10" hidden="1">{"'Apr-00'!$B$4:$AD$44"}</definedName>
    <definedName name="gcs" localSheetId="0" hidden="1">{"'Apr-00'!$B$4:$AD$44"}</definedName>
    <definedName name="gcs" localSheetId="9" hidden="1">{"'Apr-00'!$B$4:$AD$44"}</definedName>
    <definedName name="gcs" localSheetId="11" hidden="1">{"'Apr-00'!$B$4:$AD$44"}</definedName>
    <definedName name="gcs" hidden="1">{"'Apr-00'!$B$4:$AD$44"}</definedName>
    <definedName name="GCSEP">#REF!</definedName>
    <definedName name="gDataRange">#REF!</definedName>
    <definedName name="GDF" localSheetId="7">{#N/A,#N/A,FALSE,"COMP"}</definedName>
    <definedName name="GDF" localSheetId="10" hidden="1">{#N/A,#N/A,FALSE,"COMP"}</definedName>
    <definedName name="GDF" localSheetId="0" hidden="1">{#N/A,#N/A,FALSE,"COMP"}</definedName>
    <definedName name="GDF" localSheetId="9" hidden="1">{#N/A,#N/A,FALSE,"COMP"}</definedName>
    <definedName name="GDF" localSheetId="11" hidden="1">{#N/A,#N/A,FALSE,"COMP"}</definedName>
    <definedName name="GDF" hidden="1">{#N/A,#N/A,FALSE,"COMP"}</definedName>
    <definedName name="gdfg" hidden="1">#REF!</definedName>
    <definedName name="gdfg5e4" hidden="1">#REF!</definedName>
    <definedName name="gdfgdfg4" hidden="1">#REF!</definedName>
    <definedName name="gdhg">#REF!</definedName>
    <definedName name="gdrt">#REF!</definedName>
    <definedName name="gdsfgdsfg">#REF!</definedName>
    <definedName name="gen_prov_write_bk">#REF!</definedName>
    <definedName name="General">#REF!</definedName>
    <definedName name="GENERATOR">#REF!</definedName>
    <definedName name="ger">#REF!</definedName>
    <definedName name="GERM">#REF!</definedName>
    <definedName name="Germany" localSheetId="7">{#N/A,#N/A,FALSE,"PM8 table"}</definedName>
    <definedName name="Germany" localSheetId="10" hidden="1">{#N/A,#N/A,FALSE,"PM8 table"}</definedName>
    <definedName name="Germany" localSheetId="0" hidden="1">{#N/A,#N/A,FALSE,"PM8 table"}</definedName>
    <definedName name="Germany" localSheetId="9" hidden="1">{#N/A,#N/A,FALSE,"PM8 table"}</definedName>
    <definedName name="Germany" localSheetId="11" hidden="1">{#N/A,#N/A,FALSE,"PM8 table"}</definedName>
    <definedName name="Germany" hidden="1">{#N/A,#N/A,FALSE,"PM8 table"}</definedName>
    <definedName name="gethjkkii" hidden="1">#REF!</definedName>
    <definedName name="gf">#REF!</definedName>
    <definedName name="gfdbbbbb54" hidden="1">#REF!</definedName>
    <definedName name="gffghht5" hidden="1">#REF!</definedName>
    <definedName name="gfgdfgklo9" hidden="1">#REF!</definedName>
    <definedName name="gfgdh5" hidden="1">#REF!</definedName>
    <definedName name="gfgdhgh5" hidden="1">#REF!</definedName>
    <definedName name="gfgdrgre45" hidden="1">#REF!</definedName>
    <definedName name="gfgfgtgh5" hidden="1">#REF!</definedName>
    <definedName name="gfj">#REF!</definedName>
    <definedName name="gfjg">#REF!</definedName>
    <definedName name="gfsdfgsfgdfg4" hidden="1">#REF!</definedName>
    <definedName name="gfsf4t43trtn" hidden="1">#REF!</definedName>
    <definedName name="gg">#REF!</definedName>
    <definedName name="ggds">IF(#REF!&lt;=#REF!,1,0)</definedName>
    <definedName name="ggg">#REF!</definedName>
    <definedName name="gggg">#REF!</definedName>
    <definedName name="gggggggg" hidden="1">#REF!</definedName>
    <definedName name="ggggggggg">#REF!</definedName>
    <definedName name="ggggggggggg">#REF!</definedName>
    <definedName name="gggggggggggggg" hidden="1">#REF!</definedName>
    <definedName name="ggggggggggggggg" hidden="1">#REF!</definedName>
    <definedName name="gghhjy56" hidden="1">#REF!</definedName>
    <definedName name="ghdfgd">#REF!</definedName>
    <definedName name="ghfghtr" hidden="1">#REF!</definedName>
    <definedName name="ghg" hidden="1">#REF!</definedName>
    <definedName name="ghhe">#REF!</definedName>
    <definedName name="ghip">#REF!</definedName>
    <definedName name="gia">#REF!</definedName>
    <definedName name="gia_tien">#REF!</definedName>
    <definedName name="gia_tien_BTN">#REF!</definedName>
    <definedName name="gift">#REF!</definedName>
    <definedName name="GIFT2">#REF!</definedName>
    <definedName name="gilad">#REF!,#REF!,#REF!,#REF!,#REF!</definedName>
    <definedName name="GIRATAR">#REF!</definedName>
    <definedName name="giro">#REF!</definedName>
    <definedName name="giy">#REF!</definedName>
    <definedName name="gjjj656" hidden="1">#REF!</definedName>
    <definedName name="gjygj" localSheetId="7">{#N/A,#N/A,FALSE,"COMP"}</definedName>
    <definedName name="gjygj" localSheetId="10" hidden="1">{#N/A,#N/A,FALSE,"COMP"}</definedName>
    <definedName name="gjygj" localSheetId="0" hidden="1">{#N/A,#N/A,FALSE,"COMP"}</definedName>
    <definedName name="gjygj" localSheetId="9" hidden="1">{#N/A,#N/A,FALSE,"COMP"}</definedName>
    <definedName name="gjygj" localSheetId="11" hidden="1">{#N/A,#N/A,FALSE,"COMP"}</definedName>
    <definedName name="gjygj" hidden="1">{#N/A,#N/A,FALSE,"COMP"}</definedName>
    <definedName name="GKV_2P00_012000">#REF!</definedName>
    <definedName name="GKV_2P00_022000">#REF!</definedName>
    <definedName name="GKV_2P00_032000">#REF!</definedName>
    <definedName name="GKV_2P00_042000">#REF!</definedName>
    <definedName name="GKV_2P00_052000">#REF!</definedName>
    <definedName name="GKV_2P00_062000">#REF!</definedName>
    <definedName name="GKV_2P00_072000">#REF!</definedName>
    <definedName name="GKV_2P00_082000">#REF!</definedName>
    <definedName name="GKV_2P00_092000">#REF!</definedName>
    <definedName name="GKV_2P00_102000">#REF!</definedName>
    <definedName name="GKV_2P00_112000">#REF!</definedName>
    <definedName name="GKV_2P00_122000">#REF!</definedName>
    <definedName name="GKV_2P00_2000">#REF!</definedName>
    <definedName name="GKV_2P00_2001">#REF!</definedName>
    <definedName name="GKV_2P00_2002">#REF!</definedName>
    <definedName name="GKV_2P00_2003">#REF!</definedName>
    <definedName name="GKV_2P00_2004">#REF!</definedName>
    <definedName name="GKV_2P00_2005">#REF!</definedName>
    <definedName name="GKV_AfA">#REF!</definedName>
    <definedName name="GKV_aktEigen">#REF!</definedName>
    <definedName name="GKV_Bestandsver">#REF!</definedName>
    <definedName name="GKV_DurchleitungExtern">#REF!</definedName>
    <definedName name="GKV_DurchleitungIntern">#REF!</definedName>
    <definedName name="GKV_MatProjekteDB">#REF!</definedName>
    <definedName name="GKV_Menge">#REF!</definedName>
    <definedName name="GKV_MietenBuT">#REF!</definedName>
    <definedName name="GKV_MietenVuV">#REF!</definedName>
    <definedName name="GKV_Mietleitunge">#REF!</definedName>
    <definedName name="GKV_MinCarrier">#REF!</definedName>
    <definedName name="GKV_MinInternet">#REF!</definedName>
    <definedName name="GKV_MinVoice">#REF!</definedName>
    <definedName name="GKV_Personalaufwand">#REF!</definedName>
    <definedName name="GKV_Positionen">#REF!</definedName>
    <definedName name="GKV_Provisionen">#REF!</definedName>
    <definedName name="GKV_SonstEuA">#REF!</definedName>
    <definedName name="GKV_SonstMat">#REF!</definedName>
    <definedName name="GKV_SonstVuV">#REF!</definedName>
    <definedName name="GKV_Steuern">#REF!</definedName>
    <definedName name="GKV_Umsatz_Carrier">#REF!</definedName>
    <definedName name="GKV_Umsatz_Daten">#REF!</definedName>
    <definedName name="GKV_Umsatz_Intern">#REF!</definedName>
    <definedName name="GKV_Umsatz_InternetAccess">#REF!</definedName>
    <definedName name="GKV_Umsatz_InternetTransaktion">#REF!</definedName>
    <definedName name="GKV_Umsatz_InternetWerbung">#REF!</definedName>
    <definedName name="GKV_Umsatz_LeadedLine">#REF!</definedName>
    <definedName name="GKV_Umsatz_Sonst">#REF!</definedName>
    <definedName name="GKV_Umsatz_Sprache">#REF!</definedName>
    <definedName name="GKV_VerrechungMCO">#REF!</definedName>
    <definedName name="GKV_VuVintern">#REF!</definedName>
    <definedName name="GKV_Werbeaufwand">#REF!</definedName>
    <definedName name="GKV_Zinsen">#REF!</definedName>
    <definedName name="Global_Sales_Entitywise">#REF!</definedName>
    <definedName name="Global_Sales_Month">#REF!</definedName>
    <definedName name="Global_Sales_Ytd">#REF!</definedName>
    <definedName name="GNS">#REF!</definedName>
    <definedName name="Goa">#REF!</definedName>
    <definedName name="gooch">#REF!</definedName>
    <definedName name="Graded">#REF!</definedName>
    <definedName name="Graph" hidden="1">#REF!</definedName>
    <definedName name="graph2" hidden="1">#REF!</definedName>
    <definedName name="GRAPHIC_EQUIPMENT">#REF!</definedName>
    <definedName name="GraphPrint">#REF!</definedName>
    <definedName name="grattt">#REF!</definedName>
    <definedName name="GrCode">#REF!</definedName>
    <definedName name="greerererer">#REF!</definedName>
    <definedName name="Gross_Margin___Rs_M">#REF!</definedName>
    <definedName name="grosstariff">#REF!</definedName>
    <definedName name="group">#REF!</definedName>
    <definedName name="Group_PL">#REF!</definedName>
    <definedName name="Grouped">#REF!</definedName>
    <definedName name="Groupings">#REF!</definedName>
    <definedName name="groupone">#REF!</definedName>
    <definedName name="growth">#REF!</definedName>
    <definedName name="GSC">#REF!</definedName>
    <definedName name="gserers">#REF!</definedName>
    <definedName name="gserrg">#REF!</definedName>
    <definedName name="gsfds" localSheetId="7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localSheetId="10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localSheetId="0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localSheetId="9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localSheetId="11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T">#REF!</definedName>
    <definedName name="gt">#REF!</definedName>
    <definedName name="gtrgrtgr" localSheetId="7">{#N/A,#N/A,FALSE,"$170M Cash";#N/A,#N/A,FALSE,"$250M Cash";#N/A,#N/A,FALSE,"$325M Cash"}</definedName>
    <definedName name="gtrgrtgr" localSheetId="10" hidden="1">{#N/A,#N/A,FALSE,"$170M Cash";#N/A,#N/A,FALSE,"$250M Cash";#N/A,#N/A,FALSE,"$325M Cash"}</definedName>
    <definedName name="gtrgrtgr" localSheetId="0" hidden="1">{#N/A,#N/A,FALSE,"$170M Cash";#N/A,#N/A,FALSE,"$250M Cash";#N/A,#N/A,FALSE,"$325M Cash"}</definedName>
    <definedName name="gtrgrtgr" localSheetId="9" hidden="1">{#N/A,#N/A,FALSE,"$170M Cash";#N/A,#N/A,FALSE,"$250M Cash";#N/A,#N/A,FALSE,"$325M Cash"}</definedName>
    <definedName name="gtrgrtgr" localSheetId="11" hidden="1">{#N/A,#N/A,FALSE,"$170M Cash";#N/A,#N/A,FALSE,"$250M Cash";#N/A,#N/A,FALSE,"$325M Cash"}</definedName>
    <definedName name="gtrgrtgr" hidden="1">{#N/A,#N/A,FALSE,"$170M Cash";#N/A,#N/A,FALSE,"$250M Cash";#N/A,#N/A,FALSE,"$325M Cash"}</definedName>
    <definedName name="gupta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upta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upta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upta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upta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upta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w">#REF!</definedName>
    <definedName name="GWTable">#REF!</definedName>
    <definedName name="gwyr">#REF!</definedName>
    <definedName name="GWYUID1">#REF!</definedName>
    <definedName name="gy">#REF!</definedName>
    <definedName name="gytuy">#REF!</definedName>
    <definedName name="h">#REF!</definedName>
    <definedName name="H_1">#REF!</definedName>
    <definedName name="ha">#REF!</definedName>
    <definedName name="hachhach" localSheetId="7">#REF!</definedName>
    <definedName name="hachhach">#N/A</definedName>
    <definedName name="Handel">#REF!</definedName>
    <definedName name="hb">#REF!</definedName>
    <definedName name="hd">#REF!</definedName>
    <definedName name="HData_Segm_splitup">#REF!</definedName>
    <definedName name="hdr2WorksheetNames">#REF!</definedName>
    <definedName name="hdrWorksheetNames">#REF!</definedName>
    <definedName name="HEADCOUNT1">#REF!</definedName>
    <definedName name="HEADCOUNT2">#REF!</definedName>
    <definedName name="HEADCOUNT3">#REF!</definedName>
    <definedName name="Header">#REF!</definedName>
    <definedName name="Header_Row">ROW(#REF!)</definedName>
    <definedName name="header1">#REF!</definedName>
    <definedName name="HEADING">#REF!</definedName>
    <definedName name="Headings">#REF!</definedName>
    <definedName name="headoffice_44c">#REF!</definedName>
    <definedName name="HeadOfficeTable">#REF!</definedName>
    <definedName name="Heads1">#REF!</definedName>
    <definedName name="Headss">#REF!</definedName>
    <definedName name="health">#REF!</definedName>
    <definedName name="Height">30</definedName>
    <definedName name="hellooooasdajid">#REF!</definedName>
    <definedName name="help" localSheetId="7">{"'Apr-00'!$B$4:$AD$44"}</definedName>
    <definedName name="help" localSheetId="10" hidden="1">{"'Apr-00'!$B$4:$AD$44"}</definedName>
    <definedName name="help" localSheetId="0" hidden="1">{"'Apr-00'!$B$4:$AD$44"}</definedName>
    <definedName name="help" localSheetId="9" hidden="1">{"'Apr-00'!$B$4:$AD$44"}</definedName>
    <definedName name="help" localSheetId="11" hidden="1">{"'Apr-00'!$B$4:$AD$44"}</definedName>
    <definedName name="help" hidden="1">{"'Apr-00'!$B$4:$AD$44"}</definedName>
    <definedName name="HF">#REF!</definedName>
    <definedName name="hfgjfhutu" hidden="1">#REF!</definedName>
    <definedName name="hg" hidden="1">3</definedName>
    <definedName name="hgfhhjukyljk7" hidden="1">#REF!</definedName>
    <definedName name="hghffhftdh2" hidden="1">#REF!</definedName>
    <definedName name="hghgh" localSheetId="7">{#N/A,#N/A,TRUE,"ADVANCE SUMM.";#N/A,#N/A,TRUE,"KEITH";#N/A,#N/A,TRUE,"WES"}</definedName>
    <definedName name="hghgh" localSheetId="10" hidden="1">{#N/A,#N/A,TRUE,"ADVANCE SUMM.";#N/A,#N/A,TRUE,"KEITH";#N/A,#N/A,TRUE,"WES"}</definedName>
    <definedName name="hghgh" localSheetId="0" hidden="1">{#N/A,#N/A,TRUE,"ADVANCE SUMM.";#N/A,#N/A,TRUE,"KEITH";#N/A,#N/A,TRUE,"WES"}</definedName>
    <definedName name="hghgh" localSheetId="9" hidden="1">{#N/A,#N/A,TRUE,"ADVANCE SUMM.";#N/A,#N/A,TRUE,"KEITH";#N/A,#N/A,TRUE,"WES"}</definedName>
    <definedName name="hghgh" localSheetId="11" hidden="1">{#N/A,#N/A,TRUE,"ADVANCE SUMM.";#N/A,#N/A,TRUE,"KEITH";#N/A,#N/A,TRUE,"WES"}</definedName>
    <definedName name="hghgh" hidden="1">{#N/A,#N/A,TRUE,"ADVANCE SUMM.";#N/A,#N/A,TRUE,"KEITH";#N/A,#N/A,TRUE,"WES"}</definedName>
    <definedName name="hgkjhvdmjd" localSheetId="7">{#N/A,#N/A,FALSE,"$170M Cash";#N/A,#N/A,FALSE,"$250M Cash";#N/A,#N/A,FALSE,"$325M Cash"}</definedName>
    <definedName name="hgkjhvdmjd" localSheetId="10" hidden="1">{#N/A,#N/A,FALSE,"$170M Cash";#N/A,#N/A,FALSE,"$250M Cash";#N/A,#N/A,FALSE,"$325M Cash"}</definedName>
    <definedName name="hgkjhvdmjd" localSheetId="0" hidden="1">{#N/A,#N/A,FALSE,"$170M Cash";#N/A,#N/A,FALSE,"$250M Cash";#N/A,#N/A,FALSE,"$325M Cash"}</definedName>
    <definedName name="hgkjhvdmjd" localSheetId="9" hidden="1">{#N/A,#N/A,FALSE,"$170M Cash";#N/A,#N/A,FALSE,"$250M Cash";#N/A,#N/A,FALSE,"$325M Cash"}</definedName>
    <definedName name="hgkjhvdmjd" localSheetId="11" hidden="1">{#N/A,#N/A,FALSE,"$170M Cash";#N/A,#N/A,FALSE,"$250M Cash";#N/A,#N/A,FALSE,"$325M Cash"}</definedName>
    <definedName name="hgkjhvdmjd" hidden="1">{#N/A,#N/A,FALSE,"$170M Cash";#N/A,#N/A,FALSE,"$250M Cash";#N/A,#N/A,FALSE,"$325M Cash"}</definedName>
    <definedName name="hh">#REF!</definedName>
    <definedName name="HHcat">#REF!</definedName>
    <definedName name="HHda">#REF!</definedName>
    <definedName name="hhh">#REF!</definedName>
    <definedName name="hhhhh6" hidden="1">#REF!</definedName>
    <definedName name="hhhhhhh">#REF!</definedName>
    <definedName name="hhhhhhhhh" hidden="1">#REF!</definedName>
    <definedName name="hhhhhhhhhhhhhhhhhh">#REF!</definedName>
    <definedName name="hhn">#REF!</definedName>
    <definedName name="HHxm">#REF!</definedName>
    <definedName name="HiddenRows">#REF!</definedName>
    <definedName name="hide_area">#REF!,#REF!,#REF!,#REF!,#REF!,#REF!</definedName>
    <definedName name="HideToggle">TRUE</definedName>
    <definedName name="hien">#REF!</definedName>
    <definedName name="High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lights">#REF!</definedName>
    <definedName name="HighValue">#REF!</definedName>
    <definedName name="hjgjg" localSheetId="7">{#N/A,#N/A,TRUE,"ADVANCE SUMM.";#N/A,#N/A,TRUE,"KEITH";#N/A,#N/A,TRUE,"WES"}</definedName>
    <definedName name="hjgjg" localSheetId="10" hidden="1">{#N/A,#N/A,TRUE,"ADVANCE SUMM.";#N/A,#N/A,TRUE,"KEITH";#N/A,#N/A,TRUE,"WES"}</definedName>
    <definedName name="hjgjg" localSheetId="0" hidden="1">{#N/A,#N/A,TRUE,"ADVANCE SUMM.";#N/A,#N/A,TRUE,"KEITH";#N/A,#N/A,TRUE,"WES"}</definedName>
    <definedName name="hjgjg" localSheetId="9" hidden="1">{#N/A,#N/A,TRUE,"ADVANCE SUMM.";#N/A,#N/A,TRUE,"KEITH";#N/A,#N/A,TRUE,"WES"}</definedName>
    <definedName name="hjgjg" localSheetId="11" hidden="1">{#N/A,#N/A,TRUE,"ADVANCE SUMM.";#N/A,#N/A,TRUE,"KEITH";#N/A,#N/A,TRUE,"WES"}</definedName>
    <definedName name="hjgjg" hidden="1">{#N/A,#N/A,TRUE,"ADVANCE SUMM.";#N/A,#N/A,TRUE,"KEITH";#N/A,#N/A,TRUE,"WES"}</definedName>
    <definedName name="hjhfhfjhkjyiuyo">#N/A</definedName>
    <definedName name="HKA" hidden="1">#REF!</definedName>
    <definedName name="HLREC">#REF!</definedName>
    <definedName name="HMDS_T">#REF!</definedName>
    <definedName name="hoc">55000</definedName>
    <definedName name="hod">#REF!</definedName>
    <definedName name="holding">#REF!</definedName>
    <definedName name="HOLL">#REF!</definedName>
    <definedName name="HOLLAND">#REF!</definedName>
    <definedName name="home">#REF!</definedName>
    <definedName name="HOME_MANP">#REF!</definedName>
    <definedName name="HOMEOFFICE_COST">#REF!</definedName>
    <definedName name="homePlate">#REF!</definedName>
    <definedName name="Horn_Speaker">#REF!</definedName>
    <definedName name="houy">#REF!</definedName>
    <definedName name="HP_NOTES">#REF!</definedName>
    <definedName name="HQCODE">#REF!</definedName>
    <definedName name="HR">#REF!</definedName>
    <definedName name="HRSUBP">#REF!</definedName>
    <definedName name="hrt">#REF!</definedName>
    <definedName name="hsbc">#REF!</definedName>
    <definedName name="hsrtggaxgdaf" hidden="1">#REF!</definedName>
    <definedName name="hßm4">#REF!</definedName>
    <definedName name="HSUBB">#REF!</definedName>
    <definedName name="HSUBG">#REF!</definedName>
    <definedName name="HSUBP">#REF!</definedName>
    <definedName name="HSUBS">#REF!</definedName>
    <definedName name="hthjhjhf" hidden="1">#REF!</definedName>
    <definedName name="HTM" localSheetId="7">{"'Sample Status'!$A$1:$J$21"}</definedName>
    <definedName name="HTM" localSheetId="10" hidden="1">{"'Sample Status'!$A$1:$J$21"}</definedName>
    <definedName name="HTM" localSheetId="0" hidden="1">{"'Sample Status'!$A$1:$J$21"}</definedName>
    <definedName name="HTM" localSheetId="9" hidden="1">{"'Sample Status'!$A$1:$J$21"}</definedName>
    <definedName name="HTM" localSheetId="11" hidden="1">{"'Sample Status'!$A$1:$J$21"}</definedName>
    <definedName name="HTM" hidden="1">{"'Sample Status'!$A$1:$J$21"}</definedName>
    <definedName name="HTM_1" localSheetId="7">{"'Sample Status'!$A$1:$J$21"}</definedName>
    <definedName name="HTM_1" localSheetId="10" hidden="1">{"'Sample Status'!$A$1:$J$21"}</definedName>
    <definedName name="HTM_1" localSheetId="0" hidden="1">{"'Sample Status'!$A$1:$J$21"}</definedName>
    <definedName name="HTM_1" localSheetId="9" hidden="1">{"'Sample Status'!$A$1:$J$21"}</definedName>
    <definedName name="HTM_1" localSheetId="11" hidden="1">{"'Sample Status'!$A$1:$J$21"}</definedName>
    <definedName name="HTM_1" hidden="1">{"'Sample Status'!$A$1:$J$21"}</definedName>
    <definedName name="HTM_2" localSheetId="7">{"'Sample Status'!$A$1:$J$21"}</definedName>
    <definedName name="HTM_2" localSheetId="10" hidden="1">{"'Sample Status'!$A$1:$J$21"}</definedName>
    <definedName name="HTM_2" localSheetId="0" hidden="1">{"'Sample Status'!$A$1:$J$21"}</definedName>
    <definedName name="HTM_2" localSheetId="9" hidden="1">{"'Sample Status'!$A$1:$J$21"}</definedName>
    <definedName name="HTM_2" localSheetId="11" hidden="1">{"'Sample Status'!$A$1:$J$21"}</definedName>
    <definedName name="HTM_2" hidden="1">{"'Sample Status'!$A$1:$J$21"}</definedName>
    <definedName name="HTML" localSheetId="7">{"'Sample Status'!$A$1:$J$21"}</definedName>
    <definedName name="HTML" localSheetId="10" hidden="1">{"'Sample Status'!$A$1:$J$21"}</definedName>
    <definedName name="HTML" localSheetId="0" hidden="1">{"'Sample Status'!$A$1:$J$21"}</definedName>
    <definedName name="HTML" localSheetId="9" hidden="1">{"'Sample Status'!$A$1:$J$21"}</definedName>
    <definedName name="HTML" localSheetId="11" hidden="1">{"'Sample Status'!$A$1:$J$21"}</definedName>
    <definedName name="HTML" hidden="1">{"'Sample Status'!$A$1:$J$21"}</definedName>
    <definedName name="HTML_1" localSheetId="7">{"'Sample Status'!$A$1:$J$21"}</definedName>
    <definedName name="HTML_1" localSheetId="10" hidden="1">{"'Sample Status'!$A$1:$J$21"}</definedName>
    <definedName name="HTML_1" localSheetId="0" hidden="1">{"'Sample Status'!$A$1:$J$21"}</definedName>
    <definedName name="HTML_1" localSheetId="9" hidden="1">{"'Sample Status'!$A$1:$J$21"}</definedName>
    <definedName name="HTML_1" localSheetId="11" hidden="1">{"'Sample Status'!$A$1:$J$21"}</definedName>
    <definedName name="HTML_1" hidden="1">{"'Sample Status'!$A$1:$J$21"}</definedName>
    <definedName name="HTML_2" localSheetId="7">{"'Sample Status'!$A$1:$J$21"}</definedName>
    <definedName name="HTML_2" localSheetId="10" hidden="1">{"'Sample Status'!$A$1:$J$21"}</definedName>
    <definedName name="HTML_2" localSheetId="0" hidden="1">{"'Sample Status'!$A$1:$J$21"}</definedName>
    <definedName name="HTML_2" localSheetId="9" hidden="1">{"'Sample Status'!$A$1:$J$21"}</definedName>
    <definedName name="HTML_2" localSheetId="11" hidden="1">{"'Sample Status'!$A$1:$J$21"}</definedName>
    <definedName name="HTML_2" hidden="1">{"'Sample Status'!$A$1:$J$21"}</definedName>
    <definedName name="HTML_CodePage">1252</definedName>
    <definedName name="HTML_Control" localSheetId="7">{"'Sheet1'!$A$1:$K$31"}</definedName>
    <definedName name="HTML_Control" localSheetId="10" hidden="1">{"'Sheet1'!$A$1:$K$31"}</definedName>
    <definedName name="HTML_Control" localSheetId="0" hidden="1">{"'Sheet1'!$A$1:$K$31"}</definedName>
    <definedName name="HTML_Control" localSheetId="9" hidden="1">{"'Sheet1'!$A$1:$K$31"}</definedName>
    <definedName name="HTML_Control" localSheetId="11" hidden="1">{"'Sheet1'!$A$1:$K$31"}</definedName>
    <definedName name="HTML_Control" hidden="1">{"'Sheet1'!$A$1:$K$31"}</definedName>
    <definedName name="HTML_Control_1" localSheetId="7">{"'Sheet1'!$A$1:$K$31"}</definedName>
    <definedName name="HTML_Control_1" localSheetId="10" hidden="1">{"'Sheet1'!$A$1:$K$31"}</definedName>
    <definedName name="HTML_Control_1" localSheetId="0" hidden="1">{"'Sheet1'!$A$1:$K$31"}</definedName>
    <definedName name="HTML_Control_1" localSheetId="9" hidden="1">{"'Sheet1'!$A$1:$K$31"}</definedName>
    <definedName name="HTML_Control_1" localSheetId="11" hidden="1">{"'Sheet1'!$A$1:$K$31"}</definedName>
    <definedName name="HTML_Control_1" hidden="1">{"'Sheet1'!$A$1:$K$31"}</definedName>
    <definedName name="HTML_Control_2" localSheetId="7">{"'Sheet1'!$A$1:$K$31"}</definedName>
    <definedName name="HTML_Control_2" localSheetId="10" hidden="1">{"'Sheet1'!$A$1:$K$31"}</definedName>
    <definedName name="HTML_Control_2" localSheetId="0" hidden="1">{"'Sheet1'!$A$1:$K$31"}</definedName>
    <definedName name="HTML_Control_2" localSheetId="9" hidden="1">{"'Sheet1'!$A$1:$K$31"}</definedName>
    <definedName name="HTML_Control_2" localSheetId="11" hidden="1">{"'Sheet1'!$A$1:$K$31"}</definedName>
    <definedName name="HTML_Control_2" hidden="1">{"'Sheet1'!$A$1:$K$31"}</definedName>
    <definedName name="HTML_Control1" localSheetId="7">{"'RF Parameters Worksheet'!$A$1:$V$50"}</definedName>
    <definedName name="HTML_Control1" localSheetId="10" hidden="1">{"'RF Parameters Worksheet'!$A$1:$V$50"}</definedName>
    <definedName name="HTML_Control1" localSheetId="0" hidden="1">{"'RF Parameters Worksheet'!$A$1:$V$50"}</definedName>
    <definedName name="HTML_Control1" localSheetId="9" hidden="1">{"'RF Parameters Worksheet'!$A$1:$V$50"}</definedName>
    <definedName name="HTML_Control1" localSheetId="11" hidden="1">{"'RF Parameters Worksheet'!$A$1:$V$50"}</definedName>
    <definedName name="HTML_Control1" hidden="1">{"'RF Parameters Worksheet'!$A$1:$V$50"}</definedName>
    <definedName name="HTML_control1_1" localSheetId="7">{"'August 2000'!$A$1:$J$101"}</definedName>
    <definedName name="HTML_control1_1" localSheetId="10" hidden="1">{"'August 2000'!$A$1:$J$101"}</definedName>
    <definedName name="HTML_control1_1" localSheetId="0" hidden="1">{"'August 2000'!$A$1:$J$101"}</definedName>
    <definedName name="HTML_control1_1" localSheetId="9" hidden="1">{"'August 2000'!$A$1:$J$101"}</definedName>
    <definedName name="HTML_control1_1" localSheetId="11" hidden="1">{"'August 2000'!$A$1:$J$101"}</definedName>
    <definedName name="HTML_control1_1" hidden="1">{"'August 2000'!$A$1:$J$101"}</definedName>
    <definedName name="HTML_control1_2" localSheetId="7">{"'August 2000'!$A$1:$J$101"}</definedName>
    <definedName name="HTML_control1_2" localSheetId="10" hidden="1">{"'August 2000'!$A$1:$J$101"}</definedName>
    <definedName name="HTML_control1_2" localSheetId="0" hidden="1">{"'August 2000'!$A$1:$J$101"}</definedName>
    <definedName name="HTML_control1_2" localSheetId="9" hidden="1">{"'August 2000'!$A$1:$J$101"}</definedName>
    <definedName name="HTML_control1_2" localSheetId="11" hidden="1">{"'August 2000'!$A$1:$J$101"}</definedName>
    <definedName name="HTML_control1_2" hidden="1">{"'August 2000'!$A$1:$J$101"}</definedName>
    <definedName name="HTML_Controlb" localSheetId="7">{"'Apr-00'!$B$4:$AD$44"}</definedName>
    <definedName name="HTML_Controlb" localSheetId="10" hidden="1">{"'Apr-00'!$B$4:$AD$44"}</definedName>
    <definedName name="HTML_Controlb" localSheetId="0" hidden="1">{"'Apr-00'!$B$4:$AD$44"}</definedName>
    <definedName name="HTML_Controlb" localSheetId="9" hidden="1">{"'Apr-00'!$B$4:$AD$44"}</definedName>
    <definedName name="HTML_Controlb" localSheetId="11" hidden="1">{"'Apr-00'!$B$4:$AD$44"}</definedName>
    <definedName name="HTML_Controlb" hidden="1">{"'Apr-00'!$B$4:$AD$44"}</definedName>
    <definedName name="HTML_Description">""</definedName>
    <definedName name="HTML_Email">""</definedName>
    <definedName name="HTML_Header">"Balance Sheet"</definedName>
    <definedName name="HTML_LastUpdate">"9/16/00"</definedName>
    <definedName name="HTML_LineAfter">FALSE</definedName>
    <definedName name="HTML_LineBefore">FALSE</definedName>
    <definedName name="HTML_Name">"Motorola PC"</definedName>
    <definedName name="HTML_OBDlg2">TRUE</definedName>
    <definedName name="HTML_OBDlg3" hidden="1">TRUE</definedName>
    <definedName name="HTML_OBDlg4">TRUE</definedName>
    <definedName name="HTML_OS">0</definedName>
    <definedName name="HTML_PathFile">"C:\WINNT\Profiles\temp\Desktop\MyHTML.htm"</definedName>
    <definedName name="HTML_PathFileMac">"Macintosh HD:HomePageStuff:pc:datasets:implprem.html"</definedName>
    <definedName name="HTML_PathTemplate" hidden="1">"C:\infac\pricewth\Aug99\Page06e.htm"</definedName>
    <definedName name="HTML_Title">"MOTOROLA INDIA"</definedName>
    <definedName name="HTML1_10">""</definedName>
    <definedName name="HTML1_11">1</definedName>
    <definedName name="HTML1_12">"C:\My Documents\MyHTML.htm"</definedName>
    <definedName name="HTML1_2">1</definedName>
    <definedName name="HTML1_3">"SUMFIN"</definedName>
    <definedName name="HTML1_4">"IncStmt"</definedName>
    <definedName name="HTML1_5">""</definedName>
    <definedName name="HTML1_6">1</definedName>
    <definedName name="HTML1_7">1</definedName>
    <definedName name="HTML1_8">"3/4/97"</definedName>
    <definedName name="HTML1_9">"Brad Olsen"</definedName>
    <definedName name="html2" localSheetId="7">{"'Sample Status'!$A$1:$J$21"}</definedName>
    <definedName name="html2" localSheetId="10" hidden="1">{"'Sample Status'!$A$1:$J$21"}</definedName>
    <definedName name="html2" localSheetId="0" hidden="1">{"'Sample Status'!$A$1:$J$21"}</definedName>
    <definedName name="html2" localSheetId="9" hidden="1">{"'Sample Status'!$A$1:$J$21"}</definedName>
    <definedName name="html2" localSheetId="11" hidden="1">{"'Sample Status'!$A$1:$J$21"}</definedName>
    <definedName name="html2" hidden="1">{"'Sample Status'!$A$1:$J$21"}</definedName>
    <definedName name="html2_1" localSheetId="7">{"'Sample Status'!$A$1:$J$21"}</definedName>
    <definedName name="html2_1" localSheetId="10" hidden="1">{"'Sample Status'!$A$1:$J$21"}</definedName>
    <definedName name="html2_1" localSheetId="0" hidden="1">{"'Sample Status'!$A$1:$J$21"}</definedName>
    <definedName name="html2_1" localSheetId="9" hidden="1">{"'Sample Status'!$A$1:$J$21"}</definedName>
    <definedName name="html2_1" localSheetId="11" hidden="1">{"'Sample Status'!$A$1:$J$21"}</definedName>
    <definedName name="html2_1" hidden="1">{"'Sample Status'!$A$1:$J$21"}</definedName>
    <definedName name="html2_2" localSheetId="7">{"'Sample Status'!$A$1:$J$21"}</definedName>
    <definedName name="html2_2" localSheetId="10" hidden="1">{"'Sample Status'!$A$1:$J$21"}</definedName>
    <definedName name="html2_2" localSheetId="0" hidden="1">{"'Sample Status'!$A$1:$J$21"}</definedName>
    <definedName name="html2_2" localSheetId="9" hidden="1">{"'Sample Status'!$A$1:$J$21"}</definedName>
    <definedName name="html2_2" localSheetId="11" hidden="1">{"'Sample Status'!$A$1:$J$21"}</definedName>
    <definedName name="html2_2" hidden="1">{"'Sample Status'!$A$1:$J$21"}</definedName>
    <definedName name="HTMLCount">1</definedName>
    <definedName name="htmll2" localSheetId="7">{"'Sample Status'!$A$1:$J$21"}</definedName>
    <definedName name="htmll2" localSheetId="10" hidden="1">{"'Sample Status'!$A$1:$J$21"}</definedName>
    <definedName name="htmll2" localSheetId="0" hidden="1">{"'Sample Status'!$A$1:$J$21"}</definedName>
    <definedName name="htmll2" localSheetId="9" hidden="1">{"'Sample Status'!$A$1:$J$21"}</definedName>
    <definedName name="htmll2" localSheetId="11" hidden="1">{"'Sample Status'!$A$1:$J$21"}</definedName>
    <definedName name="htmll2" hidden="1">{"'Sample Status'!$A$1:$J$21"}</definedName>
    <definedName name="htmll2_1" localSheetId="7">{"'Sample Status'!$A$1:$J$21"}</definedName>
    <definedName name="htmll2_1" localSheetId="10" hidden="1">{"'Sample Status'!$A$1:$J$21"}</definedName>
    <definedName name="htmll2_1" localSheetId="0" hidden="1">{"'Sample Status'!$A$1:$J$21"}</definedName>
    <definedName name="htmll2_1" localSheetId="9" hidden="1">{"'Sample Status'!$A$1:$J$21"}</definedName>
    <definedName name="htmll2_1" localSheetId="11" hidden="1">{"'Sample Status'!$A$1:$J$21"}</definedName>
    <definedName name="htmll2_1" hidden="1">{"'Sample Status'!$A$1:$J$21"}</definedName>
    <definedName name="htmll2_2" localSheetId="7">{"'Sample Status'!$A$1:$J$21"}</definedName>
    <definedName name="htmll2_2" localSheetId="10" hidden="1">{"'Sample Status'!$A$1:$J$21"}</definedName>
    <definedName name="htmll2_2" localSheetId="0" hidden="1">{"'Sample Status'!$A$1:$J$21"}</definedName>
    <definedName name="htmll2_2" localSheetId="9" hidden="1">{"'Sample Status'!$A$1:$J$21"}</definedName>
    <definedName name="htmll2_2" localSheetId="11" hidden="1">{"'Sample Status'!$A$1:$J$21"}</definedName>
    <definedName name="htmll2_2" hidden="1">{"'Sample Status'!$A$1:$J$21"}</definedName>
    <definedName name="htt">#REF!</definedName>
    <definedName name="huh" localSheetId="7">{#N/A,#N/A,FALSE,"Global by BU";#N/A,#N/A,FALSE,"U.S. by BU";#N/A,#N/A,FALSE,"Canada by BU";#N/A,#N/A,FALSE,"Europe by BU";#N/A,#N/A,FALSE,"Asia by BU";#N/A,#N/A,FALSE,"Cala by BU"}</definedName>
    <definedName name="huh" localSheetId="10" hidden="1">{#N/A,#N/A,FALSE,"Global by BU";#N/A,#N/A,FALSE,"U.S. by BU";#N/A,#N/A,FALSE,"Canada by BU";#N/A,#N/A,FALSE,"Europe by BU";#N/A,#N/A,FALSE,"Asia by BU";#N/A,#N/A,FALSE,"Cala by BU"}</definedName>
    <definedName name="huh" localSheetId="0" hidden="1">{#N/A,#N/A,FALSE,"Global by BU";#N/A,#N/A,FALSE,"U.S. by BU";#N/A,#N/A,FALSE,"Canada by BU";#N/A,#N/A,FALSE,"Europe by BU";#N/A,#N/A,FALSE,"Asia by BU";#N/A,#N/A,FALSE,"Cala by BU"}</definedName>
    <definedName name="huh" localSheetId="9" hidden="1">{#N/A,#N/A,FALSE,"Global by BU";#N/A,#N/A,FALSE,"U.S. by BU";#N/A,#N/A,FALSE,"Canada by BU";#N/A,#N/A,FALSE,"Europe by BU";#N/A,#N/A,FALSE,"Asia by BU";#N/A,#N/A,FALSE,"Cala by BU"}</definedName>
    <definedName name="huh" localSheetId="11" hidden="1">{#N/A,#N/A,FALSE,"Global by BU";#N/A,#N/A,FALSE,"U.S. by BU";#N/A,#N/A,FALSE,"Canada by BU";#N/A,#N/A,FALSE,"Europe by BU";#N/A,#N/A,FALSE,"Asia by BU";#N/A,#N/A,FALSE,"Cala by BU"}</definedName>
    <definedName name="huh" hidden="1">{#N/A,#N/A,FALSE,"Global by BU";#N/A,#N/A,FALSE,"U.S. by BU";#N/A,#N/A,FALSE,"Canada by BU";#N/A,#N/A,FALSE,"Europe by BU";#N/A,#N/A,FALSE,"Asia by BU";#N/A,#N/A,FALSE,"Cala by BU"}</definedName>
    <definedName name="hui">#REF!</definedName>
    <definedName name="HUNDRED">#REF!</definedName>
    <definedName name="huy" localSheetId="7">{"'Sheet1'!$L$16"}</definedName>
    <definedName name="huy" localSheetId="10">{"'Sheet1'!$L$16"}</definedName>
    <definedName name="huy" localSheetId="0">{"'Sheet1'!$L$16"}</definedName>
    <definedName name="huy" localSheetId="9">{"'Sheet1'!$L$16"}</definedName>
    <definedName name="huy" localSheetId="11">{"'Sheet1'!$L$16"}</definedName>
    <definedName name="huy">{"'Sheet1'!$L$16"}</definedName>
    <definedName name="HWSWCOST">#REF!</definedName>
    <definedName name="HYDERABAD">#REF!</definedName>
    <definedName name="HYPERLINK">#REF!</definedName>
    <definedName name="HYPERLINL">#REF!</definedName>
    <definedName name="HYSUBB">#REF!</definedName>
    <definedName name="HYSUBG">#REF!</definedName>
    <definedName name="HYSUBP">#REF!</definedName>
    <definedName name="HYSUBS">#REF!</definedName>
    <definedName name="I">#REF!</definedName>
    <definedName name="I_1">#REF!</definedName>
    <definedName name="I234B">#REF!</definedName>
    <definedName name="I234C">#REF!</definedName>
    <definedName name="IBC">#REF!</definedName>
    <definedName name="IDCC">#REF!</definedName>
    <definedName name="IDCCM" hidden="1">#REF!</definedName>
    <definedName name="IDCD">#REF!</definedName>
    <definedName name="IDCP">#REF!</definedName>
    <definedName name="IDLAB_COST">#REF!</definedName>
    <definedName name="IDN">#REF!</definedName>
    <definedName name="idr">#REF!</definedName>
    <definedName name="ie_sca">#REF!</definedName>
    <definedName name="IFN">#REF!</definedName>
    <definedName name="IG_Loan_Non_Cash">#REF!</definedName>
    <definedName name="II">#REF!</definedName>
    <definedName name="IIfinal">#REF!</definedName>
    <definedName name="iiiiiiiiiiii" hidden="1">#REF!</definedName>
    <definedName name="iiiiiiiiiiiiii">#REF!</definedName>
    <definedName name="iiiiiiiiiiiiiiiiiiiiii">#REF!</definedName>
    <definedName name="IMCode">#REF!</definedName>
    <definedName name="Img_ML_3u4x3z5p" hidden="1">"IMG_10"</definedName>
    <definedName name="Img_ML_4d2b6f6f" hidden="1">"IMG_10"</definedName>
    <definedName name="Img_ML_5e7g5e5e" hidden="1">"IMG_10"</definedName>
    <definedName name="Img_ML_5e9i9i2b" hidden="1">"IMG_10"</definedName>
    <definedName name="Img_ML_5k8y2t3m" hidden="1">"IMG_10"</definedName>
    <definedName name="Img_ML_6d9u6u7z" hidden="1">"IMG_10"</definedName>
    <definedName name="Img_ML_7g5e5e2b" hidden="1">"IMG_2"</definedName>
    <definedName name="Img_ML_7k5v5m3i" hidden="1">"IMG_10"</definedName>
    <definedName name="Img_ML_8h5e9i3c" hidden="1">"IMG_10"</definedName>
    <definedName name="Img_ML_8h7g3c9i" hidden="1">"IMG_1"</definedName>
    <definedName name="Img_ML_8h7g4d4d" hidden="1">"IMG_10"</definedName>
    <definedName name="IMMPRO">#REF!</definedName>
    <definedName name="Import_Export_Region">#REF!</definedName>
    <definedName name="IMPORTDFF1">#REF!</definedName>
    <definedName name="in">#REF!</definedName>
    <definedName name="inc.dec_FG">#REF!</definedName>
    <definedName name="INCCOMBO">#REF!</definedName>
    <definedName name="IncDate">#REF!</definedName>
    <definedName name="incl_OS">#REF!</definedName>
    <definedName name="incl_voice">#REF!</definedName>
    <definedName name="include_commercial_provision_fee">#REF!</definedName>
    <definedName name="include_upfront_licence_cost">#REF!</definedName>
    <definedName name="Included">#REF!</definedName>
    <definedName name="IncludeDataLabels">#REF!</definedName>
    <definedName name="IncluedSeriesLabels">#REF!</definedName>
    <definedName name="income">#REF!</definedName>
    <definedName name="Income_Statement">#REF!</definedName>
    <definedName name="incomestate">#REF!</definedName>
    <definedName name="Incr_Sal">#REF!</definedName>
    <definedName name="IncStmt">#REF!</definedName>
    <definedName name="ind">#REF!</definedName>
    <definedName name="IndependentReviewer">#REF!</definedName>
    <definedName name="Index">#REF!</definedName>
    <definedName name="INDIA_PLASTIC_in_KUSD">#REF!</definedName>
    <definedName name="India_Working_days">#REF!</definedName>
    <definedName name="INDIAN_RAYON_AND_INDUSTRIES_LIMITED">"ANNX1"</definedName>
    <definedName name="INDMANP">#REF!</definedName>
    <definedName name="INDORE">#REF!</definedName>
    <definedName name="Indy_Equipment_2002">#REF!</definedName>
    <definedName name="Indy_Equipment_2002_Print">#REF!</definedName>
    <definedName name="inflation">#REF!</definedName>
    <definedName name="inflation_04_to_29">#REF!</definedName>
    <definedName name="Inflation_Index">#REF!</definedName>
    <definedName name="INGLES">#REF!</definedName>
    <definedName name="Inhalte_einfügen">#REF!</definedName>
    <definedName name="INICIO">#REF!</definedName>
    <definedName name="INPUT">#REF!</definedName>
    <definedName name="Input_Journal">#REF!</definedName>
    <definedName name="INPUT_PL_DISTRIBUTOR">#REF!</definedName>
    <definedName name="INPUT_PL_INTERGROUP">#REF!</definedName>
    <definedName name="INPUT_PL_THIRD_PARTY">#REF!</definedName>
    <definedName name="INPUT_STAFF_NUMBERS">#REF!</definedName>
    <definedName name="Inputs">#REF!</definedName>
    <definedName name="INST_INGLES">#REF!</definedName>
    <definedName name="INSURANCE00">#REF!</definedName>
    <definedName name="INSURANCE95">#REF!</definedName>
    <definedName name="INSURANCE96">#REF!</definedName>
    <definedName name="INSURANCE97">#REF!</definedName>
    <definedName name="INSURANCE98">#REF!</definedName>
    <definedName name="INSURANCE99">#REF!</definedName>
    <definedName name="Int">#REF!</definedName>
    <definedName name="INT_TL">#REF!</definedName>
    <definedName name="INT234C1">#REF!</definedName>
    <definedName name="INT234C2">#REF!</definedName>
    <definedName name="Interc_Rev_LD_Min">#REF!</definedName>
    <definedName name="Interc_Rev_Loc_Min">#REF!</definedName>
    <definedName name="Interco2">#REF!</definedName>
    <definedName name="INTERCOINV">#REF!</definedName>
    <definedName name="InterconnectIncomeStart">#REF!</definedName>
    <definedName name="InterconnectStart">#REF!</definedName>
    <definedName name="Interest">#REF!</definedName>
    <definedName name="INTEREST_L">#REF!</definedName>
    <definedName name="INTEREST_L1">#REF!</definedName>
    <definedName name="INTEREST_L2">#REF!</definedName>
    <definedName name="INTEREST_L3">#REF!</definedName>
    <definedName name="interest_on_cash">#REF!</definedName>
    <definedName name="Interest_Rate">#REF!</definedName>
    <definedName name="interest_tax">#REF!</definedName>
    <definedName name="INTEREST1">#REF!</definedName>
    <definedName name="InterExpDIY">#REF!</definedName>
    <definedName name="Interval_cutoff">#REF!</definedName>
    <definedName name="intint">#REF!</definedName>
    <definedName name="intint1">#REF!</definedName>
    <definedName name="IntroPrintArea">#REF!</definedName>
    <definedName name="intsch">#REF!</definedName>
    <definedName name="INTT_EXP">#REF!</definedName>
    <definedName name="INV">#REF!</definedName>
    <definedName name="inventories">#REF!</definedName>
    <definedName name="INVENTORY">#REF!</definedName>
    <definedName name="INVENTORY_L">#REF!</definedName>
    <definedName name="INVENTORY_L1">#REF!</definedName>
    <definedName name="INVESTMENTS">#REF!</definedName>
    <definedName name="IO" localSheetId="7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IO" localSheetId="10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IO" localSheetId="0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IO" localSheetId="9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IO" localSheetId="11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IO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IP">#REF!</definedName>
    <definedName name="ipex">#REF!,#REF!,#REF!</definedName>
    <definedName name="ipoexit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RE_ASSETS">"c1628"</definedName>
    <definedName name="IQ_AD">"c7"</definedName>
    <definedName name="IQ_ADD_PAID_IN">"c1344"</definedName>
    <definedName name="IQ_ADDIN">"AUTO"</definedName>
    <definedName name="IQ_ADDITIONAL_NON_INT_INC_FDIC" hidden="1">"c6574"</definedName>
    <definedName name="IQ_ADJ_AVG_BANK_ASSETS">"c2671"</definedName>
    <definedName name="IQ_ADJUSTABLE_RATE_LOANS_FDIC" hidden="1">"c6375"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TIONS">"c2837"</definedName>
    <definedName name="IQ_AIR_ORDERS">"c2836"</definedName>
    <definedName name="IQ_AIR_OWNED">"c2832"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ENSE_FDIC" hidden="1">"c6677"</definedName>
    <definedName name="IQ_AMORTIZATION">"c1591"</definedName>
    <definedName name="IQ_AMORTIZED_COST_FDIC" hidden="1">"c6426"</definedName>
    <definedName name="IQ_AMT_OUT">"c2145"</definedName>
    <definedName name="IQ_ANNU_DISTRIBUTION_UNIT">"c3004"</definedName>
    <definedName name="IQ_ANNUAL_DIVIDEND">"c229"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HELD_FDIC" hidden="1">"c6305"</definedName>
    <definedName name="IQ_ASSETS_OPER_LEASE_DEPR">"c2070"</definedName>
    <definedName name="IQ_ASSETS_OPER_LEASE_GROSS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TO_WRITTEN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BROKER_REC_NO_REUT">"c5315"</definedName>
    <definedName name="IQ_AVG_BROKER_REC_REUT">"c3630"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ONDRATING_FITCH">"IQ_BONDRATING_FITCH"</definedName>
    <definedName name="IQ_BONDRATING_FITCH_DATE">"c241"</definedName>
    <definedName name="IQ_BONDRATING_MOODYS">"IQ_BONDRATING_MOODYS"</definedName>
    <definedName name="IQ_BONDRATING_SP">"IQ_BONDRATING_SP"</definedName>
    <definedName name="IQ_BONDRATING_SP_DATE">"c242"</definedName>
    <definedName name="IQ_BOOK_VALUE">"IQ_BOOK_VALUE"</definedName>
    <definedName name="IQ_BROK_COMISSION">"c98"</definedName>
    <definedName name="IQ_BROK_COMMISSION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REUT">"c5471"</definedName>
    <definedName name="IQ_BV_ACT_OR_EST_THOM">"c5308"</definedName>
    <definedName name="IQ_BV_EST_REUT">"c5403"</definedName>
    <definedName name="IQ_BV_EST_THOM">"c5147"</definedName>
    <definedName name="IQ_BV_HIGH_EST_REUT">"c5405"</definedName>
    <definedName name="IQ_BV_HIGH_EST_THOM">"c5149"</definedName>
    <definedName name="IQ_BV_LOW_EST_REUT">"c5406"</definedName>
    <definedName name="IQ_BV_LOW_EST_THOM">"c5150"</definedName>
    <definedName name="IQ_BV_MEDIAN_EST_REUT">"c5404"</definedName>
    <definedName name="IQ_BV_MEDIAN_EST_THOM">"c5148"</definedName>
    <definedName name="IQ_BV_NUM_EST_REUT">"c5407"</definedName>
    <definedName name="IQ_BV_NUM_EST_THOM">"c5151"</definedName>
    <definedName name="IQ_BV_OVER_SHARES">"c1349"</definedName>
    <definedName name="IQ_BV_SHARE">"c100"</definedName>
    <definedName name="IQ_BV_SHARE_ACT_OR_EST_REUT">"c5477"</definedName>
    <definedName name="IQ_BV_SHARE_EST_REUT">"c5439"</definedName>
    <definedName name="IQ_BV_SHARE_HIGH_EST_REUT">"c5441"</definedName>
    <definedName name="IQ_BV_SHARE_LOW_EST_REUT">"c5442"</definedName>
    <definedName name="IQ_BV_SHARE_MEDIAN_EST_REUT">"c5440"</definedName>
    <definedName name="IQ_BV_SHARE_NUM_EST_REUT">"c5443"</definedName>
    <definedName name="IQ_BV_SHARE_STDDEV_EST_REUT">"c5444"</definedName>
    <definedName name="IQ_BV_STDDEV_EST_REUT">"c5408"</definedName>
    <definedName name="IQ_BV_STDDEV_EST_THOM">"c5152"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_REUT">"c6800"</definedName>
    <definedName name="IQ_CAL_Y">"c102"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FEATURE">"c2197"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ACT_OR_EST_REUT">"c5474"</definedName>
    <definedName name="IQ_CAPEX_BNK">"c110"</definedName>
    <definedName name="IQ_CAPEX_BR">"c111"</definedName>
    <definedName name="IQ_CAPEX_EST_REUT">"c3969"</definedName>
    <definedName name="IQ_CAPEX_FIN">"c112"</definedName>
    <definedName name="IQ_CAPEX_HIGH_EST_REUT">"c3971"</definedName>
    <definedName name="IQ_CAPEX_INS">"c113"</definedName>
    <definedName name="IQ_CAPEX_LOW_EST_REUT">"c3972"</definedName>
    <definedName name="IQ_CAPEX_MEDIAN_EST_REUT">"c3970"</definedName>
    <definedName name="IQ_CAPEX_NUM_EST_REUT">"c3973"</definedName>
    <definedName name="IQ_CAPEX_STDDEV_EST_REUT">"c3974"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"c1630"</definedName>
    <definedName name="IQ_CASH_CONVERSION">"c117"</definedName>
    <definedName name="IQ_CASH_DIVIDENDS_NET_INCOME_FDIC" hidden="1">"c6738"</definedName>
    <definedName name="IQ_CASH_DUE_BANKS">"c1351"</definedName>
    <definedName name="IQ_CASH_EQUIV">"c118"</definedName>
    <definedName name="IQ_CASH_FINAN">"c119"</definedName>
    <definedName name="IQ_CASH_IN_PROCESS_FDIC" hidden="1">"c6386"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CE_FDIC" hidden="1">"c6296"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ACT_OR_EST">"c2217"</definedName>
    <definedName name="IQ_CFPS_ACT_OR_EST_REUT">"c5463"</definedName>
    <definedName name="IQ_CFPS_EST">"c1667"</definedName>
    <definedName name="IQ_CFPS_EST_REUT">"c3844"</definedName>
    <definedName name="IQ_CFPS_HIGH_EST">"c1669"</definedName>
    <definedName name="IQ_CFPS_HIGH_EST_REUT">"c3846"</definedName>
    <definedName name="IQ_CFPS_LOW_EST">"c1670"</definedName>
    <definedName name="IQ_CFPS_LOW_EST_REUT">"c3847"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ED">"c2681"</definedName>
    <definedName name="IQ_CLASSA_OPTIONS_GRANTED">"c2680"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>"c1972"</definedName>
    <definedName name="IQ_CLASSB_OUTSTANDING_FILING_DATE">"c1974"</definedName>
    <definedName name="IQ_CLOSEPRICE">"c174"</definedName>
    <definedName name="IQ_CLOSEPRICE_ADJ">"c2115"</definedName>
    <definedName name="IQ_CMO_FDIC" hidden="1">"c6406"</definedName>
    <definedName name="IQ_COGS">"c175"</definedName>
    <definedName name="IQ_COLLECTION_DOMESTIC_FDIC" hidden="1">"c6387"</definedName>
    <definedName name="IQ_COMBINED_RATIO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>"c177"</definedName>
    <definedName name="IQ_COMMERCIAL_FIRE_WRITTEN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>"c179"</definedName>
    <definedName name="IQ_COMMERCIAL_RE_CONSTRUCTION_LAND_DEV_FDIC" hidden="1">"c6526"</definedName>
    <definedName name="IQ_COMMERCIAL_RE_LOANS_FDIC" hidden="1">"c6312"</definedName>
    <definedName name="IQ_COMMISS_FEES">"c180"</definedName>
    <definedName name="IQ_COMMISSION_DEF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>"c222"</definedName>
    <definedName name="IQ_CONSUMER_LOANS">"c223"</definedName>
    <definedName name="IQ_CONTRACTS_OTHER_COMMODITIES_EQUITIES._FDIC">"c6522"</definedName>
    <definedName name="IQ_CONTRACTS_OTHER_COMMODITIES_EQUITIES_FDIC" hidden="1">"c6522"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DEBT">"c224"</definedName>
    <definedName name="IQ_CONVERT_PCT">"c2537"</definedName>
    <definedName name="IQ_CONVEXITY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>"c2936"</definedName>
    <definedName name="IQ_COST_BORROWINGS">"c225"</definedName>
    <definedName name="IQ_COST_OF_FUNDING_ASSETS_FDIC" hidden="1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P">"c2495"</definedName>
    <definedName name="IQ_CP_PCT">"c2496"</definedName>
    <definedName name="IQ_CQ">5000</definedName>
    <definedName name="IQ_CREDIT_CARD_CHARGE_OFFS_FDIC" hidden="1">"c6652"</definedName>
    <definedName name="IQ_CREDIT_CARD_FEE">"c231"</definedName>
    <definedName name="IQ_CREDIT_CARD_FEE_BNK">"c231"</definedName>
    <definedName name="IQ_CREDIT_CARD_FEE_FIN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>"c232"</definedName>
    <definedName name="IQ_CREDIT_LOSS_PROVISION_NET_CHARGE_OFFS_FDIC" hidden="1">"c6734"</definedName>
    <definedName name="IQ_CUMULATIVE_SPLIT_FACTOR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>"c2074"</definedName>
    <definedName name="IQ_CURR_FOREIGN_TAXES">"c2075"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>"c321"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 hidden="1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STRIBUTABLE_CASH">"c3002"</definedName>
    <definedName name="IQ_DISTRIBUTABLE_CASH_PAYOUT">"c3005"</definedName>
    <definedName name="IQ_DISTRIBUTABLE_CASH_SHARE">"c3003"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ACT_OR_EST">"c2218"</definedName>
    <definedName name="IQ_DPS_ACT_OR_EST_REUT">"c5464"</definedName>
    <definedName name="IQ_DPS_EST">"c1674"</definedName>
    <definedName name="IQ_DPS_EST_BOTTOM_UP_REUT">"c5501"</definedName>
    <definedName name="IQ_DPS_EST_REUT">"c3851"</definedName>
    <definedName name="IQ_DPS_HIGH_EST">"c1676"</definedName>
    <definedName name="IQ_DPS_HIGH_EST_REUT">"c3853"</definedName>
    <definedName name="IQ_DPS_LOW_EST">"c1677"</definedName>
    <definedName name="IQ_DPS_LOW_EST_REUT">"c3854"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DURATION">"c2181"</definedName>
    <definedName name="IQ_EARNING_ASSET_YIELD">"c343"</definedName>
    <definedName name="IQ_EARNING_ASSETS_FDIC" hidden="1">"c6360"</definedName>
    <definedName name="IQ_EARNING_ASSETS_YIELD_FDIC" hidden="1">"c6724"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ARNINGS_ANNOUNCE_DATE_REUT">"c5314"</definedName>
    <definedName name="IQ_EARNINGS_COVERAGE_NET_CHARGE_OFFS_FDIC" hidden="1">"c6735"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ACT_OR_EST">"c2219"</definedName>
    <definedName name="IQ_EBIT_ACT_OR_EST_REUT">"c5465"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XCL_SBC">"c3082"</definedName>
    <definedName name="IQ_EBIT_GROWTH_1">"IQ_EBIT_GROWTH_1"</definedName>
    <definedName name="IQ_EBIT_GROWTH_2">"IQ_EBIT_GROWTH_2"</definedName>
    <definedName name="IQ_EBIT_HIGH_EST">"c1683"</definedName>
    <definedName name="IQ_EBIT_HIGH_EST_REUT">"c5335"</definedName>
    <definedName name="IQ_EBIT_INT">"c360"</definedName>
    <definedName name="IQ_EBIT_LOW_EST">"c1684"</definedName>
    <definedName name="IQ_EBIT_LOW_EST_REUT">"c5336"</definedName>
    <definedName name="IQ_EBIT_MARGIN">"c359"</definedName>
    <definedName name="IQ_EBIT_MEDIAN_EST">"c1682"</definedName>
    <definedName name="IQ_EBIT_MEDIAN_EST_REUT">"c5334"</definedName>
    <definedName name="IQ_EBIT_NUM_EST">"c1685"</definedName>
    <definedName name="IQ_EBIT_NUM_EST_REUT">"c5337"</definedName>
    <definedName name="IQ_EBIT_OVER_IE">"c1369"</definedName>
    <definedName name="IQ_EBIT_STDDEV_EST">"c1686"</definedName>
    <definedName name="IQ_EBIT_STDDEV_EST_REUT">"c5338"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ACT_OR_EST">"c2215"</definedName>
    <definedName name="IQ_EBITDA_ACT_OR_EST_REUT">"c5462"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GROWTH_1">"IQ_EBITDA_GROWTH_1"</definedName>
    <definedName name="IQ_EBITDA_GROWTH_2">"IQ_EBITDA_GROWTH_2"</definedName>
    <definedName name="IQ_EBITDA_HIGH_EST">"c370"</definedName>
    <definedName name="IQ_EBITDA_HIGH_EST_REUT">"c3642"</definedName>
    <definedName name="IQ_EBITDA_INT">"c373"</definedName>
    <definedName name="IQ_EBITDA_LOW_EST">"c371"</definedName>
    <definedName name="IQ_EBITDA_LOW_EST_REUT">"c3643"</definedName>
    <definedName name="IQ_EBITDA_MARGIN">"c372"</definedName>
    <definedName name="IQ_EBITDA_MEDIAN_EST">"c1663"</definedName>
    <definedName name="IQ_EBITDA_MEDIAN_EST_REUT">"c3641"</definedName>
    <definedName name="IQ_EBITDA_NO_EST">"c267"</definedName>
    <definedName name="IQ_EBITDA_NUM_EST">"c374"</definedName>
    <definedName name="IQ_EBITDA_NUM_EST_REUT">"c3644"</definedName>
    <definedName name="IQ_EBITDA_OVER_TOTAL_IE">"c1371"</definedName>
    <definedName name="IQ_EBITDA_STDDEV_EST">"c375"</definedName>
    <definedName name="IQ_EBITDA_STDDEV_EST_REUT">"c3645"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ICIENCY_RATIO">"c391"</definedName>
    <definedName name="IQ_EFFICIENCY_RATIO_FDIC" hidden="1">"c6736"</definedName>
    <definedName name="IQ_EMPLOYEES">"c392"</definedName>
    <definedName name="IQ_ENTERPRISE_VALUE">"c1348"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ACT_OR_EST_REUT">"c5460"</definedName>
    <definedName name="IQ_EPS_EST">"c399"</definedName>
    <definedName name="IQ_EPS_EST_1">"IQ_EPS_EST_1"</definedName>
    <definedName name="IQ_EPS_EST_BOTTOM_UP_REUT">"c5497"</definedName>
    <definedName name="IQ_EPS_EST_REUT">"c5453"</definedName>
    <definedName name="IQ_EPS_GW_ACT_OR_EST">"c2223"</definedName>
    <definedName name="IQ_EPS_GW_ACT_OR_EST_REUT">"c5469"</definedName>
    <definedName name="IQ_EPS_GW_EST">"c1737"</definedName>
    <definedName name="IQ_EPS_GW_EST_BOTTOM_UP_REUT">"c5499"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>"c400"</definedName>
    <definedName name="IQ_EPS_HIGH_EST_REUT">"c5454"</definedName>
    <definedName name="IQ_EPS_LOW_EST">"c401"</definedName>
    <definedName name="IQ_EPS_LOW_EST_REUT">"c5455"</definedName>
    <definedName name="IQ_EPS_MEDIAN_EST">"c1661"</definedName>
    <definedName name="IQ_EPS_MEDIAN_EST_REUT">"c5456"</definedName>
    <definedName name="IQ_EPS_NO_EST">"c271"</definedName>
    <definedName name="IQ_EPS_NORM">"c1902"</definedName>
    <definedName name="IQ_EPS_NORM_EST">"c2226"</definedName>
    <definedName name="IQ_EPS_NORM_EST_BOTTOM_UP_REUT">"c5498"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>"c402"</definedName>
    <definedName name="IQ_EPS_NUM_EST_REUT">"c5451"</definedName>
    <definedName name="IQ_EPS_REPORT_ACT_OR_EST">"c2224"</definedName>
    <definedName name="IQ_EPS_REPORT_ACT_OR_EST_REUT">"c5470"</definedName>
    <definedName name="IQ_EPS_REPORTED_EST">"c1744"</definedName>
    <definedName name="IQ_EPS_REPORTED_EST_BOTTOM_UP_REUT">"c5500"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TDDEV_EST">"c403"</definedName>
    <definedName name="IQ_EPS_STDDEV_EST_REUT">"c5452"</definedName>
    <definedName name="IQ_EQUITY_AFFIL">"c1451"</definedName>
    <definedName name="IQ_EQUITY_CAPITAL_ASSETS_FDIC" hidden="1">"c6744"</definedName>
    <definedName name="IQ_EQUITY_FDIC" hidden="1">"c6353"</definedName>
    <definedName name="IQ_EQUITY_METHOD">"c404"</definedName>
    <definedName name="IQ_EQUITY_SECURITIES_FDIC" hidden="1">"c6304"</definedName>
    <definedName name="IQ_EQUITY_SECURITY_EXPOSURES_FDIC" hidden="1">"c6664"</definedName>
    <definedName name="IQ_EQV_OVER_BV">"c1596"</definedName>
    <definedName name="IQ_EQV_OVER_LTM_PRETAX_INC">"c1390"</definedName>
    <definedName name="IQ_ESOP_DEBT">"c1597"</definedName>
    <definedName name="IQ_EST_ACT_BV_REUT">"c5409"</definedName>
    <definedName name="IQ_EST_ACT_BV_SHARE_REUT">"c5445"</definedName>
    <definedName name="IQ_EST_ACT_BV_THOM">"c5153"</definedName>
    <definedName name="IQ_EST_ACT_CAPEX_REUT">"c3975"</definedName>
    <definedName name="IQ_EST_ACT_CFPS">"c1673"</definedName>
    <definedName name="IQ_EST_ACT_CFPS_REUT">"c3850"</definedName>
    <definedName name="IQ_EST_ACT_DPS">"c1680"</definedName>
    <definedName name="IQ_EST_ACT_DPS_REUT">"c3857"</definedName>
    <definedName name="IQ_EST_ACT_EBIT">"c1687"</definedName>
    <definedName name="IQ_EST_ACT_EBIT_REUT">"c5339"</definedName>
    <definedName name="IQ_EST_ACT_EBITDA">"c1664"</definedName>
    <definedName name="IQ_EST_ACT_EBITDA_REUT">"c3836"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EPS_REUT">"c5457"</definedName>
    <definedName name="IQ_EST_ACT_FFO">"c1666"</definedName>
    <definedName name="IQ_EST_ACT_FFO_REUT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">"c1757"</definedName>
    <definedName name="IQ_EST_ACT_NAV_SHARE_REUT">"c5616"</definedName>
    <definedName name="IQ_EST_ACT_NET_DEBT_REUT">"c5446"</definedName>
    <definedName name="IQ_EST_ACT_NI">"c1722"</definedName>
    <definedName name="IQ_EST_ACT_NI_GW">"c1729"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TURN_ASSETS_REUT">"c3996"</definedName>
    <definedName name="IQ_EST_ACT_RETURN_EQUITY_REUT">"c3989"</definedName>
    <definedName name="IQ_EST_ACT_REV">"c2113"</definedName>
    <definedName name="IQ_EST_ACT_REV_REUT">"c3835"</definedName>
    <definedName name="IQ_EST_BV_DIFF_CIQ">"c4765"</definedName>
    <definedName name="IQ_EST_BV_DIFF_REUT">"c5433"</definedName>
    <definedName name="IQ_EST_BV_DIFF_THOM">"c5204"</definedName>
    <definedName name="IQ_EST_BV_SURPRISE_PERCENT_CIQ">"c4766"</definedName>
    <definedName name="IQ_EST_BV_SURPRISE_PERCENT_REUT">"c5434"</definedName>
    <definedName name="IQ_EST_BV_SURPRISE_PERCENT_THOM">"c5205"</definedName>
    <definedName name="IQ_EST_CAPEX_GROWTH_1YR_REUT">"c5447"</definedName>
    <definedName name="IQ_EST_CAPEX_GROWTH_2YR_REUT">"c5448"</definedName>
    <definedName name="IQ_EST_CAPEX_GROWTH_Q_1YR_REUT">"c5449"</definedName>
    <definedName name="IQ_EST_CAPEX_SEQ_GROWTH_Q_REUT">"c5450"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REUT">"c5437"</definedName>
    <definedName name="IQ_EST_DATE">"c1634"</definedName>
    <definedName name="IQ_EST_DATE_REUT">"c5438"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PS_DIFF">"c1864"</definedName>
    <definedName name="IQ_EST_EPS_DIFF_REUT">"c5458"</definedName>
    <definedName name="IQ_EST_EPS_GROWTH_1YR">"c1636"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_REUT">"c5495"</definedName>
    <definedName name="IQ_EST_EPS_GROWTH_5YR_HIGH">"c1657"</definedName>
    <definedName name="IQ_EST_EPS_GROWTH_5YR_HIGH_REUT">"c5322"</definedName>
    <definedName name="IQ_EST_EPS_GROWTH_5YR_LOW">"c1658"</definedName>
    <definedName name="IQ_EST_EPS_GROWTH_5YR_LOW_REUT">"c5323"</definedName>
    <definedName name="IQ_EST_EPS_GROWTH_5YR_MEDIAN">"c1656"</definedName>
    <definedName name="IQ_EST_EPS_GROWTH_5YR_MEDIAN_REUT">"c5321"</definedName>
    <definedName name="IQ_EST_EPS_GROWTH_5YR_NUM">"c1659"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REUT">"c5325"</definedName>
    <definedName name="IQ_EST_EPS_GROWTH_Q_1YR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EQ_GROWTH_Q_REUT">"c3859"</definedName>
    <definedName name="IQ_EST_EPS_SURPRISE">"c1635"</definedName>
    <definedName name="IQ_EST_EPS_SURPRISE_PERCENT">"c1635"</definedName>
    <definedName name="IQ_EST_EPS_SURPRISE_PERCENT_REUT">"c5459"</definedName>
    <definedName name="IQ_EST_FFO_DIFF">"c1869"</definedName>
    <definedName name="IQ_EST_FFO_DIFF_REUT">"c3890"</definedName>
    <definedName name="IQ_EST_FFO_DIFF_THOM" hidden="1">"c5186"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URPRISE_PERCENT">"c1870"</definedName>
    <definedName name="IQ_EST_FFO_SURPRISE_PERCENT_REUT">"c3891"</definedName>
    <definedName name="IQ_EST_FFO_SURPRISE_PERCENT_THOM" hidden="1">"c5187"</definedName>
    <definedName name="IQ_EST_FOOTNOTE_REUT">"c5478"</definedName>
    <definedName name="IQ_EST_NAV_DIFF">"c1895"</definedName>
    <definedName name="IQ_EST_NAV_SURPRISE_PERCENT">"c1896"</definedName>
    <definedName name="IQ_EST_NI_DIFF">"c1885"</definedName>
    <definedName name="IQ_EST_NI_DIFF_REUT">"c5423"</definedName>
    <definedName name="IQ_EST_NI_GW_DIFF">"c1887"</definedName>
    <definedName name="IQ_EST_NI_GW_DIFF_REUT">"c5425"</definedName>
    <definedName name="IQ_EST_NI_GW_SURPRISE_PERCENT">"c1888"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URPRISE_PERCENT">"c1886"</definedName>
    <definedName name="IQ_EST_NI_SURPRISE_PERCENT_REUT">"c5424"</definedName>
    <definedName name="IQ_EST_NUM_BUY">"c1759"</definedName>
    <definedName name="IQ_EST_NUM_BUY_CIQ">"c3700"</definedName>
    <definedName name="IQ_EST_NUM_BUY_REUT">"c3869"</definedName>
    <definedName name="IQ_EST_NUM_BUY_THOM">"c5165"</definedName>
    <definedName name="IQ_EST_NUM_HIGH_REC_REUT">"c3870"</definedName>
    <definedName name="IQ_EST_NUM_HIGHEST_REC_REUT">"c3869"</definedName>
    <definedName name="IQ_EST_NUM_HOLD">"c1761"</definedName>
    <definedName name="IQ_EST_NUM_HOLD_CIQ">"c3702"</definedName>
    <definedName name="IQ_EST_NUM_HOLD_REUT">"c3871"</definedName>
    <definedName name="IQ_EST_NUM_HOLD_THOM">"c5167"</definedName>
    <definedName name="IQ_EST_NUM_LOW_REC_REUT">"c3872"</definedName>
    <definedName name="IQ_EST_NUM_LOWEST_REC_REUT">"c3873"</definedName>
    <definedName name="IQ_EST_NUM_NEUTRAL_REC_REUT">"c3871"</definedName>
    <definedName name="IQ_EST_NUM_NO_OPINION">"c1758"</definedName>
    <definedName name="IQ_EST_NUM_NO_OPINION_REUT">"c3868"</definedName>
    <definedName name="IQ_EST_NUM_OUTPERFORM">"c1760"</definedName>
    <definedName name="IQ_EST_NUM_OUTPERFORM_CIQ">"c3701"</definedName>
    <definedName name="IQ_EST_NUM_OUTPERFORM_REUT">"c3870"</definedName>
    <definedName name="IQ_EST_NUM_OUTPERFORM_THOM">"c5166"</definedName>
    <definedName name="IQ_EST_NUM_SELL">"c1763"</definedName>
    <definedName name="IQ_EST_NUM_SELL_CIQ">"c3704"</definedName>
    <definedName name="IQ_EST_NUM_SELL_REUT">"c3873"</definedName>
    <definedName name="IQ_EST_NUM_SELL_THOM">"c5169"</definedName>
    <definedName name="IQ_EST_NUM_UNDERPERFORM">"c1762"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IMATED_ASSESSABLE_DEPOSITS_FDIC" hidden="1">"c6490"</definedName>
    <definedName name="IQ_ESTIMATED_INSURED_DEPOSITS_FDIC" hidden="1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"IQ_EV_OVER_REVENUE_EST"</definedName>
    <definedName name="IQ_EV_OVER_REVENUE_EST_1">"IQ_EV_OVER_REVENUE_EST_1"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 hidden="1">4900</definedName>
    <definedName name="IQ_EXPLORE_DRILL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>"c417"</definedName>
    <definedName name="IQ_FED_FUNDS_PURCHASED_FDIC" hidden="1">"c6343"</definedName>
    <definedName name="IQ_FED_FUNDS_SOLD_FDIC" hidden="1">"c6307"</definedName>
    <definedName name="IQ_FEDFUNDS_SOLD">"c2256"</definedName>
    <definedName name="IQ_FFO">"c1574"</definedName>
    <definedName name="IQ_FFO_ACT_OR_EST">"c2216"</definedName>
    <definedName name="IQ_FFO_EST">"c418"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>"c3837"</definedName>
    <definedName name="IQ_FFO_EST_THOM" hidden="1">"c3999"</definedName>
    <definedName name="IQ_FFO_HIGH_EST">"c419"</definedName>
    <definedName name="IQ_FFO_HIGH_EST_REUT">"c3839"</definedName>
    <definedName name="IQ_FFO_HIGH_EST_THOM" hidden="1">"c4001"</definedName>
    <definedName name="IQ_FFO_LOW_EST">"c420"</definedName>
    <definedName name="IQ_FFO_LOW_EST_REUT">"c3840"</definedName>
    <definedName name="IQ_FFO_LOW_EST_THOM" hidden="1">"c4002"</definedName>
    <definedName name="IQ_FFO_MEDIAN_EST">"c1665"</definedName>
    <definedName name="IQ_FFO_MEDIAN_EST_REUT">"c3838"</definedName>
    <definedName name="IQ_FFO_MEDIAN_EST_THOM" hidden="1">"c4000"</definedName>
    <definedName name="IQ_FFO_NO_EST">"c276"</definedName>
    <definedName name="IQ_FFO_NUM_EST">"c421"</definedName>
    <definedName name="IQ_FFO_NUM_EST_REUT">"c3841"</definedName>
    <definedName name="IQ_FFO_NUM_EST_THOM" hidden="1">"c4003"</definedName>
    <definedName name="IQ_FFO_PAYOUT_RATIO">"c3492"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TDDEV_EST">"c422"</definedName>
    <definedName name="IQ_FFO_STDDEV_EST_REUT">"c3842"</definedName>
    <definedName name="IQ_FFO_STDDEV_EST_THOM" hidden="1">"c4004"</definedName>
    <definedName name="IQ_FH">100000</definedName>
    <definedName name="IQ_FHLB_ADVANCES_FDIC" hidden="1">"c6366"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ANCING_CASH">"c1405"</definedName>
    <definedName name="IQ_FINANCING_CASH_SUPPL">"c1406"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_REUT">"c6798"</definedName>
    <definedName name="IQ_FISCAL_Y">"c441"</definedName>
    <definedName name="IQ_FISCAL_Y_EST_REUT">"c6799"</definedName>
    <definedName name="IQ_FIVE_PERCENT_AMOUNT">"c240"</definedName>
    <definedName name="IQ_FIVE_PERCENT_OWNER">"c442"</definedName>
    <definedName name="IQ_FIVE_YEAR_FIXED_AND_FLOATING_RATE_FDIC" hidden="1">"c6422"</definedName>
    <definedName name="IQ_FIVE_YEAR_MORTGAGE_PASS_THROUGHS_FDIC" hidden="1">"c6414"</definedName>
    <definedName name="IQ_FIVEPERCENT_OWNER">"c239"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>"c225"</definedName>
    <definedName name="IQ_FLOAT_PERCENT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NONTRANSACTION_ACCOUNTS_FDIC" hidden="1">"c6549"</definedName>
    <definedName name="IQ_FOREIGN_DEPOSITS_TRANSACTION_ACCOUNTS_FDIC" hidden="1">"c6541"</definedName>
    <definedName name="IQ_FOREIGN_EXCHANGE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 hidden="1">"c6517"</definedName>
    <definedName name="IQ_FX_CONTRACTS_SPOT_FDIC" hidden="1">"c6356"</definedName>
    <definedName name="IQ_FY">1000</definedName>
    <definedName name="IQ_FY_DATE">"IQ_FY_DATE"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C_BNK">"c488"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ELD_MATURITY_FDIC" hidden="1">"c6408"</definedName>
    <definedName name="IQ_HIGH_TARGET_PRICE">"c1651"</definedName>
    <definedName name="IQ_HIGH_TARGET_PRICE_REUT">"c5317"</definedName>
    <definedName name="IQ_HIGHPRICE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>"c547"</definedName>
    <definedName name="IQ_IMPAIRMENT_GW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>"c3601"</definedName>
    <definedName name="IQ_INDUSTRY_GROUP">"c3602"</definedName>
    <definedName name="IQ_INDUSTRY_SECTOR">"c3603"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AMOUNT">"c238"</definedName>
    <definedName name="IQ_INSIDER_LOANS_FDIC" hidden="1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AMOUNT">"c236"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UNDERWRITING_INCOME_FDIC" hidden="1">"c6671"</definedName>
    <definedName name="IQ_INT_BORROW">"c583"</definedName>
    <definedName name="IQ_INT_DEMAND_NOTES_FDIC" hidden="1">"c6567"</definedName>
    <definedName name="IQ_INT_DEPOSITS">"c584"</definedName>
    <definedName name="IQ_INT_DIV_INC">"c585"</definedName>
    <definedName name="IQ_INT_DOMESTIC_DEPOSITS_FDIC" hidden="1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TOTAL_FDIC" hidden="1">"c6569"</definedName>
    <definedName name="IQ_INT_EXP_UTI">"c592"</definedName>
    <definedName name="IQ_INT_FED_FUNDS_FDIC" hidden="1">"c6566"</definedName>
    <definedName name="IQ_INT_FOREIGN_DEPOSITS_FDIC" hidden="1">"c6565"</definedName>
    <definedName name="IQ_INT_INC_BR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IT">"c597"</definedName>
    <definedName name="IQ_INT_INC_SECURITIES_FDIC" hidden="1">"c6559"</definedName>
    <definedName name="IQ_INT_INC_TOTAL">"c598"</definedName>
    <definedName name="IQ_INT_INC_TOTAL_FDIC" hidden="1">"c6563"</definedName>
    <definedName name="IQ_INT_INC_TRADING_ACCOUNTS_FDIC" hidden="1">"c6560"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 hidden="1">"c6568"</definedName>
    <definedName name="IQ_INTANGIBLES_NET">"c1407"</definedName>
    <definedName name="IQ_INTEL_EPS_EST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TEREST_LT_DEBT">"c2086"</definedName>
    <definedName name="IQ_INTEREST_RATE_CONTRACTS_FDIC" hidden="1">"c6512"</definedName>
    <definedName name="IQ_INTEREST_RATE_EXPOSURES_FDIC" hidden="1">"c6662"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 hidden="1">"c6666"</definedName>
    <definedName name="IQ_IPRD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 hidden="1">"c6404"</definedName>
    <definedName name="IQ_ISSUER">"c2143"</definedName>
    <definedName name="IQ_ISSUER_PARENT">"c2144"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>"1"</definedName>
    <definedName name="IQ_LATESTK">1000</definedName>
    <definedName name="IQ_LATESTKFR">"100"</definedName>
    <definedName name="IQ_LATESTQ">500</definedName>
    <definedName name="IQ_LATESTQFR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H_STATUTORY_SURPLUS">"c2771"</definedName>
    <definedName name="IQ_LICENSED_POPS">"c2123"</definedName>
    <definedName name="IQ_LIFE_EARNED">"c2739"</definedName>
    <definedName name="IQ_LIFE_INSURANCE_ASSETS_FDIC" hidden="1">"c6372"</definedName>
    <definedName name="IQ_LIFOR">"c655"</definedName>
    <definedName name="IQ_LL">"c656"</definedName>
    <definedName name="IQ_LOAN_COMMITMENTS_REVOLVING_FDIC" hidden="1">"c6524"</definedName>
    <definedName name="IQ_LOAN_LEASE_RECEIV">"c657"</definedName>
    <definedName name="IQ_LOAN_LOSS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>"c658"</definedName>
    <definedName name="IQ_LOANS_AND_LEASES_HELD_FDIC" hidden="1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DEPOSITORY_INSTITUTIONS_FDIC" hidden="1">"c6382"</definedName>
    <definedName name="IQ_LOANS_FOR_SALE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 hidden="1">"c6739"</definedName>
    <definedName name="IQ_LOSS_LOSS_EXP">"c672"</definedName>
    <definedName name="IQ_LOSS_TO_NET_EARNED">"c2751"</definedName>
    <definedName name="IQ_LOW_TARGET_PRICE">"c1652"</definedName>
    <definedName name="IQ_LOW_TARGET_PRICE_REUT">"c5318"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MONTH">120000</definedName>
    <definedName name="IQ_MACHINERY">"c711"</definedName>
    <definedName name="IQ_MACRO_SURVEY_CONSUMER_SENTIMENT">"c20808"</definedName>
    <definedName name="IQ_MAINT_CAPEX">"c2947"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ARKTCAP">"c258"</definedName>
    <definedName name="IQ_MATURITY_DATE">"c2146"</definedName>
    <definedName name="IQ_MATURITY_ONE_YEAR_LESS_FDIC" hidden="1">"c6425"</definedName>
    <definedName name="IQ_MC_RATIO">"c2783"</definedName>
    <definedName name="IQ_MC_STATUTORY_SURPLUS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>"c1650"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REUT">"c4048"</definedName>
    <definedName name="IQ_MM_ACCOUNT">"c743"</definedName>
    <definedName name="IQ_MONEY_MARKET_DEPOSIT_ACCOUNTS_FDIC" hidden="1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SERV_RIGHTS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>40693.5985069444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_REUT">"c5623"</definedName>
    <definedName name="IQ_NAV_SHARE_EST_REUT">"c5617"</definedName>
    <definedName name="IQ_NAV_SHARE_HIGH_EST_REUT">"c5620"</definedName>
    <definedName name="IQ_NAV_SHARE_LOW_EST_REUT">"c5621"</definedName>
    <definedName name="IQ_NAV_SHARE_MEDIAN_EST_REUT">"c5618"</definedName>
    <definedName name="IQ_NAV_SHARE_NUM_EST_REUT">"c5622"</definedName>
    <definedName name="IQ_NAV_SHARE_STDDEV_EST_REUT">"c5619"</definedName>
    <definedName name="IQ_NAV_STDDEV_EST">"c1756"</definedName>
    <definedName name="IQ_NET_CHANGE">"c749"</definedName>
    <definedName name="IQ_NET_CHARGE_OFFS_FDIC" hidden="1">"c6641"</definedName>
    <definedName name="IQ_NET_CHARGE_OFFS_LOANS_FDIC" hidden="1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_REUT">"c5473"</definedName>
    <definedName name="IQ_NET_DEBT_EBITDA">"c750"</definedName>
    <definedName name="IQ_NET_DEBT_EBITDA_CAPEX">"c2949"</definedName>
    <definedName name="IQ_NET_DEBT_EST_REUT">"c3976"</definedName>
    <definedName name="IQ_NET_DEBT_HIGH_EST_REUT">"c3978"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DEBT_LOW_EST_REUT">"c3979"</definedName>
    <definedName name="IQ_NET_DEBT_MEDIAN_EST_REUT">"c3977"</definedName>
    <definedName name="IQ_NET_DEBT_NUM_EST_REUT">"c3980"</definedName>
    <definedName name="IQ_NET_DEBT_STDDEV_EST_REUT">"c3981"</definedName>
    <definedName name="IQ_NET_EARNED">"c2734"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"IQ_NET_INC_GROWTH_1"</definedName>
    <definedName name="IQ_NET_INC_GROWTH_2">"IQ_NET_INC_GROWTH_2"</definedName>
    <definedName name="IQ_NET_INC_MARGIN">"c1398"</definedName>
    <definedName name="IQ_NET_INCOME_FDIC" hidden="1">"c6587"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NK_FDIC" hidden="1">"c6570"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 hidden="1">"c6726"</definedName>
    <definedName name="IQ_NET_LIFE_INS_IN_FORCE">"c2769"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OPERATING_INCOME_ASSETS_FDIC" hidden="1">"c6729"</definedName>
    <definedName name="IQ_NET_RENTAL_EXP_FN">"c780"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CT_OR_EST">"c2222"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EST_REUT">"c5368"</definedName>
    <definedName name="IQ_NI_GW_EST">"c1723"</definedName>
    <definedName name="IQ_NI_GW_EST_REUT">"c5375"</definedName>
    <definedName name="IQ_NI_GW_HIGH_EST">"c1725"</definedName>
    <definedName name="IQ_NI_GW_HIGH_EST_REUT">"c5377"</definedName>
    <definedName name="IQ_NI_GW_LOW_EST">"c1726"</definedName>
    <definedName name="IQ_NI_GW_LOW_EST_REUT">"c5378"</definedName>
    <definedName name="IQ_NI_GW_MEDIAN_EST">"c1724"</definedName>
    <definedName name="IQ_NI_GW_MEDIAN_EST_REUT">"c5376"</definedName>
    <definedName name="IQ_NI_GW_NUM_EST">"c1727"</definedName>
    <definedName name="IQ_NI_GW_NUM_EST_REUT">"c5379"</definedName>
    <definedName name="IQ_NI_GW_STDDEV_EST">"c1728"</definedName>
    <definedName name="IQ_NI_GW_STDDEV_EST_REUT">"c5380"</definedName>
    <definedName name="IQ_NI_HIGH_EST">"c1718"</definedName>
    <definedName name="IQ_NI_HIGH_EST_REUT">"c5370"</definedName>
    <definedName name="IQ_NI_LOW_EST">"c1719"</definedName>
    <definedName name="IQ_NI_LOW_EST_REUT">"c5371"</definedName>
    <definedName name="IQ_NI_MARGIN">"c794"</definedName>
    <definedName name="IQ_NI_MEDIAN_EST">"c1717"</definedName>
    <definedName name="IQ_NI_MEDIAN_EST_REUT">"c5369"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FAS">"c795"</definedName>
    <definedName name="IQ_NI_STDDEV_EST">"c1721"</definedName>
    <definedName name="IQ_NI_STDDEV_EST_REUT">"c5373"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EXP_FDIC" hidden="1">"c6579"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_INC_FDIC" hidden="1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>"c2550"</definedName>
    <definedName name="IQ_NONRECOURSE_DEBT_PCT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>"c2089"</definedName>
    <definedName name="IQ_NORM_EPS_ACT_OR_EST">"c2249"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OFFICES">"c2088"</definedName>
    <definedName name="IQ_NUMBER_ADRHOLDERS">"c1970"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OBLIGATIONS_OF_STATES_TOTAL_LOANS_FOREIGN_FDIC" hidden="1">"c6447"</definedName>
    <definedName name="IQ_OBLIGATIONS_STATES_FDIC" hidden="1">"c6431"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PROD_GAS">"c2910"</definedName>
    <definedName name="IQ_OG_AVG_DAILY_PROD_NGL">"c2911"</definedName>
    <definedName name="IQ_OG_AVG_DAILY_PROD_OIL">"c2909"</definedName>
    <definedName name="IQ_OG_CLOSE_BALANCE_GAS">"c2049"</definedName>
    <definedName name="IQ_OG_CLOSE_BALANCE_NGL">"c2920"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VISIONS_GAS">"c2042"</definedName>
    <definedName name="IQ_OG_REVISIONS_NGL">"c2913"</definedName>
    <definedName name="IQ_OG_REVISIONS_OIL">"c2030"</definedName>
    <definedName name="IQ_OG_SALES_IN_PLACE_GAS">"c2046"</definedName>
    <definedName name="IQ_OG_SALES_IN_PLACE_NGL">"c2917"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UNRECOG_PRIOR">"c3320"</definedName>
    <definedName name="IQ_OPEB_UNRECOG_PRIOR_DOM">"c3318"</definedName>
    <definedName name="IQ_OPEB_UNRECOG_PRIOR_FOREIGN">"c3319"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REUT">"c5466"</definedName>
    <definedName name="IQ_OPER_INC_BR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"c1448"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 hidden="1">"c6338"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BORROWED_FUNDS_FDIC" hidden="1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 hidden="1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OANS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 hidden="1">"c6578"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ED">"c2688"</definedName>
    <definedName name="IQ_OTHER_OPTIONS_GRANTED">"c2687"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SAVINGS_DEPOSITS_FDIC" hidden="1">"c6554"</definedName>
    <definedName name="IQ_OTHER_STRIKE_PRICE_GRANTED">"c2692"</definedName>
    <definedName name="IQ_OTHER_TRANSACTIONS_FDIC" hidden="1">"c6504"</definedName>
    <definedName name="IQ_OTHER_UNDRAWN">"c2522"</definedName>
    <definedName name="IQ_OTHER_UNUSED_COMMITMENTS_FDIC" hidden="1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"c2127"</definedName>
    <definedName name="IQ_OUTSTANDING_FILING_DATE_TOTAL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>"c2160"</definedName>
    <definedName name="IQ_PART_TIME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REUT">"c4052"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REUT">"c3959"</definedName>
    <definedName name="IQ_PERCENT_CHANGE_EST_5YR_GROWTH_RATE_18MONTHS">"c1853"</definedName>
    <definedName name="IQ_PERCENT_CHANGE_EST_5YR_GROWTH_RATE_18MONTHS_REUT">"c3960"</definedName>
    <definedName name="IQ_PERCENT_CHANGE_EST_5YR_GROWTH_RATE_3MONTHS">"c1849"</definedName>
    <definedName name="IQ_PERCENT_CHANGE_EST_5YR_GROWTH_RATE_3MONTHS_REUT">"c3956"</definedName>
    <definedName name="IQ_PERCENT_CHANGE_EST_5YR_GROWTH_RATE_6MONTHS">"c1850"</definedName>
    <definedName name="IQ_PERCENT_CHANGE_EST_5YR_GROWTH_RATE_6MONTHS_REUT">"c3957"</definedName>
    <definedName name="IQ_PERCENT_CHANGE_EST_5YR_GROWTH_RATE_9MONTHS">"c1851"</definedName>
    <definedName name="IQ_PERCENT_CHANGE_EST_5YR_GROWTH_RATE_9MONTHS_REUT">"c3958"</definedName>
    <definedName name="IQ_PERCENT_CHANGE_EST_5YR_GROWTH_RATE_DAY">"c1846"</definedName>
    <definedName name="IQ_PERCENT_CHANGE_EST_5YR_GROWTH_RATE_DAY_REUT">"c3954"</definedName>
    <definedName name="IQ_PERCENT_CHANGE_EST_5YR_GROWTH_RATE_MONTH">"c1848"</definedName>
    <definedName name="IQ_PERCENT_CHANGE_EST_5YR_GROWTH_RATE_MONTH_REUT">"c3955"</definedName>
    <definedName name="IQ_PERCENT_CHANGE_EST_5YR_GROWTH_RATE_WEEK">"c1847"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REUT">"c3917"</definedName>
    <definedName name="IQ_PERCENT_CHANGE_EST_EBITDA_18MONTHS">"c1805"</definedName>
    <definedName name="IQ_PERCENT_CHANGE_EST_EBITDA_18MONTHS_REUT">"c3918"</definedName>
    <definedName name="IQ_PERCENT_CHANGE_EST_EBITDA_3MONTHS">"c1801"</definedName>
    <definedName name="IQ_PERCENT_CHANGE_EST_EBITDA_3MONTHS_REUT">"c3914"</definedName>
    <definedName name="IQ_PERCENT_CHANGE_EST_EBITDA_6MONTHS">"c1802"</definedName>
    <definedName name="IQ_PERCENT_CHANGE_EST_EBITDA_6MONTHS_REUT">"c3915"</definedName>
    <definedName name="IQ_PERCENT_CHANGE_EST_EBITDA_9MONTHS">"c1803"</definedName>
    <definedName name="IQ_PERCENT_CHANGE_EST_EBITDA_9MONTHS_REUT">"c3916"</definedName>
    <definedName name="IQ_PERCENT_CHANGE_EST_EBITDA_DAY">"c1798"</definedName>
    <definedName name="IQ_PERCENT_CHANGE_EST_EBITDA_DAY_REUT">"c3912"</definedName>
    <definedName name="IQ_PERCENT_CHANGE_EST_EBITDA_MONTH">"c1800"</definedName>
    <definedName name="IQ_PERCENT_CHANGE_EST_EBITDA_MONTH_REUT">"c3913"</definedName>
    <definedName name="IQ_PERCENT_CHANGE_EST_EBITDA_WEEK">"c1799"</definedName>
    <definedName name="IQ_PERCENT_CHANGE_EST_EBITDA_WEEK_REUT">"c3961"</definedName>
    <definedName name="IQ_PERCENT_CHANGE_EST_EPS_12MONTHS">"c1788"</definedName>
    <definedName name="IQ_PERCENT_CHANGE_EST_EPS_12MONTHS_REUT">"c3902"</definedName>
    <definedName name="IQ_PERCENT_CHANGE_EST_EPS_18MONTHS">"c1789"</definedName>
    <definedName name="IQ_PERCENT_CHANGE_EST_EPS_18MONTHS_REUT">"c3903"</definedName>
    <definedName name="IQ_PERCENT_CHANGE_EST_EPS_3MONTHS">"c1785"</definedName>
    <definedName name="IQ_PERCENT_CHANGE_EST_EPS_3MONTHS_REUT">"c3899"</definedName>
    <definedName name="IQ_PERCENT_CHANGE_EST_EPS_6MONTHS">"c1786"</definedName>
    <definedName name="IQ_PERCENT_CHANGE_EST_EPS_6MONTHS_REUT">"c3900"</definedName>
    <definedName name="IQ_PERCENT_CHANGE_EST_EPS_9MONTHS">"c1787"</definedName>
    <definedName name="IQ_PERCENT_CHANGE_EST_EPS_9MONTHS_REUT">"c3901"</definedName>
    <definedName name="IQ_PERCENT_CHANGE_EST_EPS_DAY">"c1782"</definedName>
    <definedName name="IQ_PERCENT_CHANGE_EST_EPS_DAY_REUT">"c3896"</definedName>
    <definedName name="IQ_PERCENT_CHANGE_EST_EPS_MONTH">"c1784"</definedName>
    <definedName name="IQ_PERCENT_CHANGE_EST_EPS_MONTH_REUT">"c3898"</definedName>
    <definedName name="IQ_PERCENT_CHANGE_EST_EPS_WEEK">"c1783"</definedName>
    <definedName name="IQ_PERCENT_CHANGE_EST_EPS_WEEK_REUT">"c3897"</definedName>
    <definedName name="IQ_PERCENT_CHANGE_EST_FFO_12MONTHS">"c1828"</definedName>
    <definedName name="IQ_PERCENT_CHANGE_EST_FFO_12MONTHS_REUT">"c3938"</definedName>
    <definedName name="IQ_PERCENT_CHANGE_EST_FFO_12MONTHS_THOM" hidden="1">"c5248"</definedName>
    <definedName name="IQ_PERCENT_CHANGE_EST_FFO_18MONTHS">"c1829"</definedName>
    <definedName name="IQ_PERCENT_CHANGE_EST_FFO_18MONTHS_REUT">"c3939"</definedName>
    <definedName name="IQ_PERCENT_CHANGE_EST_FFO_18MONTHS_THOM" hidden="1">"c5249"</definedName>
    <definedName name="IQ_PERCENT_CHANGE_EST_FFO_3MONTHS">"c1825"</definedName>
    <definedName name="IQ_PERCENT_CHANGE_EST_FFO_3MONTHS_REUT">"c3935"</definedName>
    <definedName name="IQ_PERCENT_CHANGE_EST_FFO_3MONTHS_THOM" hidden="1">"c5245"</definedName>
    <definedName name="IQ_PERCENT_CHANGE_EST_FFO_6MONTHS">"c1826"</definedName>
    <definedName name="IQ_PERCENT_CHANGE_EST_FFO_6MONTHS_REUT">"c3936"</definedName>
    <definedName name="IQ_PERCENT_CHANGE_EST_FFO_6MONTHS_THOM" hidden="1">"c5246"</definedName>
    <definedName name="IQ_PERCENT_CHANGE_EST_FFO_9MONTHS">"c1827"</definedName>
    <definedName name="IQ_PERCENT_CHANGE_EST_FFO_9MONTHS_REUT">"c3937"</definedName>
    <definedName name="IQ_PERCENT_CHANGE_EST_FFO_9MONTHS_THOM" hidden="1">"c5247"</definedName>
    <definedName name="IQ_PERCENT_CHANGE_EST_FFO_DAY">"c1822"</definedName>
    <definedName name="IQ_PERCENT_CHANGE_EST_FFO_DAY_REUT">"c3933"</definedName>
    <definedName name="IQ_PERCENT_CHANGE_EST_FFO_DAY_THOM" hidden="1">"c5243"</definedName>
    <definedName name="IQ_PERCENT_CHANGE_EST_FFO_MONTH">"c1824"</definedName>
    <definedName name="IQ_PERCENT_CHANGE_EST_FFO_MONTH_REUT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REUT" hidden="1">"c3964"</definedName>
    <definedName name="IQ_PERCENT_CHANGE_EST_FFO_SHARE_SHARE_WEEK_THOM" hidden="1">"c5274"</definedName>
    <definedName name="IQ_PERCENT_CHANGE_EST_FFO_WEEK">"c1823"</definedName>
    <definedName name="IQ_PERCENT_CHANGE_EST_FFO_WEEK_REUT">"c3964"</definedName>
    <definedName name="IQ_PERCENT_CHANGE_EST_FFO_WEEK_THOM" hidden="1">"c5274"</definedName>
    <definedName name="IQ_PERCENT_CHANGE_EST_PRICE_TARGET_12MONTHS">"c1844"</definedName>
    <definedName name="IQ_PERCENT_CHANGE_EST_PRICE_TARGET_12MONTHS_REUT">"c3952"</definedName>
    <definedName name="IQ_PERCENT_CHANGE_EST_PRICE_TARGET_18MONTHS">"c1845"</definedName>
    <definedName name="IQ_PERCENT_CHANGE_EST_PRICE_TARGET_18MONTHS_REUT">"c3953"</definedName>
    <definedName name="IQ_PERCENT_CHANGE_EST_PRICE_TARGET_3MONTHS">"c1841"</definedName>
    <definedName name="IQ_PERCENT_CHANGE_EST_PRICE_TARGET_3MONTHS_REUT">"c3949"</definedName>
    <definedName name="IQ_PERCENT_CHANGE_EST_PRICE_TARGET_6MONTHS">"c1842"</definedName>
    <definedName name="IQ_PERCENT_CHANGE_EST_PRICE_TARGET_6MONTHS_REUT">"c3950"</definedName>
    <definedName name="IQ_PERCENT_CHANGE_EST_PRICE_TARGET_9MONTHS">"c1843"</definedName>
    <definedName name="IQ_PERCENT_CHANGE_EST_PRICE_TARGET_9MONTHS_REUT">"c3951"</definedName>
    <definedName name="IQ_PERCENT_CHANGE_EST_PRICE_TARGET_DAY">"c1838"</definedName>
    <definedName name="IQ_PERCENT_CHANGE_EST_PRICE_TARGET_DAY_REUT">"c3947"</definedName>
    <definedName name="IQ_PERCENT_CHANGE_EST_PRICE_TARGET_MONTH">"c1840"</definedName>
    <definedName name="IQ_PERCENT_CHANGE_EST_PRICE_TARGET_MONTH_REUT">"c3948"</definedName>
    <definedName name="IQ_PERCENT_CHANGE_EST_PRICE_TARGET_WEEK">"c1839"</definedName>
    <definedName name="IQ_PERCENT_CHANGE_EST_PRICE_TARGET_WEEK_REUT">"c3967"</definedName>
    <definedName name="IQ_PERCENT_CHANGE_EST_RECO_12MONTHS">"c1836"</definedName>
    <definedName name="IQ_PERCENT_CHANGE_EST_RECO_12MONTHS_REUT">"c3945"</definedName>
    <definedName name="IQ_PERCENT_CHANGE_EST_RECO_18MONTHS">"c1837"</definedName>
    <definedName name="IQ_PERCENT_CHANGE_EST_RECO_18MONTHS_REUT">"c3946"</definedName>
    <definedName name="IQ_PERCENT_CHANGE_EST_RECO_3MONTHS">"c1833"</definedName>
    <definedName name="IQ_PERCENT_CHANGE_EST_RECO_3MONTHS_REUT">"c3942"</definedName>
    <definedName name="IQ_PERCENT_CHANGE_EST_RECO_6MONTHS">"c1834"</definedName>
    <definedName name="IQ_PERCENT_CHANGE_EST_RECO_6MONTHS_REUT">"c3943"</definedName>
    <definedName name="IQ_PERCENT_CHANGE_EST_RECO_9MONTHS">"c1835"</definedName>
    <definedName name="IQ_PERCENT_CHANGE_EST_RECO_9MONTHS_REUT">"c3944"</definedName>
    <definedName name="IQ_PERCENT_CHANGE_EST_RECO_DAY">"c1830"</definedName>
    <definedName name="IQ_PERCENT_CHANGE_EST_RECO_DAY_REUT">"c3940"</definedName>
    <definedName name="IQ_PERCENT_CHANGE_EST_RECO_MONTH">"c1832"</definedName>
    <definedName name="IQ_PERCENT_CHANGE_EST_RECO_MONTH_REUT">"c3941"</definedName>
    <definedName name="IQ_PERCENT_CHANGE_EST_RECO_WEEK">"c1831"</definedName>
    <definedName name="IQ_PERCENT_CHANGE_EST_RECO_WEEK_REUT">"c3965"</definedName>
    <definedName name="IQ_PERCENT_CHANGE_EST_REV_12MONTHS">"c1796"</definedName>
    <definedName name="IQ_PERCENT_CHANGE_EST_REV_12MONTHS_REUT">"c3910"</definedName>
    <definedName name="IQ_PERCENT_CHANGE_EST_REV_18MONTHS">"c1797"</definedName>
    <definedName name="IQ_PERCENT_CHANGE_EST_REV_18MONTHS_REUT">"c3911"</definedName>
    <definedName name="IQ_PERCENT_CHANGE_EST_REV_3MONTHS">"c1793"</definedName>
    <definedName name="IQ_PERCENT_CHANGE_EST_REV_3MONTHS_REUT">"c3907"</definedName>
    <definedName name="IQ_PERCENT_CHANGE_EST_REV_6MONTHS">"c1794"</definedName>
    <definedName name="IQ_PERCENT_CHANGE_EST_REV_6MONTHS_REUT">"c3908"</definedName>
    <definedName name="IQ_PERCENT_CHANGE_EST_REV_9MONTHS">"c1795"</definedName>
    <definedName name="IQ_PERCENT_CHANGE_EST_REV_9MONTHS_REUT">"c3909"</definedName>
    <definedName name="IQ_PERCENT_CHANGE_EST_REV_DAY">"c1790"</definedName>
    <definedName name="IQ_PERCENT_CHANGE_EST_REV_DAY_REUT">"c3904"</definedName>
    <definedName name="IQ_PERCENT_CHANGE_EST_REV_MONTH">"c1792"</definedName>
    <definedName name="IQ_PERCENT_CHANGE_EST_REV_MONTH_REUT">"c3906"</definedName>
    <definedName name="IQ_PERCENT_CHANGE_EST_REV_WEEK">"c1791"</definedName>
    <definedName name="IQ_PERCENT_CHANGE_EST_REV_WEEK_REUT">"c3905"</definedName>
    <definedName name="IQ_PERCENT_FLOAT">"c227"</definedName>
    <definedName name="IQ_PERCENT_INSURED_FDIC" hidden="1">"c6374"</definedName>
    <definedName name="IQ_PERIODDATE">"c1414"</definedName>
    <definedName name="IQ_PERIODDATE_BS">"c1032"</definedName>
    <definedName name="IQ_PERIODDATE_CF">"c1033"</definedName>
    <definedName name="IQ_PERIODDATE_FDIC" hidden="1">"c13646"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EDGED_SECURITIES_FDIC" hidden="1">"c6401"</definedName>
    <definedName name="IQ_PLL">"c2114"</definedName>
    <definedName name="IQ_PMT_FREQ">"c2236"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REUT">"c3968"</definedName>
    <definedName name="IQ_PRE_OPEN_COST">"c1040"</definedName>
    <definedName name="IQ_PRE_TAX_ACT_OR_EST">"c2221"</definedName>
    <definedName name="IQ_PRE_TAX_ACT_OR_EST_REUT">"c5467"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 hidden="1">"c6349"</definedName>
    <definedName name="IQ_PREMISES_EQUIPMENT_FDIC" hidden="1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 hidden="1">"c6731"</definedName>
    <definedName name="IQ_PRICE_CFPS_FWD">"c2237"</definedName>
    <definedName name="IQ_PRICE_CFPS_FWD_REUT">"c4053"</definedName>
    <definedName name="IQ_PRICE_OVER_BVPS">"c1412"</definedName>
    <definedName name="IQ_PRICE_OVER_EPS_EST">"IQ_PRICE_OVER_EPS_EST"</definedName>
    <definedName name="IQ_PRICE_OVER_EPS_EST_1">"IQ_PRICE_OVER_EPS_EST_1"</definedName>
    <definedName name="IQ_PRICE_OVER_LTM_EPS">"c1413"</definedName>
    <definedName name="IQ_PRICE_TARGET">"c82"</definedName>
    <definedName name="IQ_PRICE_TARGET_BOTTOM_UP_REUT">"c5494"</definedName>
    <definedName name="IQ_PRICE_TARGET_REUT">"c3631"</definedName>
    <definedName name="IQ_PRICEDATE">"c1069"</definedName>
    <definedName name="IQ_PRICEDATETIME">"IQ_PRICEDATETIME"</definedName>
    <definedName name="IQ_PRICING_DATE">"c1613"</definedName>
    <definedName name="IQ_PRIMARY_EPS_TYPE_REUT">"c5481"</definedName>
    <definedName name="IQ_PRIMARY_EPS_TYPE_THOM">"c5297"</definedName>
    <definedName name="IQ_PRIMARY_INDUSTRY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>"c1093"</definedName>
    <definedName name="IQ_REAL_ESTATE_ASSETS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 hidden="1">"c6320"</definedName>
    <definedName name="IQ_RENTAL_REV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VG_STORE_SIZE_GROSS">"c2066"</definedName>
    <definedName name="IQ_RETAIL_AVG_STORE_SIZE_NET">"c2067"</definedName>
    <definedName name="IQ_RETAIL_AVG_WK_SALES">"c2891"</definedName>
    <definedName name="IQ_RETAIL_AVG_WK_SALES_FRANCHISE">"c2899"</definedName>
    <definedName name="IQ_RETAIL_AVG_WK_SALES_OWNED">"c2907"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OPENED_FRANCHISE_STORES">"c2894"</definedName>
    <definedName name="IQ_RETAIL_OPENED_OWNED_STORES">"c2902"</definedName>
    <definedName name="IQ_RETAIL_OPENED_STORES">"c2062"</definedName>
    <definedName name="IQ_RETAIL_OWNED_STORES_BEG">"c2901"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FRANCHISE_STORES">"c2898"</definedName>
    <definedName name="IQ_RETAIL_TOTAL_OWNED_STORES">"c2906"</definedName>
    <definedName name="IQ_RETAIL_TOTAL_STORES">"c2061"</definedName>
    <definedName name="IQ_RETAINED_EARN">"c1420"</definedName>
    <definedName name="IQ_RETAINED_EARNINGS_AVERAGE_EQUITY_FDIC" hidden="1">"c6733"</definedName>
    <definedName name="IQ_RETURN_ASSETS">"c1113"</definedName>
    <definedName name="IQ_RETURN_ASSETS_ACT_OR_EST_REUT">"c5475"</definedName>
    <definedName name="IQ_RETURN_ASSETS_BANK">"c1114"</definedName>
    <definedName name="IQ_RETURN_ASSETS_BROK">"c1115"</definedName>
    <definedName name="IQ_RETURN_ASSETS_EST_REUT">"c3990"</definedName>
    <definedName name="IQ_RETURN_ASSETS_FDIC" hidden="1">"c6730"</definedName>
    <definedName name="IQ_RETURN_ASSETS_FS">"c1116"</definedName>
    <definedName name="IQ_RETURN_ASSETS_HIGH_EST_REUT">"c3992"</definedName>
    <definedName name="IQ_RETURN_ASSETS_LOW_EST_REUT">"c3993"</definedName>
    <definedName name="IQ_RETURN_ASSETS_MEDIAN_EST_REUT">"c3991"</definedName>
    <definedName name="IQ_RETURN_ASSETS_NUM_EST_REUT">"c3994"</definedName>
    <definedName name="IQ_RETURN_ASSETS_STDDEV_EST_REUT">"c3995"</definedName>
    <definedName name="IQ_RETURN_CAPITAL">"c1117"</definedName>
    <definedName name="IQ_RETURN_EQUITY">"c1118"</definedName>
    <definedName name="IQ_RETURN_EQUITY_ACT_OR_EST_REUT">"c5476"</definedName>
    <definedName name="IQ_RETURN_EQUITY_BANK">"c1119"</definedName>
    <definedName name="IQ_RETURN_EQUITY_BROK">"c1120"</definedName>
    <definedName name="IQ_RETURN_EQUITY_EST_REUT">"c3983"</definedName>
    <definedName name="IQ_RETURN_EQUITY_FDIC" hidden="1">"c6732"</definedName>
    <definedName name="IQ_RETURN_EQUITY_FS">"c1121"</definedName>
    <definedName name="IQ_RETURN_EQUITY_HIGH_EST_REUT">"c3985"</definedName>
    <definedName name="IQ_RETURN_EQUITY_LOW_EST_REUT">"c3986"</definedName>
    <definedName name="IQ_RETURN_EQUITY_MEDIAN_EST_REUT">"c3984"</definedName>
    <definedName name="IQ_RETURN_EQUITY_NUM_EST_REUT">"c3987"</definedName>
    <definedName name="IQ_RETURN_EQUITY_STDDEV_EST_REUT">"c3988"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STDDEV_EST_REUT">"c3639"</definedName>
    <definedName name="IQ_REV_UTI">"c1125"</definedName>
    <definedName name="IQ_REVALUATION_GAINS_FDIC" hidden="1">"c6428"</definedName>
    <definedName name="IQ_REVALUATION_LOSSES_FDIC" hidden="1">"c6429"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">"c2214"</definedName>
    <definedName name="IQ_REVENUE_ACT_OR_EST_REUT">"c5461"</definedName>
    <definedName name="IQ_REVENUE_EST">"c1126"</definedName>
    <definedName name="IQ_REVENUE_EST_1">"IQ_REVENUE_EST_1"</definedName>
    <definedName name="IQ_REVENUE_EST_BOTTOM_UP_REUT">"c5496"</definedName>
    <definedName name="IQ_REVENUE_EST_REUT">"c3634"</definedName>
    <definedName name="IQ_REVENUE_GROWTH_1">"IQ_REVENUE_GROWTH_1"</definedName>
    <definedName name="IQ_REVENUE_GROWTH_2">"IQ_REVENUE_GROWTH_2"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O_EST">"c263"</definedName>
    <definedName name="IQ_REVENUE_NUM_EST">"c1129"</definedName>
    <definedName name="IQ_REVENUE_NUM_EST_REUT">"c3638"</definedName>
    <definedName name="IQ_REVISION_DATE_">39000.7075115741</definedName>
    <definedName name="IQ_REVOLVING_SECURED_1_4_NON_ACCRUAL_FFIEC">"c13314"</definedName>
    <definedName name="IQ_RISK_ADJ_BANK_ASSETS">"c2670"</definedName>
    <definedName name="IQ_RISK_WEIGHTED_ASSETS_FDIC" hidden="1">"c6370"</definedName>
    <definedName name="IQ_SALARY">"c1130"</definedName>
    <definedName name="IQ_SALARY_FDIC" hidden="1">"c6576"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EC_PURCHASED_RESELL">"c5513"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ERVICE_CHARGES_FDIC" hidden="1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>"c228"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">"c2171"</definedName>
    <definedName name="IQ_SP_DATE">"c2172"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PECIAL_DIV_SHARE">"c3007"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PCT">"c2539"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 hidden="1">"c6351"</definedName>
    <definedName name="IQ_SVA">"c1214"</definedName>
    <definedName name="IQ_TARGET_PRICE_LASTCLOSE">"c1855"</definedName>
    <definedName name="IQ_TARGET_PRICE_NUM">"c1653"</definedName>
    <definedName name="IQ_TARGET_PRICE_NUM_REUT">"c5319"</definedName>
    <definedName name="IQ_TARGET_PRICE_STDDEV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REUT">"c4050"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REUT">"c4051"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ME_DEP">"c1230"</definedName>
    <definedName name="IQ_TIME_DEPOSITS_LESS_THAN_100K_FDIC" hidden="1">"c6465"</definedName>
    <definedName name="IQ_TIME_DEPOSITS_MORE_THAN_100K_FDIC" hidden="1">"c6470"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SSETS_FDIC" hidden="1">"c6339"</definedName>
    <definedName name="IQ_TOTAL_AVG_CE_TOTAL_AVG_ASSETS">"c1241"</definedName>
    <definedName name="IQ_TOTAL_AVG_EQUITY_TOTAL_AVG_ASSETS">"c1242"</definedName>
    <definedName name="IQ_TOTAL_BANK_CAPITAL">"c2668"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 hidden="1">"c6603"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POSITS">"c1265"</definedName>
    <definedName name="IQ_TOTAL_DEPOSITS_FDIC" hidden="1">"c6342"</definedName>
    <definedName name="IQ_TOTAL_DIV_PAID_CF">"c1266"</definedName>
    <definedName name="IQ_TOTAL_EMPLOYEE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 hidden="1">"c6354"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IABILITIES_FDIC" hidden="1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ED">"c2695"</definedName>
    <definedName name="IQ_TOTAL_OPTIONS_GRANTED">"c2694"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VED_RESERVES_NGL">"c2924"</definedName>
    <definedName name="IQ_TOTAL_PROVED_RESERVES_OIL">"c2040"</definedName>
    <definedName name="IQ_TOTAL_RECEIV">"c1293"</definedName>
    <definedName name="IQ_TOTAL_RECOVERIES_FDIC" hidden="1">"c6622"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RISK_BASED_CAPITAL_RATIO_FDIC" hidden="1">"c6747"</definedName>
    <definedName name="IQ_TOTAL_SECURITIES_FDIC" hidden="1">"c6306"</definedName>
    <definedName name="IQ_TOTAL_SPECIAL">"c1618"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DIC" hidden="1">"c6328"</definedName>
    <definedName name="IQ_TRADING_CURRENCY">"c2212"</definedName>
    <definedName name="IQ_TRADING_LIABILITIES_FDIC" hidden="1">"c6344"</definedName>
    <definedName name="IQ_TRANSACTION_ACCOUNTS_FDIC" hidden="1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 hidden="1">"c6501"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WELVE_MONTHS_FIXED_AND_FLOATING_FDIC" hidden="1">"c6420"</definedName>
    <definedName name="IQ_TWELVE_MONTHS_MORTGAGE_PASS_THROUGHS_FDIC" hidden="1">"c6412"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DIVIDED_PROFITS_FDIC" hidden="1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>"c1620"</definedName>
    <definedName name="IQ_UTIL_REV">"c2091"</definedName>
    <definedName name="IQ_UV_PENSION_LIAB">"c1332"</definedName>
    <definedName name="IQ_VALUATION_ALLOWANCES_FDIC" hidden="1">"c6400"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 hidden="1">"c6667"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IP_INV">"c1335"</definedName>
    <definedName name="IQ_WORKING_CAP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>1</definedName>
    <definedName name="IQRC12">"$C$13"</definedName>
    <definedName name="IQRG12">"$H$12:$L$12"</definedName>
    <definedName name="IQRH12">"$I$12:$M$12"</definedName>
    <definedName name="IQRH13">"$I$13:$M$13"</definedName>
    <definedName name="IQRH14">"$I$14"</definedName>
    <definedName name="IQRH15">"$I$15:$M$15"</definedName>
    <definedName name="IQRH16">"$I$16:$M$16"</definedName>
    <definedName name="IQRH17">"$I$17:$M$17"</definedName>
    <definedName name="IQRH18">"$I$18:$M$18"</definedName>
    <definedName name="IQRH19">"$I$19:$M$19"</definedName>
    <definedName name="IQRH20">"$I$20:$M$20"</definedName>
    <definedName name="IQRH21">"$I$21"</definedName>
    <definedName name="IQRH22">"$I$22"</definedName>
    <definedName name="IQRH23">"$I$23"</definedName>
    <definedName name="IQRH24">"$I$24"</definedName>
    <definedName name="IQRH25">"$I$25"</definedName>
    <definedName name="IQRH26">"$I$26"</definedName>
    <definedName name="IQRH27">"$I$27"</definedName>
    <definedName name="IQRH28">"$I$28"</definedName>
    <definedName name="IQRM12">"$N$12:$R$12"</definedName>
    <definedName name="IQRN12">"$O$12:$S$12"</definedName>
    <definedName name="IQRN13">"$O$13:$S$13"</definedName>
    <definedName name="IQRN14">"$O$14"</definedName>
    <definedName name="IQRN15">"$O$15:$S$15"</definedName>
    <definedName name="IQRN16">"$O$16:$S$16"</definedName>
    <definedName name="IQRN17">"$O$17:$S$17"</definedName>
    <definedName name="IQRN18">"$O$18:$S$18"</definedName>
    <definedName name="IQRN19">"$O$19:$S$19"</definedName>
    <definedName name="IQRN20">"$O$20:$S$20"</definedName>
    <definedName name="IQRN21">"$O$21"</definedName>
    <definedName name="IQRN22">"$O$22"</definedName>
    <definedName name="IQRN23">"$O$23"</definedName>
    <definedName name="IQRN24">"$O$24"</definedName>
    <definedName name="IQRN25">"$O$25"</definedName>
    <definedName name="IQRN26">"$O$26"</definedName>
    <definedName name="IQRN27">"$O$27"</definedName>
    <definedName name="IQRN28">"$O$28"</definedName>
    <definedName name="IQRX10">"$X$11:$X$114"</definedName>
    <definedName name="IRL_POC">#REF!</definedName>
    <definedName name="IRL_QB_ROW">#REF!</definedName>
    <definedName name="IRL_SP_ADJ">#REF!</definedName>
    <definedName name="IRR">#REF!</definedName>
    <definedName name="IS_COST">#REF!</definedName>
    <definedName name="ISCompany">#REF!</definedName>
    <definedName name="isi">#REF!,#REF!</definedName>
    <definedName name="ISName">#REF!</definedName>
    <definedName name="ISOTRE_ID">#REF!</definedName>
    <definedName name="ISReserves">#REF!</definedName>
    <definedName name="IT">#REF!</definedName>
    <definedName name="IT_cat">#REF!</definedName>
    <definedName name="IT_DEP">#REF!</definedName>
    <definedName name="ITAL">#REF!</definedName>
    <definedName name="ITALY">#REF!</definedName>
    <definedName name="itdep">#REF!</definedName>
    <definedName name="Item_Description">#REF!</definedName>
    <definedName name="Item_Description_Header">#REF!</definedName>
    <definedName name="ITmonth">#REF!</definedName>
    <definedName name="ITmonthbudget">#REF!</definedName>
    <definedName name="IV">#REF!</definedName>
    <definedName name="J">#REF!</definedName>
    <definedName name="J_1">#REF!</definedName>
    <definedName name="J_cutoff">#REF!</definedName>
    <definedName name="JAN">#REF!</definedName>
    <definedName name="Jan_04">#REF!</definedName>
    <definedName name="JAPA">#REF!</definedName>
    <definedName name="JAPAN">#REF!</definedName>
    <definedName name="jay">#REF!</definedName>
    <definedName name="jdbytraftype">#REF!</definedName>
    <definedName name="jdmktsplitup">#REF!</definedName>
    <definedName name="JEJURI">#REF!</definedName>
    <definedName name="jennifer" localSheetId="7">#REF!</definedName>
    <definedName name="jennifer">#N/A</definedName>
    <definedName name="jhfdshaf">#REF!</definedName>
    <definedName name="jhjuiufgd" hidden="1">#REF!</definedName>
    <definedName name="jhsf">#REF!</definedName>
    <definedName name="jip">#REF!</definedName>
    <definedName name="jj">#REF!</definedName>
    <definedName name="jjj" localSheetId="7">{"'Apr-00'!$B$4:$AD$44"}</definedName>
    <definedName name="jjj" localSheetId="10" hidden="1">{"'Apr-00'!$B$4:$AD$44"}</definedName>
    <definedName name="jjj" localSheetId="0" hidden="1">{"'Apr-00'!$B$4:$AD$44"}</definedName>
    <definedName name="jjj" localSheetId="9" hidden="1">{"'Apr-00'!$B$4:$AD$44"}</definedName>
    <definedName name="jjj" localSheetId="11" hidden="1">{"'Apr-00'!$B$4:$AD$44"}</definedName>
    <definedName name="jjj" hidden="1">{"'Apr-00'!$B$4:$AD$44"}</definedName>
    <definedName name="jjjjjjj7" hidden="1">#REF!</definedName>
    <definedName name="jjjjjjjjj">#REF!</definedName>
    <definedName name="jjjjjjjjjjjjjjjjj">#REF!</definedName>
    <definedName name="jjjjjjjjjjjjjjjjjjj">#REF!</definedName>
    <definedName name="jjklkjgkfgj87" hidden="1">#REF!</definedName>
    <definedName name="jjksd">#REF!</definedName>
    <definedName name="jklsjdf">#REF!</definedName>
    <definedName name="jksakdjakc">#REF!</definedName>
    <definedName name="JNJ">#REF!</definedName>
    <definedName name="JobID">#REF!</definedName>
    <definedName name="jobmat">#REF!</definedName>
    <definedName name="jobmat1">#REF!</definedName>
    <definedName name="JobTitle">#REF!</definedName>
    <definedName name="jun" localSheetId="7">{#N/A,#N/A,TRUE,"ADVANCE SUMM.";#N/A,#N/A,TRUE,"KEITH";#N/A,#N/A,TRUE,"WES"}</definedName>
    <definedName name="jun" localSheetId="10" hidden="1">{#N/A,#N/A,TRUE,"ADVANCE SUMM.";#N/A,#N/A,TRUE,"KEITH";#N/A,#N/A,TRUE,"WES"}</definedName>
    <definedName name="jun" localSheetId="0" hidden="1">{#N/A,#N/A,TRUE,"ADVANCE SUMM.";#N/A,#N/A,TRUE,"KEITH";#N/A,#N/A,TRUE,"WES"}</definedName>
    <definedName name="jun" localSheetId="9" hidden="1">{#N/A,#N/A,TRUE,"ADVANCE SUMM.";#N/A,#N/A,TRUE,"KEITH";#N/A,#N/A,TRUE,"WES"}</definedName>
    <definedName name="jun" localSheetId="11" hidden="1">{#N/A,#N/A,TRUE,"ADVANCE SUMM.";#N/A,#N/A,TRUE,"KEITH";#N/A,#N/A,TRUE,"WES"}</definedName>
    <definedName name="jun" hidden="1">{#N/A,#N/A,TRUE,"ADVANCE SUMM.";#N/A,#N/A,TRUE,"KEITH";#N/A,#N/A,TRUE,"WES"}</definedName>
    <definedName name="JUNE_01">#REF!</definedName>
    <definedName name="june2002">#REF!</definedName>
    <definedName name="junk">#REF!</definedName>
    <definedName name="junk2">#REF!</definedName>
    <definedName name="JVP">#REF!</definedName>
    <definedName name="JVs_Subsidiaries_Sales_Local_Currency">#REF!</definedName>
    <definedName name="JVs_Subsidiaries_Sales_US___000">#REF!</definedName>
    <definedName name="k">#REF!</definedName>
    <definedName name="K_1">#REF!</definedName>
    <definedName name="K2_WBEVMODE">0</definedName>
    <definedName name="ka">#REF!</definedName>
    <definedName name="kanan">#REF!,#REF!,#REF!,#REF!,#REF!</definedName>
    <definedName name="kaori">#REF!</definedName>
    <definedName name="kazuyo">#REF!</definedName>
    <definedName name="kb">#REF!</definedName>
    <definedName name="KBC">#REF!</definedName>
    <definedName name="KBM_Hotel">#REF!</definedName>
    <definedName name="kcong">#REF!</definedName>
    <definedName name="KCP">#REF!</definedName>
    <definedName name="kda">#N/A</definedName>
    <definedName name="KDAMA">#N/A</definedName>
    <definedName name="Kedvale_PAM_2002">#REF!</definedName>
    <definedName name="keeeegan" localSheetId="7">#REF!</definedName>
    <definedName name="keeeegan">#N/A</definedName>
    <definedName name="kekse">#REF!</definedName>
    <definedName name="key">#REF!</definedName>
    <definedName name="kfndg">#REF!</definedName>
    <definedName name="kghjff" hidden="1">#REF!</definedName>
    <definedName name="kgk" hidden="1">#REF!</definedName>
    <definedName name="khac">2</definedName>
    <definedName name="KHANNA">#REF!</definedName>
    <definedName name="Kiem_tra_trung_ten">#REF!</definedName>
    <definedName name="kim" localSheetId="7">{#N/A,#N/A,TRUE,"ADVANCE SUMM.";#N/A,#N/A,TRUE,"KEITH";#N/A,#N/A,TRUE,"WES"}</definedName>
    <definedName name="kim" localSheetId="10" hidden="1">{#N/A,#N/A,TRUE,"ADVANCE SUMM.";#N/A,#N/A,TRUE,"KEITH";#N/A,#N/A,TRUE,"WES"}</definedName>
    <definedName name="kim" localSheetId="0" hidden="1">{#N/A,#N/A,TRUE,"ADVANCE SUMM.";#N/A,#N/A,TRUE,"KEITH";#N/A,#N/A,TRUE,"WES"}</definedName>
    <definedName name="kim" localSheetId="9" hidden="1">{#N/A,#N/A,TRUE,"ADVANCE SUMM.";#N/A,#N/A,TRUE,"KEITH";#N/A,#N/A,TRUE,"WES"}</definedName>
    <definedName name="kim" localSheetId="11" hidden="1">{#N/A,#N/A,TRUE,"ADVANCE SUMM.";#N/A,#N/A,TRUE,"KEITH";#N/A,#N/A,TRUE,"WES"}</definedName>
    <definedName name="kim" hidden="1">{#N/A,#N/A,TRUE,"ADVANCE SUMM.";#N/A,#N/A,TRUE,"KEITH";#N/A,#N/A,TRUE,"WES"}</definedName>
    <definedName name="kimm" localSheetId="7">{#N/A,#N/A,TRUE,"ADVANCE SUMM.";#N/A,#N/A,TRUE,"KEITH";#N/A,#N/A,TRUE,"WES"}</definedName>
    <definedName name="kimm" localSheetId="10" hidden="1">{#N/A,#N/A,TRUE,"ADVANCE SUMM.";#N/A,#N/A,TRUE,"KEITH";#N/A,#N/A,TRUE,"WES"}</definedName>
    <definedName name="kimm" localSheetId="0" hidden="1">{#N/A,#N/A,TRUE,"ADVANCE SUMM.";#N/A,#N/A,TRUE,"KEITH";#N/A,#N/A,TRUE,"WES"}</definedName>
    <definedName name="kimm" localSheetId="9" hidden="1">{#N/A,#N/A,TRUE,"ADVANCE SUMM.";#N/A,#N/A,TRUE,"KEITH";#N/A,#N/A,TRUE,"WES"}</definedName>
    <definedName name="kimm" localSheetId="11" hidden="1">{#N/A,#N/A,TRUE,"ADVANCE SUMM.";#N/A,#N/A,TRUE,"KEITH";#N/A,#N/A,TRUE,"WES"}</definedName>
    <definedName name="kimm" hidden="1">{#N/A,#N/A,TRUE,"ADVANCE SUMM.";#N/A,#N/A,TRUE,"KEITH";#N/A,#N/A,TRUE,"WES"}</definedName>
    <definedName name="kimmm" localSheetId="7">{#N/A,#N/A,TRUE,"ADVANCE SUMM.";#N/A,#N/A,TRUE,"KEITH";#N/A,#N/A,TRUE,"WES"}</definedName>
    <definedName name="kimmm" localSheetId="10" hidden="1">{#N/A,#N/A,TRUE,"ADVANCE SUMM.";#N/A,#N/A,TRUE,"KEITH";#N/A,#N/A,TRUE,"WES"}</definedName>
    <definedName name="kimmm" localSheetId="0" hidden="1">{#N/A,#N/A,TRUE,"ADVANCE SUMM.";#N/A,#N/A,TRUE,"KEITH";#N/A,#N/A,TRUE,"WES"}</definedName>
    <definedName name="kimmm" localSheetId="9" hidden="1">{#N/A,#N/A,TRUE,"ADVANCE SUMM.";#N/A,#N/A,TRUE,"KEITH";#N/A,#N/A,TRUE,"WES"}</definedName>
    <definedName name="kimmm" localSheetId="11" hidden="1">{#N/A,#N/A,TRUE,"ADVANCE SUMM.";#N/A,#N/A,TRUE,"KEITH";#N/A,#N/A,TRUE,"WES"}</definedName>
    <definedName name="kimmm" hidden="1">{#N/A,#N/A,TRUE,"ADVANCE SUMM.";#N/A,#N/A,TRUE,"KEITH";#N/A,#N/A,TRUE,"WES"}</definedName>
    <definedName name="KIMMMM" localSheetId="7">{#N/A,#N/A,TRUE,"ADVANCE SUMM.";#N/A,#N/A,TRUE,"KEITH";#N/A,#N/A,TRUE,"WES"}</definedName>
    <definedName name="KIMMMM" localSheetId="10" hidden="1">{#N/A,#N/A,TRUE,"ADVANCE SUMM.";#N/A,#N/A,TRUE,"KEITH";#N/A,#N/A,TRUE,"WES"}</definedName>
    <definedName name="KIMMMM" localSheetId="0" hidden="1">{#N/A,#N/A,TRUE,"ADVANCE SUMM.";#N/A,#N/A,TRUE,"KEITH";#N/A,#N/A,TRUE,"WES"}</definedName>
    <definedName name="KIMMMM" localSheetId="9" hidden="1">{#N/A,#N/A,TRUE,"ADVANCE SUMM.";#N/A,#N/A,TRUE,"KEITH";#N/A,#N/A,TRUE,"WES"}</definedName>
    <definedName name="KIMMMM" localSheetId="11" hidden="1">{#N/A,#N/A,TRUE,"ADVANCE SUMM.";#N/A,#N/A,TRUE,"KEITH";#N/A,#N/A,TRUE,"WES"}</definedName>
    <definedName name="KIMMMM" hidden="1">{#N/A,#N/A,TRUE,"ADVANCE SUMM.";#N/A,#N/A,TRUE,"KEITH";#N/A,#N/A,TRUE,"WES"}</definedName>
    <definedName name="kimmy" localSheetId="7">{#N/A,#N/A,TRUE,"ADVANCE SUMM.";#N/A,#N/A,TRUE,"KEITH";#N/A,#N/A,TRUE,"WES"}</definedName>
    <definedName name="kimmy" localSheetId="10" hidden="1">{#N/A,#N/A,TRUE,"ADVANCE SUMM.";#N/A,#N/A,TRUE,"KEITH";#N/A,#N/A,TRUE,"WES"}</definedName>
    <definedName name="kimmy" localSheetId="0" hidden="1">{#N/A,#N/A,TRUE,"ADVANCE SUMM.";#N/A,#N/A,TRUE,"KEITH";#N/A,#N/A,TRUE,"WES"}</definedName>
    <definedName name="kimmy" localSheetId="9" hidden="1">{#N/A,#N/A,TRUE,"ADVANCE SUMM.";#N/A,#N/A,TRUE,"KEITH";#N/A,#N/A,TRUE,"WES"}</definedName>
    <definedName name="kimmy" localSheetId="11" hidden="1">{#N/A,#N/A,TRUE,"ADVANCE SUMM.";#N/A,#N/A,TRUE,"KEITH";#N/A,#N/A,TRUE,"WES"}</definedName>
    <definedName name="kimmy" hidden="1">{#N/A,#N/A,TRUE,"ADVANCE SUMM.";#N/A,#N/A,TRUE,"KEITH";#N/A,#N/A,TRUE,"WES"}</definedName>
    <definedName name="kimmy1" localSheetId="7">{#N/A,#N/A,TRUE,"ADVANCE SUMM.";#N/A,#N/A,TRUE,"KEITH";#N/A,#N/A,TRUE,"WES"}</definedName>
    <definedName name="kimmy1" localSheetId="10" hidden="1">{#N/A,#N/A,TRUE,"ADVANCE SUMM.";#N/A,#N/A,TRUE,"KEITH";#N/A,#N/A,TRUE,"WES"}</definedName>
    <definedName name="kimmy1" localSheetId="0" hidden="1">{#N/A,#N/A,TRUE,"ADVANCE SUMM.";#N/A,#N/A,TRUE,"KEITH";#N/A,#N/A,TRUE,"WES"}</definedName>
    <definedName name="kimmy1" localSheetId="9" hidden="1">{#N/A,#N/A,TRUE,"ADVANCE SUMM.";#N/A,#N/A,TRUE,"KEITH";#N/A,#N/A,TRUE,"WES"}</definedName>
    <definedName name="kimmy1" localSheetId="11" hidden="1">{#N/A,#N/A,TRUE,"ADVANCE SUMM.";#N/A,#N/A,TRUE,"KEITH";#N/A,#N/A,TRUE,"WES"}</definedName>
    <definedName name="kimmy1" hidden="1">{#N/A,#N/A,TRUE,"ADVANCE SUMM.";#N/A,#N/A,TRUE,"KEITH";#N/A,#N/A,TRUE,"WES"}</definedName>
    <definedName name="KING" localSheetId="7">{#N/A,#N/A,FALSE,"PCPL9899"}</definedName>
    <definedName name="KING" localSheetId="10" hidden="1">{#N/A,#N/A,FALSE,"PCPL9899"}</definedName>
    <definedName name="KING" localSheetId="0" hidden="1">{#N/A,#N/A,FALSE,"PCPL9899"}</definedName>
    <definedName name="KING" localSheetId="9" hidden="1">{#N/A,#N/A,FALSE,"PCPL9899"}</definedName>
    <definedName name="KING" localSheetId="11" hidden="1">{#N/A,#N/A,FALSE,"PCPL9899"}</definedName>
    <definedName name="KING" hidden="1">{#N/A,#N/A,FALSE,"PCPL9899"}</definedName>
    <definedName name="KING_1" localSheetId="7">{#N/A,#N/A,FALSE,"PCPL9899"}</definedName>
    <definedName name="KING_1" localSheetId="10" hidden="1">{#N/A,#N/A,FALSE,"PCPL9899"}</definedName>
    <definedName name="KING_1" localSheetId="0" hidden="1">{#N/A,#N/A,FALSE,"PCPL9899"}</definedName>
    <definedName name="KING_1" localSheetId="9" hidden="1">{#N/A,#N/A,FALSE,"PCPL9899"}</definedName>
    <definedName name="KING_1" localSheetId="11" hidden="1">{#N/A,#N/A,FALSE,"PCPL9899"}</definedName>
    <definedName name="KING_1" hidden="1">{#N/A,#N/A,FALSE,"PCPL9899"}</definedName>
    <definedName name="KING_2" localSheetId="7">{#N/A,#N/A,FALSE,"PCPL9899"}</definedName>
    <definedName name="KING_2" localSheetId="10" hidden="1">{#N/A,#N/A,FALSE,"PCPL9899"}</definedName>
    <definedName name="KING_2" localSheetId="0" hidden="1">{#N/A,#N/A,FALSE,"PCPL9899"}</definedName>
    <definedName name="KING_2" localSheetId="9" hidden="1">{#N/A,#N/A,FALSE,"PCPL9899"}</definedName>
    <definedName name="KING_2" localSheetId="11" hidden="1">{#N/A,#N/A,FALSE,"PCPL9899"}</definedName>
    <definedName name="KING_2" hidden="1">{#N/A,#N/A,FALSE,"PCPL9899"}</definedName>
    <definedName name="kjkjgjhfydydhfdh">#N/A</definedName>
    <definedName name="kk" localSheetId="7">{"'Apr-00'!$B$4:$AD$44"}</definedName>
    <definedName name="kk" localSheetId="10" hidden="1">{"'Apr-00'!$B$4:$AD$44"}</definedName>
    <definedName name="kk" localSheetId="0" hidden="1">{"'Apr-00'!$B$4:$AD$44"}</definedName>
    <definedName name="kk" localSheetId="9" hidden="1">{"'Apr-00'!$B$4:$AD$44"}</definedName>
    <definedName name="kk" localSheetId="11" hidden="1">{"'Apr-00'!$B$4:$AD$44"}</definedName>
    <definedName name="kk" hidden="1">{"'Apr-00'!$B$4:$AD$44"}</definedName>
    <definedName name="kkkkkkkk" localSheetId="7">{#N/A,#N/A,TRUE,"ADVANCE SUMM.";#N/A,#N/A,TRUE,"KEITH";#N/A,#N/A,TRUE,"WES"}</definedName>
    <definedName name="kkkkkkkk" localSheetId="10" hidden="1">{#N/A,#N/A,TRUE,"ADVANCE SUMM.";#N/A,#N/A,TRUE,"KEITH";#N/A,#N/A,TRUE,"WES"}</definedName>
    <definedName name="kkkkkkkk" localSheetId="0" hidden="1">{#N/A,#N/A,TRUE,"ADVANCE SUMM.";#N/A,#N/A,TRUE,"KEITH";#N/A,#N/A,TRUE,"WES"}</definedName>
    <definedName name="kkkkkkkk" localSheetId="9" hidden="1">{#N/A,#N/A,TRUE,"ADVANCE SUMM.";#N/A,#N/A,TRUE,"KEITH";#N/A,#N/A,TRUE,"WES"}</definedName>
    <definedName name="kkkkkkkk" localSheetId="11" hidden="1">{#N/A,#N/A,TRUE,"ADVANCE SUMM.";#N/A,#N/A,TRUE,"KEITH";#N/A,#N/A,TRUE,"WES"}</definedName>
    <definedName name="kkkkkkkk" hidden="1">{#N/A,#N/A,TRUE,"ADVANCE SUMM.";#N/A,#N/A,TRUE,"KEITH";#N/A,#N/A,TRUE,"WES"}</definedName>
    <definedName name="kkkkkkkkkkkk">#REF!</definedName>
    <definedName name="kkkkkkkkkkkkkkk">#REF!</definedName>
    <definedName name="kks" localSheetId="7">{#N/A,#N/A,FALSE,"17"}</definedName>
    <definedName name="kks" localSheetId="10" hidden="1">{#N/A,#N/A,FALSE,"17"}</definedName>
    <definedName name="kks" localSheetId="0" hidden="1">{#N/A,#N/A,FALSE,"17"}</definedName>
    <definedName name="kks" localSheetId="9" hidden="1">{#N/A,#N/A,FALSE,"17"}</definedName>
    <definedName name="kks" localSheetId="11" hidden="1">{#N/A,#N/A,FALSE,"17"}</definedName>
    <definedName name="kks" hidden="1">{#N/A,#N/A,FALSE,"17"}</definedName>
    <definedName name="kks_1" localSheetId="7">{#N/A,#N/A,FALSE,"17"}</definedName>
    <definedName name="kks_1" localSheetId="10" hidden="1">{#N/A,#N/A,FALSE,"17"}</definedName>
    <definedName name="kks_1" localSheetId="0" hidden="1">{#N/A,#N/A,FALSE,"17"}</definedName>
    <definedName name="kks_1" localSheetId="9" hidden="1">{#N/A,#N/A,FALSE,"17"}</definedName>
    <definedName name="kks_1" localSheetId="11" hidden="1">{#N/A,#N/A,FALSE,"17"}</definedName>
    <definedName name="kks_1" hidden="1">{#N/A,#N/A,FALSE,"17"}</definedName>
    <definedName name="kks_2" localSheetId="7">{#N/A,#N/A,FALSE,"17"}</definedName>
    <definedName name="kks_2" localSheetId="10" hidden="1">{#N/A,#N/A,FALSE,"17"}</definedName>
    <definedName name="kks_2" localSheetId="0" hidden="1">{#N/A,#N/A,FALSE,"17"}</definedName>
    <definedName name="kks_2" localSheetId="9" hidden="1">{#N/A,#N/A,FALSE,"17"}</definedName>
    <definedName name="kks_2" localSheetId="11" hidden="1">{#N/A,#N/A,FALSE,"17"}</definedName>
    <definedName name="kks_2" hidden="1">{#N/A,#N/A,FALSE,"17"}</definedName>
    <definedName name="kl" localSheetId="7">{#N/A,#N/A,TRUE,"ADVANCE SUMM.";#N/A,#N/A,TRUE,"KEITH";#N/A,#N/A,TRUE,"WES"}</definedName>
    <definedName name="kl" localSheetId="10" hidden="1">{#N/A,#N/A,TRUE,"ADVANCE SUMM.";#N/A,#N/A,TRUE,"KEITH";#N/A,#N/A,TRUE,"WES"}</definedName>
    <definedName name="kl" localSheetId="0" hidden="1">{#N/A,#N/A,TRUE,"ADVANCE SUMM.";#N/A,#N/A,TRUE,"KEITH";#N/A,#N/A,TRUE,"WES"}</definedName>
    <definedName name="kl" localSheetId="9" hidden="1">{#N/A,#N/A,TRUE,"ADVANCE SUMM.";#N/A,#N/A,TRUE,"KEITH";#N/A,#N/A,TRUE,"WES"}</definedName>
    <definedName name="kl" localSheetId="11" hidden="1">{#N/A,#N/A,TRUE,"ADVANCE SUMM.";#N/A,#N/A,TRUE,"KEITH";#N/A,#N/A,TRUE,"WES"}</definedName>
    <definedName name="kl" hidden="1">{#N/A,#N/A,TRUE,"ADVANCE SUMM.";#N/A,#N/A,TRUE,"KEITH";#N/A,#N/A,TRUE,"WES"}</definedName>
    <definedName name="kljsadf">#REF!</definedName>
    <definedName name="kllllllllllllllll">#REF!</definedName>
    <definedName name="KM_Control" localSheetId="7">{"'Apr-00'!$B$4:$AD$44"}</definedName>
    <definedName name="KM_Control" localSheetId="10" hidden="1">{"'Apr-00'!$B$4:$AD$44"}</definedName>
    <definedName name="KM_Control" localSheetId="0" hidden="1">{"'Apr-00'!$B$4:$AD$44"}</definedName>
    <definedName name="KM_Control" localSheetId="9" hidden="1">{"'Apr-00'!$B$4:$AD$44"}</definedName>
    <definedName name="KM_Control" localSheetId="11" hidden="1">{"'Apr-00'!$B$4:$AD$44"}</definedName>
    <definedName name="KM_Control" hidden="1">{"'Apr-00'!$B$4:$AD$44"}</definedName>
    <definedName name="KM_HTML_CONTROL" localSheetId="7">{"'Apr-00'!$B$4:$AD$44"}</definedName>
    <definedName name="KM_HTML_CONTROL" localSheetId="10" hidden="1">{"'Apr-00'!$B$4:$AD$44"}</definedName>
    <definedName name="KM_HTML_CONTROL" localSheetId="0" hidden="1">{"'Apr-00'!$B$4:$AD$44"}</definedName>
    <definedName name="KM_HTML_CONTROL" localSheetId="9" hidden="1">{"'Apr-00'!$B$4:$AD$44"}</definedName>
    <definedName name="KM_HTML_CONTROL" localSheetId="11" hidden="1">{"'Apr-00'!$B$4:$AD$44"}</definedName>
    <definedName name="KM_HTML_CONTROL" hidden="1">{"'Apr-00'!$B$4:$AD$44"}</definedName>
    <definedName name="KOPF1">#REF!</definedName>
    <definedName name="Kopy">#REF!</definedName>
    <definedName name="KOREA_PLASTIC_in_KUSD">#REF!</definedName>
    <definedName name="KPIs">#REF!</definedName>
    <definedName name="KPMG">#REF!</definedName>
    <definedName name="ksjgfd">#REF!</definedName>
    <definedName name="kugfkjgg">#REF!,#REF!,#REF!,#REF!</definedName>
    <definedName name="KUULSD" localSheetId="7">{#N/A,#N/A,FALSE,"COMP"}</definedName>
    <definedName name="KUULSD" localSheetId="10" hidden="1">{#N/A,#N/A,FALSE,"COMP"}</definedName>
    <definedName name="KUULSD" localSheetId="0" hidden="1">{#N/A,#N/A,FALSE,"COMP"}</definedName>
    <definedName name="KUULSD" localSheetId="9" hidden="1">{#N/A,#N/A,FALSE,"COMP"}</definedName>
    <definedName name="KUULSD" localSheetId="11" hidden="1">{#N/A,#N/A,FALSE,"COMP"}</definedName>
    <definedName name="KUULSD" hidden="1">{#N/A,#N/A,FALSE,"COMP"}</definedName>
    <definedName name="kuyf">#REF!</definedName>
    <definedName name="KV_AC">#REF!</definedName>
    <definedName name="kw" localSheetId="7">{#N/A,#N/A,FALSE,"17"}</definedName>
    <definedName name="kw" localSheetId="10" hidden="1">{#N/A,#N/A,FALSE,"17"}</definedName>
    <definedName name="kw" localSheetId="0" hidden="1">{#N/A,#N/A,FALSE,"17"}</definedName>
    <definedName name="kw" localSheetId="9" hidden="1">{#N/A,#N/A,FALSE,"17"}</definedName>
    <definedName name="kw" localSheetId="11" hidden="1">{#N/A,#N/A,FALSE,"17"}</definedName>
    <definedName name="kw" hidden="1">{#N/A,#N/A,FALSE,"17"}</definedName>
    <definedName name="kw_1" localSheetId="7">{#N/A,#N/A,FALSE,"17"}</definedName>
    <definedName name="kw_1" localSheetId="10" hidden="1">{#N/A,#N/A,FALSE,"17"}</definedName>
    <definedName name="kw_1" localSheetId="0" hidden="1">{#N/A,#N/A,FALSE,"17"}</definedName>
    <definedName name="kw_1" localSheetId="9" hidden="1">{#N/A,#N/A,FALSE,"17"}</definedName>
    <definedName name="kw_1" localSheetId="11" hidden="1">{#N/A,#N/A,FALSE,"17"}</definedName>
    <definedName name="kw_1" hidden="1">{#N/A,#N/A,FALSE,"17"}</definedName>
    <definedName name="kw_2" localSheetId="7">{#N/A,#N/A,FALSE,"17"}</definedName>
    <definedName name="kw_2" localSheetId="10" hidden="1">{#N/A,#N/A,FALSE,"17"}</definedName>
    <definedName name="kw_2" localSheetId="0" hidden="1">{#N/A,#N/A,FALSE,"17"}</definedName>
    <definedName name="kw_2" localSheetId="9" hidden="1">{#N/A,#N/A,FALSE,"17"}</definedName>
    <definedName name="kw_2" localSheetId="11" hidden="1">{#N/A,#N/A,FALSE,"17"}</definedName>
    <definedName name="kw_2" hidden="1">{#N/A,#N/A,FALSE,"17"}</definedName>
    <definedName name="L" localSheetId="7">#REF!</definedName>
    <definedName name="L">#N/A</definedName>
    <definedName name="l.">#REF!</definedName>
    <definedName name="L_1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B_data_Dec_2002_Budget_List">#REF!</definedName>
    <definedName name="LABELTEXTCOLUMN1">#REF!</definedName>
    <definedName name="LABELTEXTROW1">#REF!</definedName>
    <definedName name="LABOR_TAX" hidden="1">#REF!</definedName>
    <definedName name="LAC">#REF!</definedName>
    <definedName name="lan">#REF!</definedName>
    <definedName name="LAND">#REF!</definedName>
    <definedName name="last">#REF!</definedName>
    <definedName name="Last_Row" localSheetId="7">#REF!</definedName>
    <definedName name="Last_Row">#N/A</definedName>
    <definedName name="Last_Tool_Item_Description">#REF!</definedName>
    <definedName name="LastQry">2</definedName>
    <definedName name="LastRow1">#REF!</definedName>
    <definedName name="LastSource">"Oracle"</definedName>
    <definedName name="LatestFYE">#REF!</definedName>
    <definedName name="launch_date">#REF!</definedName>
    <definedName name="launch_date_3G">#REF!</definedName>
    <definedName name="Lawless" localSheetId="7">{"'Apr-00'!$B$4:$AD$44"}</definedName>
    <definedName name="Lawless" localSheetId="10" hidden="1">{"'Apr-00'!$B$4:$AD$44"}</definedName>
    <definedName name="Lawless" localSheetId="0" hidden="1">{"'Apr-00'!$B$4:$AD$44"}</definedName>
    <definedName name="Lawless" localSheetId="9" hidden="1">{"'Apr-00'!$B$4:$AD$44"}</definedName>
    <definedName name="Lawless" localSheetId="11" hidden="1">{"'Apr-00'!$B$4:$AD$44"}</definedName>
    <definedName name="Lawless" hidden="1">{"'Apr-00'!$B$4:$AD$44"}</definedName>
    <definedName name="LBO">#REF!</definedName>
    <definedName name="LBOAnalysis2">#REF!</definedName>
    <definedName name="LC">#REF!</definedName>
    <definedName name="LC5_total">#REF!</definedName>
    <definedName name="LC6_total">#REF!</definedName>
    <definedName name="LCell">#REF!</definedName>
    <definedName name="LD_B_Pt_oLD">#REF!</definedName>
    <definedName name="LD_B_Pt_Re2">#REF!</definedName>
    <definedName name="LD_B_Pt_Re5">#REF!</definedName>
    <definedName name="LD_B_Pt_Reg200">#REF!</definedName>
    <definedName name="LD_B_Pt_Reg50">#REF!</definedName>
    <definedName name="LD_B_Pt_Rw5">#REF!</definedName>
    <definedName name="LD_Bus_GPM">#REF!</definedName>
    <definedName name="LD_R_Pt_oLD">#REF!</definedName>
    <definedName name="LD_R_Pt_Re2">#REF!</definedName>
    <definedName name="LD_R_Pt_Re5">#REF!</definedName>
    <definedName name="LD_R_Pt_Reg200">#REF!</definedName>
    <definedName name="LD_R_Pt_Reg50">#REF!</definedName>
    <definedName name="LD_Tariff">#REF!</definedName>
    <definedName name="LE.FTE">#REF!</definedName>
    <definedName name="le_data">#REF!</definedName>
    <definedName name="LEARN">#REF!</definedName>
    <definedName name="Lease_hold_Improvements">#REF!</definedName>
    <definedName name="Lease_hold_Land">#REF!</definedName>
    <definedName name="leasehold">#REF!</definedName>
    <definedName name="leave">#REF!</definedName>
    <definedName name="Ledg">#REF!</definedName>
    <definedName name="lef">#REF!</definedName>
    <definedName name="LEGAJO">#REF!</definedName>
    <definedName name="LEGAL00">#REF!</definedName>
    <definedName name="LEGAL95">#REF!</definedName>
    <definedName name="LEGAL96">#REF!</definedName>
    <definedName name="LEGAL97">#REF!</definedName>
    <definedName name="LEGAL98">#REF!</definedName>
    <definedName name="LEGAL99">#REF!</definedName>
    <definedName name="LeistungKostenstelle">#REF!</definedName>
    <definedName name="lel">#REF!</definedName>
    <definedName name="length_3">#REF!</definedName>
    <definedName name="leo" localSheetId="7">{#N/A,#N/A,FALSE,"15"}</definedName>
    <definedName name="leo" localSheetId="10" hidden="1">{#N/A,#N/A,FALSE,"15"}</definedName>
    <definedName name="leo" localSheetId="0" hidden="1">{#N/A,#N/A,FALSE,"15"}</definedName>
    <definedName name="leo" localSheetId="9" hidden="1">{#N/A,#N/A,FALSE,"15"}</definedName>
    <definedName name="leo" localSheetId="11" hidden="1">{#N/A,#N/A,FALSE,"15"}</definedName>
    <definedName name="leo" hidden="1">{#N/A,#N/A,FALSE,"15"}</definedName>
    <definedName name="leo_1" localSheetId="7">{#N/A,#N/A,FALSE,"15"}</definedName>
    <definedName name="leo_1" localSheetId="10" hidden="1">{#N/A,#N/A,FALSE,"15"}</definedName>
    <definedName name="leo_1" localSheetId="0" hidden="1">{#N/A,#N/A,FALSE,"15"}</definedName>
    <definedName name="leo_1" localSheetId="9" hidden="1">{#N/A,#N/A,FALSE,"15"}</definedName>
    <definedName name="leo_1" localSheetId="11" hidden="1">{#N/A,#N/A,FALSE,"15"}</definedName>
    <definedName name="leo_1" hidden="1">{#N/A,#N/A,FALSE,"15"}</definedName>
    <definedName name="leo_2" localSheetId="7">{#N/A,#N/A,FALSE,"15"}</definedName>
    <definedName name="leo_2" localSheetId="10" hidden="1">{#N/A,#N/A,FALSE,"15"}</definedName>
    <definedName name="leo_2" localSheetId="0" hidden="1">{#N/A,#N/A,FALSE,"15"}</definedName>
    <definedName name="leo_2" localSheetId="9" hidden="1">{#N/A,#N/A,FALSE,"15"}</definedName>
    <definedName name="leo_2" localSheetId="11" hidden="1">{#N/A,#N/A,FALSE,"15"}</definedName>
    <definedName name="leo_2" hidden="1">{#N/A,#N/A,FALSE,"15"}</definedName>
    <definedName name="leon">#REF!</definedName>
    <definedName name="letab">#REF!</definedName>
    <definedName name="level">#REF!</definedName>
    <definedName name="Level1.xls">#REF!</definedName>
    <definedName name="level11.xls">#REF!</definedName>
    <definedName name="levell1.xls">#REF!</definedName>
    <definedName name="levelmcl">#REF!</definedName>
    <definedName name="LG">#REF!</definedName>
    <definedName name="lgm" localSheetId="7">{"'Sample Status'!$A$1:$J$21"}</definedName>
    <definedName name="lgm" localSheetId="10" hidden="1">{"'Sample Status'!$A$1:$J$21"}</definedName>
    <definedName name="lgm" localSheetId="0" hidden="1">{"'Sample Status'!$A$1:$J$21"}</definedName>
    <definedName name="lgm" localSheetId="9" hidden="1">{"'Sample Status'!$A$1:$J$21"}</definedName>
    <definedName name="lgm" localSheetId="11" hidden="1">{"'Sample Status'!$A$1:$J$21"}</definedName>
    <definedName name="lgm" hidden="1">{"'Sample Status'!$A$1:$J$21"}</definedName>
    <definedName name="lgm_1" localSheetId="7">{"'Sample Status'!$A$1:$J$21"}</definedName>
    <definedName name="lgm_1" localSheetId="10" hidden="1">{"'Sample Status'!$A$1:$J$21"}</definedName>
    <definedName name="lgm_1" localSheetId="0" hidden="1">{"'Sample Status'!$A$1:$J$21"}</definedName>
    <definedName name="lgm_1" localSheetId="9" hidden="1">{"'Sample Status'!$A$1:$J$21"}</definedName>
    <definedName name="lgm_1" localSheetId="11" hidden="1">{"'Sample Status'!$A$1:$J$21"}</definedName>
    <definedName name="lgm_1" hidden="1">{"'Sample Status'!$A$1:$J$21"}</definedName>
    <definedName name="lgm_2" localSheetId="7">{"'Sample Status'!$A$1:$J$21"}</definedName>
    <definedName name="lgm_2" localSheetId="10" hidden="1">{"'Sample Status'!$A$1:$J$21"}</definedName>
    <definedName name="lgm_2" localSheetId="0" hidden="1">{"'Sample Status'!$A$1:$J$21"}</definedName>
    <definedName name="lgm_2" localSheetId="9" hidden="1">{"'Sample Status'!$A$1:$J$21"}</definedName>
    <definedName name="lgm_2" localSheetId="11" hidden="1">{"'Sample Status'!$A$1:$J$21"}</definedName>
    <definedName name="lgm_2" hidden="1">{"'Sample Status'!$A$1:$J$21"}</definedName>
    <definedName name="LHI00">#REF!</definedName>
    <definedName name="lhsd">#REF!</definedName>
    <definedName name="li">#REF!</definedName>
    <definedName name="liab\inc\intt">#REF!</definedName>
    <definedName name="liabilities">#REF!</definedName>
    <definedName name="liability">#REF!</definedName>
    <definedName name="Liat">#REF!</definedName>
    <definedName name="LIBOR">#REF!</definedName>
    <definedName name="licence_award_date">#REF!</definedName>
    <definedName name="licence_cost_telecoms">#REF!</definedName>
    <definedName name="licence_payable_date">#REF!</definedName>
    <definedName name="LICPREM">#REF!</definedName>
    <definedName name="limcount" hidden="1">1</definedName>
    <definedName name="lINDA" localSheetId="7">{"'Apr-00'!$B$4:$AD$44"}</definedName>
    <definedName name="lINDA" localSheetId="10" hidden="1">{"'Apr-00'!$B$4:$AD$44"}</definedName>
    <definedName name="lINDA" localSheetId="0" hidden="1">{"'Apr-00'!$B$4:$AD$44"}</definedName>
    <definedName name="lINDA" localSheetId="9" hidden="1">{"'Apr-00'!$B$4:$AD$44"}</definedName>
    <definedName name="lINDA" localSheetId="11" hidden="1">{"'Apr-00'!$B$4:$AD$44"}</definedName>
    <definedName name="lINDA" hidden="1">{"'Apr-00'!$B$4:$AD$44"}</definedName>
    <definedName name="LINE">#REF!</definedName>
    <definedName name="LINE_49">#REF!</definedName>
    <definedName name="Line_Item">#REF!</definedName>
    <definedName name="Line_Item_1">#REF!</definedName>
    <definedName name="Line_Item_Last">#REF!</definedName>
    <definedName name="lines">#REF!</definedName>
    <definedName name="lines_oth">#REF!</definedName>
    <definedName name="liquidpref">#REF!</definedName>
    <definedName name="liquidpref.">#REF!</definedName>
    <definedName name="List">#REF!</definedName>
    <definedName name="ListOffset">1</definedName>
    <definedName name="lkokr">#REF!</definedName>
    <definedName name="LL">#REF!</definedName>
    <definedName name="LL_Length">#REF!</definedName>
    <definedName name="LL_Price_Evolution">#REF!</definedName>
    <definedName name="LLCP">#REF!</definedName>
    <definedName name="lll" localSheetId="7">{#N/A,#N/A,FALSE,"12"}</definedName>
    <definedName name="lll" localSheetId="10" hidden="1">{#N/A,#N/A,FALSE,"12"}</definedName>
    <definedName name="lll" localSheetId="0" hidden="1">{#N/A,#N/A,FALSE,"12"}</definedName>
    <definedName name="lll" localSheetId="9" hidden="1">{#N/A,#N/A,FALSE,"12"}</definedName>
    <definedName name="lll" localSheetId="11" hidden="1">{#N/A,#N/A,FALSE,"12"}</definedName>
    <definedName name="lll" hidden="1">{#N/A,#N/A,FALSE,"12"}</definedName>
    <definedName name="lll_1" localSheetId="7">{#N/A,#N/A,FALSE,"12"}</definedName>
    <definedName name="lll_1" localSheetId="10" hidden="1">{#N/A,#N/A,FALSE,"12"}</definedName>
    <definedName name="lll_1" localSheetId="0" hidden="1">{#N/A,#N/A,FALSE,"12"}</definedName>
    <definedName name="lll_1" localSheetId="9" hidden="1">{#N/A,#N/A,FALSE,"12"}</definedName>
    <definedName name="lll_1" localSheetId="11" hidden="1">{#N/A,#N/A,FALSE,"12"}</definedName>
    <definedName name="lll_1" hidden="1">{#N/A,#N/A,FALSE,"12"}</definedName>
    <definedName name="lll_2" localSheetId="7">{#N/A,#N/A,FALSE,"12"}</definedName>
    <definedName name="lll_2" localSheetId="10" hidden="1">{#N/A,#N/A,FALSE,"12"}</definedName>
    <definedName name="lll_2" localSheetId="0" hidden="1">{#N/A,#N/A,FALSE,"12"}</definedName>
    <definedName name="lll_2" localSheetId="9" hidden="1">{#N/A,#N/A,FALSE,"12"}</definedName>
    <definedName name="lll_2" localSheetId="11" hidden="1">{#N/A,#N/A,FALSE,"12"}</definedName>
    <definedName name="lll_2" hidden="1">{#N/A,#N/A,FALSE,"12"}</definedName>
    <definedName name="llllllllllllllllll">#REF!</definedName>
    <definedName name="LMC_CLASS1">#REF!</definedName>
    <definedName name="LMC_CLASS2">#REF!</definedName>
    <definedName name="lo">#REF!</definedName>
    <definedName name="Loan_Amount">#REF!</definedName>
    <definedName name="Loan_Start">#REF!</definedName>
    <definedName name="Loan_Years">#REF!</definedName>
    <definedName name="loanandadvances">#REF!</definedName>
    <definedName name="Loc_Tariff">#REF!</definedName>
    <definedName name="Local_Bus_GPM">#REF!</definedName>
    <definedName name="Local_Bus_PPM">#REF!</definedName>
    <definedName name="LOCAL_MYSQL_DATE_FORMAT" localSheetId="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Res_PPM">#REF!</definedName>
    <definedName name="Location">#REF!</definedName>
    <definedName name="LocationCode">#REF!</definedName>
    <definedName name="LOCMapping">#REF!</definedName>
    <definedName name="long_term_GDP_growth">#REF!</definedName>
    <definedName name="LONGTERM_LIAB_L">#REF!</definedName>
    <definedName name="LONGTERM_LIAB_L1">#REF!</definedName>
    <definedName name="look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PEZ_1_10_TAB">#REF!</definedName>
    <definedName name="LORATI_AL">#REF!</definedName>
    <definedName name="LOTE">#REF!</definedName>
    <definedName name="loveland" localSheetId="7">#REF!</definedName>
    <definedName name="loveland">#N/A</definedName>
    <definedName name="lovelandloveland" localSheetId="7">#REF!</definedName>
    <definedName name="lovelandloveland">#N/A</definedName>
    <definedName name="Low_Sub1">#REF!</definedName>
    <definedName name="LowerBoundColumn">#REF!</definedName>
    <definedName name="LoweSummary" localSheetId="7">{"'Apr-00'!$B$4:$AD$44"}</definedName>
    <definedName name="LoweSummary" localSheetId="10" hidden="1">{"'Apr-00'!$B$4:$AD$44"}</definedName>
    <definedName name="LoweSummary" localSheetId="0" hidden="1">{"'Apr-00'!$B$4:$AD$44"}</definedName>
    <definedName name="LoweSummary" localSheetId="9" hidden="1">{"'Apr-00'!$B$4:$AD$44"}</definedName>
    <definedName name="LoweSummary" localSheetId="11" hidden="1">{"'Apr-00'!$B$4:$AD$44"}</definedName>
    <definedName name="LoweSummary" hidden="1">{"'Apr-00'!$B$4:$AD$44"}</definedName>
    <definedName name="LowValue">#REF!</definedName>
    <definedName name="lp">#REF!</definedName>
    <definedName name="LSD_4100">#REF!</definedName>
    <definedName name="lskkssl" hidden="1">#REF!</definedName>
    <definedName name="LSRange1">#REF!</definedName>
    <definedName name="LSRange1Balance">#REF!</definedName>
    <definedName name="LstDedSection">#REF!</definedName>
    <definedName name="LTA">#REF!</definedName>
    <definedName name="LTdebt_amort">#REF!</definedName>
    <definedName name="LTdebt_int">#REF!</definedName>
    <definedName name="LTEC">#REF!</definedName>
    <definedName name="LTECMININV">#REF!</definedName>
    <definedName name="LTECTOTAL">#REF!</definedName>
    <definedName name="Ltitle">#REF!</definedName>
    <definedName name="ltmrev">#REF!</definedName>
    <definedName name="Lump_Sum_Discount">#REF!</definedName>
    <definedName name="LV1MATRIX">#REF!</definedName>
    <definedName name="LYN">#REF!</definedName>
    <definedName name="LYOCT08">#REF!</definedName>
    <definedName name="m">#REF!</definedName>
    <definedName name="M_1">#REF!</definedName>
    <definedName name="M_PlaceofPath">"G:\blabla"</definedName>
    <definedName name="M11___20">#REF!</definedName>
    <definedName name="M11___20_Total">#REF!</definedName>
    <definedName name="M25___35">#REF!</definedName>
    <definedName name="M25___35_Total">#REF!</definedName>
    <definedName name="MA">#REF!</definedName>
    <definedName name="MAACRS">#REF!</definedName>
    <definedName name="MAADRS">#REF!</definedName>
    <definedName name="MAAOC">#REF!</definedName>
    <definedName name="MAAOD">#REF!</definedName>
    <definedName name="MAATB">#REF!</definedName>
    <definedName name="MACRO_PRINT">#REF!</definedName>
    <definedName name="Macro1">#REF!</definedName>
    <definedName name="Macro10">#REF!</definedName>
    <definedName name="Macro11">#REF!</definedName>
    <definedName name="Macro113">#REF!</definedName>
    <definedName name="Macro12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98">#REF!</definedName>
    <definedName name="macro99">#REF!</definedName>
    <definedName name="MACROBOX">#REF!</definedName>
    <definedName name="MACROS">#REF!</definedName>
    <definedName name="MacroX">#REF!</definedName>
    <definedName name="MacroXa">#REF!</definedName>
    <definedName name="MacroY">#REF!</definedName>
    <definedName name="MACRS_schedule">#REF!</definedName>
    <definedName name="MACRSoptions">#REF!</definedName>
    <definedName name="MADAD">#REF!</definedName>
    <definedName name="mahape">#REF!</definedName>
    <definedName name="MAIN">#REF!</definedName>
    <definedName name="Main_3CD">#REF!</definedName>
    <definedName name="main_comp">#REF!</definedName>
    <definedName name="MAINCOMP">#REF!</definedName>
    <definedName name="MainForm">#REF!</definedName>
    <definedName name="MAINMENU">#REF!</definedName>
    <definedName name="MAIZ89">#REF!</definedName>
    <definedName name="MAIZ90">#REF!</definedName>
    <definedName name="MAJ_CON_EQP">#REF!</definedName>
    <definedName name="Makro1" localSheetId="7">#REF!</definedName>
    <definedName name="Makro1">#N/A</definedName>
    <definedName name="Makro4" localSheetId="7">#REF!</definedName>
    <definedName name="Makro4">#N/A</definedName>
    <definedName name="MANAGEMENT">#REF!</definedName>
    <definedName name="Managers_Per_Executive">#REF!</definedName>
    <definedName name="ManagersPerExecutive_Outsourcing">#REF!</definedName>
    <definedName name="manoj" localSheetId="7">{#N/A,#N/A,FALSE,"PCPL9899"}</definedName>
    <definedName name="manoj" localSheetId="10" hidden="1">{#N/A,#N/A,FALSE,"PCPL9899"}</definedName>
    <definedName name="manoj" localSheetId="0" hidden="1">{#N/A,#N/A,FALSE,"PCPL9899"}</definedName>
    <definedName name="manoj" localSheetId="9" hidden="1">{#N/A,#N/A,FALSE,"PCPL9899"}</definedName>
    <definedName name="manoj" localSheetId="11" hidden="1">{#N/A,#N/A,FALSE,"PCPL9899"}</definedName>
    <definedName name="manoj" hidden="1">{#N/A,#N/A,FALSE,"PCPL9899"}</definedName>
    <definedName name="manoj_1" localSheetId="7">{#N/A,#N/A,FALSE,"PCPL9899"}</definedName>
    <definedName name="manoj_1" localSheetId="10" hidden="1">{#N/A,#N/A,FALSE,"PCPL9899"}</definedName>
    <definedName name="manoj_1" localSheetId="0" hidden="1">{#N/A,#N/A,FALSE,"PCPL9899"}</definedName>
    <definedName name="manoj_1" localSheetId="9" hidden="1">{#N/A,#N/A,FALSE,"PCPL9899"}</definedName>
    <definedName name="manoj_1" localSheetId="11" hidden="1">{#N/A,#N/A,FALSE,"PCPL9899"}</definedName>
    <definedName name="manoj_1" hidden="1">{#N/A,#N/A,FALSE,"PCPL9899"}</definedName>
    <definedName name="manoj_2" localSheetId="7">{#N/A,#N/A,FALSE,"PCPL9899"}</definedName>
    <definedName name="manoj_2" localSheetId="10" hidden="1">{#N/A,#N/A,FALSE,"PCPL9899"}</definedName>
    <definedName name="manoj_2" localSheetId="0" hidden="1">{#N/A,#N/A,FALSE,"PCPL9899"}</definedName>
    <definedName name="manoj_2" localSheetId="9" hidden="1">{#N/A,#N/A,FALSE,"PCPL9899"}</definedName>
    <definedName name="manoj_2" localSheetId="11" hidden="1">{#N/A,#N/A,FALSE,"PCPL9899"}</definedName>
    <definedName name="manoj_2" hidden="1">{#N/A,#N/A,FALSE,"PCPL9899"}</definedName>
    <definedName name="MANU_EXP">#REF!</definedName>
    <definedName name="Manufacturer">#REF!</definedName>
    <definedName name="marach03usgaap">#REF!</definedName>
    <definedName name="march02">#REF!</definedName>
    <definedName name="march03">#REF!</definedName>
    <definedName name="Margin">#REF!</definedName>
    <definedName name="MARGIN1">#REF!</definedName>
    <definedName name="MARGIN2">#REF!</definedName>
    <definedName name="MARGIN3">#REF!</definedName>
    <definedName name="MARGIN4">#REF!</definedName>
    <definedName name="MarginList">#REF!</definedName>
    <definedName name="MarGLView">#REF!</definedName>
    <definedName name="Marital">#REF!</definedName>
    <definedName name="Mark">#REF!</definedName>
    <definedName name="Marketing_managerwise_Global_Sales">#REF!</definedName>
    <definedName name="MARKETING07">#REF!</definedName>
    <definedName name="MARKETING98">#REF!</definedName>
    <definedName name="MARKETINGALL">#REF!</definedName>
    <definedName name="masaru">#REF!</definedName>
    <definedName name="Master_Table">#REF!</definedName>
    <definedName name="master1">#REF!</definedName>
    <definedName name="master2">#REF!</definedName>
    <definedName name="master3">#REF!</definedName>
    <definedName name="mat">#REF!</definedName>
    <definedName name="mat_credit">#REF!</definedName>
    <definedName name="matcomp">#REF!</definedName>
    <definedName name="Material">#REF!</definedName>
    <definedName name="Material_Lab" localSheetId="7">{#N/A,#N/A,TRUE,"ADVANCE SUMM.";#N/A,#N/A,TRUE,"KEITH";#N/A,#N/A,TRUE,"WES"}</definedName>
    <definedName name="Material_Lab" localSheetId="10" hidden="1">{#N/A,#N/A,TRUE,"ADVANCE SUMM.";#N/A,#N/A,TRUE,"KEITH";#N/A,#N/A,TRUE,"WES"}</definedName>
    <definedName name="Material_Lab" localSheetId="0" hidden="1">{#N/A,#N/A,TRUE,"ADVANCE SUMM.";#N/A,#N/A,TRUE,"KEITH";#N/A,#N/A,TRUE,"WES"}</definedName>
    <definedName name="Material_Lab" localSheetId="9" hidden="1">{#N/A,#N/A,TRUE,"ADVANCE SUMM.";#N/A,#N/A,TRUE,"KEITH";#N/A,#N/A,TRUE,"WES"}</definedName>
    <definedName name="Material_Lab" localSheetId="11" hidden="1">{#N/A,#N/A,TRUE,"ADVANCE SUMM.";#N/A,#N/A,TRUE,"KEITH";#N/A,#N/A,TRUE,"WES"}</definedName>
    <definedName name="Material_Lab" hidden="1">{#N/A,#N/A,TRUE,"ADVANCE SUMM.";#N/A,#N/A,TRUE,"KEITH";#N/A,#N/A,TRUE,"WES"}</definedName>
    <definedName name="Materiality">#REF!</definedName>
    <definedName name="matnotes">#REF!</definedName>
    <definedName name="MAX">#REF!</definedName>
    <definedName name="maximum_equity_committed">#REF!</definedName>
    <definedName name="may">#REF!</definedName>
    <definedName name="mayumi">#REF!</definedName>
    <definedName name="MB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D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BW_No_Seg1_Lines">#REF!</definedName>
    <definedName name="MBW_No_Seg2_Lines">#REF!</definedName>
    <definedName name="MBW_No_Seg3_Lines">#REF!</definedName>
    <definedName name="MBW_No_Seg4_Lines">#REF!</definedName>
    <definedName name="MBW_No_Seg5_Lines">#REF!</definedName>
    <definedName name="MBW_No_Seg6_Lines">#REF!</definedName>
    <definedName name="MBW_No_Seg7_Lines">#REF!</definedName>
    <definedName name="MBW_No_Seg8_Lines">#REF!</definedName>
    <definedName name="MBW_Total_lines">#REF!</definedName>
    <definedName name="MBW_Traf_Type">#REF!</definedName>
    <definedName name="MBW_Type">#REF!</definedName>
    <definedName name="mc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B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m_30">#REF!</definedName>
    <definedName name="mcm_31">#REF!</definedName>
    <definedName name="mcm_32">#REF!</definedName>
    <definedName name="mcm_33">#REF!</definedName>
    <definedName name="mcm_34">#REF!</definedName>
    <definedName name="mcm_40">#REF!</definedName>
    <definedName name="mcm_50">#REF!</definedName>
    <definedName name="mcm_51">#REF!</definedName>
    <definedName name="mcm_52">#REF!</definedName>
    <definedName name="mcm_53">#REF!</definedName>
    <definedName name="mcm_54">#REF!</definedName>
    <definedName name="mcm_55">#REF!</definedName>
    <definedName name="mcm_actual30">#REF!</definedName>
    <definedName name="mcm_actual31">#REF!</definedName>
    <definedName name="mcm_actual32">#REF!</definedName>
    <definedName name="mcm_actual33">#REF!</definedName>
    <definedName name="mcm_actual34">#REF!</definedName>
    <definedName name="mcm_actual40">#REF!</definedName>
    <definedName name="mcm_actual50">#REF!</definedName>
    <definedName name="mcm_actual51">#REF!</definedName>
    <definedName name="mcm_actual52">#REF!</definedName>
    <definedName name="mcm_actual53">#REF!</definedName>
    <definedName name="mcm_actual54">#REF!</definedName>
    <definedName name="mcm_actual55">#REF!</definedName>
    <definedName name="mcm_ae_ex">#REF!</definedName>
    <definedName name="mcm_ae_mh">#REF!</definedName>
    <definedName name="mcm_ae_mi">#REF!</definedName>
    <definedName name="mcm_ae_mlf">#REF!</definedName>
    <definedName name="mcm_as_ex">#REF!</definedName>
    <definedName name="mcm_as_mh">#REF!</definedName>
    <definedName name="mcm_as_mi">#REF!</definedName>
    <definedName name="mcm_as_mlf">#REF!</definedName>
    <definedName name="mcm_enc_ex">#REF!</definedName>
    <definedName name="mcm_enc_mh">#REF!</definedName>
    <definedName name="mcm_enc_mi">#REF!</definedName>
    <definedName name="mcm_enc_mlf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DEVISES">#REF!,#REF!,#REF!</definedName>
    <definedName name="MDT">#REF!</definedName>
    <definedName name="me">#REF!</definedName>
    <definedName name="Measurement">#REF!</definedName>
    <definedName name="med_30">#REF!</definedName>
    <definedName name="med_31">#REF!</definedName>
    <definedName name="med_32">#REF!</definedName>
    <definedName name="med_33">#REF!</definedName>
    <definedName name="med_34">#REF!</definedName>
    <definedName name="med_40">#REF!</definedName>
    <definedName name="med_50">#REF!</definedName>
    <definedName name="med_51">#REF!</definedName>
    <definedName name="med_52">#REF!</definedName>
    <definedName name="med_53">#REF!</definedName>
    <definedName name="med_54">#REF!</definedName>
    <definedName name="med_55">#REF!</definedName>
    <definedName name="med_actual30">#REF!</definedName>
    <definedName name="med_actual31">#REF!</definedName>
    <definedName name="med_actual32">#REF!</definedName>
    <definedName name="med_actual33">#REF!</definedName>
    <definedName name="med_actual34">#REF!</definedName>
    <definedName name="med_actual40">#REF!</definedName>
    <definedName name="med_actual50">#REF!</definedName>
    <definedName name="med_actual51">#REF!</definedName>
    <definedName name="med_actual52">#REF!</definedName>
    <definedName name="med_actual53">#REF!</definedName>
    <definedName name="med_actual54">#REF!</definedName>
    <definedName name="med_actual55">#REF!</definedName>
    <definedName name="med_ae_ex">#REF!</definedName>
    <definedName name="med_ae_mh">#REF!</definedName>
    <definedName name="med_ae_mi">#REF!</definedName>
    <definedName name="med_ae_mlf">#REF!</definedName>
    <definedName name="med_as_ex">#REF!</definedName>
    <definedName name="med_as_mh">#REF!</definedName>
    <definedName name="med_as_mi">#REF!</definedName>
    <definedName name="med_as_mlf">#REF!</definedName>
    <definedName name="med_enc_ex">#REF!</definedName>
    <definedName name="med_enc_mh">#REF!</definedName>
    <definedName name="med_enc_mi">#REF!</definedName>
    <definedName name="med_enc_mlf">#REF!</definedName>
    <definedName name="MedianPreVal_IndustryGroup">#REF!</definedName>
    <definedName name="MedianRaised_IndustryGroup">#REF!</definedName>
    <definedName name="Medians_IndustryGroup">#REF!</definedName>
    <definedName name="Medical">#REF!</definedName>
    <definedName name="Medium">#REF!</definedName>
    <definedName name="Medium2">#REF!</definedName>
    <definedName name="Medium3">#REF!</definedName>
    <definedName name="Medium4">#REF!</definedName>
    <definedName name="Medium5">#REF!</definedName>
    <definedName name="Medium6">#REF!</definedName>
    <definedName name="Medium7">#REF!</definedName>
    <definedName name="Medium8">#REF!</definedName>
    <definedName name="Medium9">#REF!</definedName>
    <definedName name="memoAdd">#REF!</definedName>
    <definedName name="MEN">#REF!</definedName>
    <definedName name="MENU">#REF!</definedName>
    <definedName name="MENUALTERA">#REF!</definedName>
    <definedName name="MENUIMPR">#REF!</definedName>
    <definedName name="MENUOH">#REF!</definedName>
    <definedName name="mepcocsau1">#REF!</definedName>
    <definedName name="mepcoctr100">#REF!</definedName>
    <definedName name="mepcoctr60">#REF!</definedName>
    <definedName name="MerrillPrintIt">#REF!</definedName>
    <definedName name="MES">#REF!</definedName>
    <definedName name="metal10d">#REF!</definedName>
    <definedName name="metal20d">#REF!</definedName>
    <definedName name="MethodAcc">#REF!</definedName>
    <definedName name="MEWarning">1</definedName>
    <definedName name="mfg">#REF!</definedName>
    <definedName name="mfgr">#REF!</definedName>
    <definedName name="mfgtest">#REF!</definedName>
    <definedName name="mfi">#REF!</definedName>
    <definedName name="MFRF">#REF!,#REF!,#REF!,#REF!,#REF!</definedName>
    <definedName name="MG_A">#REF!</definedName>
    <definedName name="mg_data">#REF!</definedName>
    <definedName name="MGB">#REF!</definedName>
    <definedName name="MGG">#REF!</definedName>
    <definedName name="MgnName">#REF!</definedName>
    <definedName name="MGP">#REF!</definedName>
    <definedName name="MGRREM">#REF!</definedName>
    <definedName name="MGS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caela">#REF!</definedName>
    <definedName name="MIDA_IV">#REF!</definedName>
    <definedName name="MIDA_VI">#REF!</definedName>
    <definedName name="MiddleRow">#REF!</definedName>
    <definedName name="MiddleRowYr2">#REF!</definedName>
    <definedName name="MiddleRowYr3">#REF!</definedName>
    <definedName name="Mietleitungen">#REF!</definedName>
    <definedName name="mihir">#REF!</definedName>
    <definedName name="mihir1">#REF!</definedName>
    <definedName name="mim">#REF!</definedName>
    <definedName name="MIN">#REF!</definedName>
    <definedName name="Mine">#REF!</definedName>
    <definedName name="mio">#REF!</definedName>
    <definedName name="misc">#REF!</definedName>
    <definedName name="misc.exps">#REF!</definedName>
    <definedName name="MISC_EXP">#REF!</definedName>
    <definedName name="Miscellaneous">#REF!</definedName>
    <definedName name="Miscelleneous_2002">#REF!</definedName>
    <definedName name="Miscelleneous_2002_Print">#REF!</definedName>
    <definedName name="missing" localSheetId="7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missing" localSheetId="10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missing" localSheetId="0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missing" localSheetId="9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missing" localSheetId="11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missing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MIX">#REF!</definedName>
    <definedName name="mji" localSheetId="7">{#N/A,#N/A,TRUE,"ADVANCE SUMM.";#N/A,#N/A,TRUE,"KEITH";#N/A,#N/A,TRUE,"WES"}</definedName>
    <definedName name="mji" localSheetId="10" hidden="1">{#N/A,#N/A,TRUE,"ADVANCE SUMM.";#N/A,#N/A,TRUE,"KEITH";#N/A,#N/A,TRUE,"WES"}</definedName>
    <definedName name="mji" localSheetId="0" hidden="1">{#N/A,#N/A,TRUE,"ADVANCE SUMM.";#N/A,#N/A,TRUE,"KEITH";#N/A,#N/A,TRUE,"WES"}</definedName>
    <definedName name="mji" localSheetId="9" hidden="1">{#N/A,#N/A,TRUE,"ADVANCE SUMM.";#N/A,#N/A,TRUE,"KEITH";#N/A,#N/A,TRUE,"WES"}</definedName>
    <definedName name="mji" localSheetId="11" hidden="1">{#N/A,#N/A,TRUE,"ADVANCE SUMM.";#N/A,#N/A,TRUE,"KEITH";#N/A,#N/A,TRUE,"WES"}</definedName>
    <definedName name="mji" hidden="1">{#N/A,#N/A,TRUE,"ADVANCE SUMM.";#N/A,#N/A,TRUE,"KEITH";#N/A,#N/A,TRUE,"WES"}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" localSheetId="7">{#N/A,#N/A,TRUE,"ADVANCE SUMM.";#N/A,#N/A,TRUE,"KEITH";#N/A,#N/A,TRUE,"WES"}</definedName>
    <definedName name="mkh" localSheetId="10" hidden="1">{#N/A,#N/A,TRUE,"ADVANCE SUMM.";#N/A,#N/A,TRUE,"KEITH";#N/A,#N/A,TRUE,"WES"}</definedName>
    <definedName name="mkh" localSheetId="0" hidden="1">{#N/A,#N/A,TRUE,"ADVANCE SUMM.";#N/A,#N/A,TRUE,"KEITH";#N/A,#N/A,TRUE,"WES"}</definedName>
    <definedName name="mkh" localSheetId="9" hidden="1">{#N/A,#N/A,TRUE,"ADVANCE SUMM.";#N/A,#N/A,TRUE,"KEITH";#N/A,#N/A,TRUE,"WES"}</definedName>
    <definedName name="mkh" localSheetId="11" hidden="1">{#N/A,#N/A,TRUE,"ADVANCE SUMM.";#N/A,#N/A,TRUE,"KEITH";#N/A,#N/A,TRUE,"WES"}</definedName>
    <definedName name="mkh" hidden="1">{#N/A,#N/A,TRUE,"ADVANCE SUMM.";#N/A,#N/A,TRUE,"KEITH";#N/A,#N/A,TRUE,"WES"}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KT">#REF!</definedName>
    <definedName name="mktsize2data">#REF!</definedName>
    <definedName name="mktsize34">#REF!</definedName>
    <definedName name="mktsize64data">#REF!</definedName>
    <definedName name="mktsize9.6">#REF!</definedName>
    <definedName name="mluoncap15">#REF!</definedName>
    <definedName name="mm" localSheetId="7">{"'Sample Status'!$A$1:$J$21"}</definedName>
    <definedName name="mm" localSheetId="10" hidden="1">{"'Sample Status'!$A$1:$J$21"}</definedName>
    <definedName name="mm" localSheetId="0" hidden="1">{"'Sample Status'!$A$1:$J$21"}</definedName>
    <definedName name="mm" localSheetId="9" hidden="1">{"'Sample Status'!$A$1:$J$21"}</definedName>
    <definedName name="mm" localSheetId="11" hidden="1">{"'Sample Status'!$A$1:$J$21"}</definedName>
    <definedName name="mm" hidden="1">{"'Sample Status'!$A$1:$J$21"}</definedName>
    <definedName name="mm_1" localSheetId="7">{"'Sample Status'!$A$1:$J$21"}</definedName>
    <definedName name="mm_1" localSheetId="10" hidden="1">{"'Sample Status'!$A$1:$J$21"}</definedName>
    <definedName name="mm_1" localSheetId="0" hidden="1">{"'Sample Status'!$A$1:$J$21"}</definedName>
    <definedName name="mm_1" localSheetId="9" hidden="1">{"'Sample Status'!$A$1:$J$21"}</definedName>
    <definedName name="mm_1" localSheetId="11" hidden="1">{"'Sample Status'!$A$1:$J$21"}</definedName>
    <definedName name="mm_1" hidden="1">{"'Sample Status'!$A$1:$J$21"}</definedName>
    <definedName name="mm_2" localSheetId="7">{"'Sample Status'!$A$1:$J$21"}</definedName>
    <definedName name="mm_2" localSheetId="10" hidden="1">{"'Sample Status'!$A$1:$J$21"}</definedName>
    <definedName name="mm_2" localSheetId="0" hidden="1">{"'Sample Status'!$A$1:$J$21"}</definedName>
    <definedName name="mm_2" localSheetId="9" hidden="1">{"'Sample Status'!$A$1:$J$21"}</definedName>
    <definedName name="mm_2" localSheetId="11" hidden="1">{"'Sample Status'!$A$1:$J$21"}</definedName>
    <definedName name="mm_2" hidden="1">{"'Sample Status'!$A$1:$J$21"}</definedName>
    <definedName name="mmai2.7">#REF!</definedName>
    <definedName name="mmm" localSheetId="7">{#N/A,#N/A,FALSE,"Const";#N/A,#N/A,FALSE,"P&amp;L";#N/A,#N/A,FALSE,"Sale"}</definedName>
    <definedName name="mmm" localSheetId="10" hidden="1">{#N/A,#N/A,FALSE,"Const";#N/A,#N/A,FALSE,"P&amp;L";#N/A,#N/A,FALSE,"Sale"}</definedName>
    <definedName name="mmm" localSheetId="0" hidden="1">{#N/A,#N/A,FALSE,"Const";#N/A,#N/A,FALSE,"P&amp;L";#N/A,#N/A,FALSE,"Sale"}</definedName>
    <definedName name="mmm" localSheetId="9" hidden="1">{#N/A,#N/A,FALSE,"Const";#N/A,#N/A,FALSE,"P&amp;L";#N/A,#N/A,FALSE,"Sale"}</definedName>
    <definedName name="mmm" localSheetId="11" hidden="1">{#N/A,#N/A,FALSE,"Const";#N/A,#N/A,FALSE,"P&amp;L";#N/A,#N/A,FALSE,"Sale"}</definedName>
    <definedName name="mmm" hidden="1">{#N/A,#N/A,FALSE,"Const";#N/A,#N/A,FALSE,"P&amp;L";#N/A,#N/A,FALSE,"Sale"}</definedName>
    <definedName name="mmmm" hidden="1">#REF!</definedName>
    <definedName name="mmmmkkl9" hidden="1">#REF!</definedName>
    <definedName name="mmmmm">#REF!</definedName>
    <definedName name="mmmmmmmmmmmmmm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nat1Kostenstelle">#REF!</definedName>
    <definedName name="Monetary_Precision">#REF!</definedName>
    <definedName name="Monetary_precision1">#REF!</definedName>
    <definedName name="MonetaryPrecision">#REF!</definedName>
    <definedName name="MONTH">#REF!</definedName>
    <definedName name="MONTH_DATE">#REF!</definedName>
    <definedName name="Month_End">#REF!</definedName>
    <definedName name="Month_N">#REF!</definedName>
    <definedName name="Month_of_activity">#REF!</definedName>
    <definedName name="Month_of_exploitation">#REF!</definedName>
    <definedName name="Month_Start">#REF!</definedName>
    <definedName name="MONTH1">#REF!</definedName>
    <definedName name="Month2">#REF!</definedName>
    <definedName name="MonthList">#REF!</definedName>
    <definedName name="MonthlyBudget">#REF!</definedName>
    <definedName name="Monthnum">#REF!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CA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p">#REF!</definedName>
    <definedName name="MP_accounts">#REF!</definedName>
    <definedName name="MP_cost_centers">#REF!</definedName>
    <definedName name="MP_data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r10resi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den" localSheetId="7">{#N/A,#N/A,TRUE,"Financials";#N/A,#N/A,TRUE,"Operating Statistics";#N/A,#N/A,TRUE,"Capex &amp; Depreciation";#N/A,#N/A,TRUE,"Debt"}</definedName>
    <definedName name="mr10residen" localSheetId="10" hidden="1">{#N/A,#N/A,TRUE,"Financials";#N/A,#N/A,TRUE,"Operating Statistics";#N/A,#N/A,TRUE,"Capex &amp; Depreciation";#N/A,#N/A,TRUE,"Debt"}</definedName>
    <definedName name="mr10residen" localSheetId="0" hidden="1">{#N/A,#N/A,TRUE,"Financials";#N/A,#N/A,TRUE,"Operating Statistics";#N/A,#N/A,TRUE,"Capex &amp; Depreciation";#N/A,#N/A,TRUE,"Debt"}</definedName>
    <definedName name="mr10residen" localSheetId="9" hidden="1">{#N/A,#N/A,TRUE,"Financials";#N/A,#N/A,TRUE,"Operating Statistics";#N/A,#N/A,TRUE,"Capex &amp; Depreciation";#N/A,#N/A,TRUE,"Debt"}</definedName>
    <definedName name="mr10residen" localSheetId="11" hidden="1">{#N/A,#N/A,TRUE,"Financials";#N/A,#N/A,TRUE,"Operating Statistics";#N/A,#N/A,TRUE,"Capex &amp; Depreciation";#N/A,#N/A,TRUE,"Debt"}</definedName>
    <definedName name="mr10residen" hidden="1">{#N/A,#N/A,TRUE,"Financials";#N/A,#N/A,TRUE,"Operating Statistics";#N/A,#N/A,TRUE,"Capex &amp; Depreciation";#N/A,#N/A,TRUE,"Debt"}</definedName>
    <definedName name="mraibtsp500">#REF!</definedName>
    <definedName name="mraintn100">#REF!</definedName>
    <definedName name="mraintn65">#REF!</definedName>
    <definedName name="MRCODE">#REF!</definedName>
    <definedName name="MRKTNG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">#REF!</definedName>
    <definedName name="MS_IS">#REF!</definedName>
    <definedName name="MS_list">#REF!</definedName>
    <definedName name="MS_matcost">#REF!</definedName>
    <definedName name="MS_pri">#REF!</definedName>
    <definedName name="ms_sale">#REF!</definedName>
    <definedName name="MS_Salesvar">#REF!</definedName>
    <definedName name="ms1div">#REF!</definedName>
    <definedName name="MS1exp">#REF!</definedName>
    <definedName name="ms1product">#REF!</definedName>
    <definedName name="ms1var">#REF!</definedName>
    <definedName name="ms2div">#REF!</definedName>
    <definedName name="MS2exp">#REF!</definedName>
    <definedName name="ms2product">#REF!</definedName>
    <definedName name="MS2var">#REF!</definedName>
    <definedName name="msa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SECov">#REF!</definedName>
    <definedName name="msexp">#REF!</definedName>
    <definedName name="MSpromo">#REF!</definedName>
    <definedName name="MSRL_IS">#REF!</definedName>
    <definedName name="MSsale">#REF!</definedName>
    <definedName name="MSTable">#REF!</definedName>
    <definedName name="MStVal">#REF!</definedName>
    <definedName name="MSUBB">#REF!</definedName>
    <definedName name="MSUBG">#REF!</definedName>
    <definedName name="MSUBP">#REF!</definedName>
    <definedName name="MSUBS">#REF!</definedName>
    <definedName name="mtaukeo150">#REF!</definedName>
    <definedName name="mtaukeo360">#REF!</definedName>
    <definedName name="mtaukeo600">#REF!</definedName>
    <definedName name="mtb">#REF!</definedName>
    <definedName name="mtbipvlan150">#REF!</definedName>
    <definedName name="mtd">#REF!</definedName>
    <definedName name="MTH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e">#REF!</definedName>
    <definedName name="Multispeciality_Selling">#REF!</definedName>
    <definedName name="Multispecilality_Sales_Promotion">#REF!</definedName>
    <definedName name="MUMBAI">#REF!</definedName>
    <definedName name="MUMBAI_HC">#REF!</definedName>
    <definedName name="muonong2.8">#REF!</definedName>
    <definedName name="MUSICSYSTEM">#REF!</definedName>
    <definedName name="mvanthang0.3">#REF!</definedName>
    <definedName name="mvanthang0.5">#REF!</definedName>
    <definedName name="mvanthang2">#REF!</definedName>
    <definedName name="MW">#REF!</definedName>
    <definedName name="MW_PA">#REF!</definedName>
    <definedName name="MWW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myrange">#REF!</definedName>
    <definedName name="N">#REF!</definedName>
    <definedName name="N_1">#REF!</definedName>
    <definedName name="na" localSheetId="7">{#N/A,#N/A,FALSE,"$170M Cash";#N/A,#N/A,FALSE,"$250M Cash";#N/A,#N/A,FALSE,"$325M Cash"}</definedName>
    <definedName name="na" localSheetId="10" hidden="1">{#N/A,#N/A,FALSE,"$170M Cash";#N/A,#N/A,FALSE,"$250M Cash";#N/A,#N/A,FALSE,"$325M Cash"}</definedName>
    <definedName name="na" localSheetId="0" hidden="1">{#N/A,#N/A,FALSE,"$170M Cash";#N/A,#N/A,FALSE,"$250M Cash";#N/A,#N/A,FALSE,"$325M Cash"}</definedName>
    <definedName name="na" localSheetId="9" hidden="1">{#N/A,#N/A,FALSE,"$170M Cash";#N/A,#N/A,FALSE,"$250M Cash";#N/A,#N/A,FALSE,"$325M Cash"}</definedName>
    <definedName name="na" localSheetId="11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AL">#REF!</definedName>
    <definedName name="name">#REF!</definedName>
    <definedName name="name2">#REF!</definedName>
    <definedName name="NatureBusiness">#REF!</definedName>
    <definedName name="navi" localSheetId="7">{#N/A,#N/A,TRUE,"ADVANCE SUMM.";#N/A,#N/A,TRUE,"KEITH";#N/A,#N/A,TRUE,"WES"}</definedName>
    <definedName name="navi" localSheetId="10" hidden="1">{#N/A,#N/A,TRUE,"ADVANCE SUMM.";#N/A,#N/A,TRUE,"KEITH";#N/A,#N/A,TRUE,"WES"}</definedName>
    <definedName name="navi" localSheetId="0" hidden="1">{#N/A,#N/A,TRUE,"ADVANCE SUMM.";#N/A,#N/A,TRUE,"KEITH";#N/A,#N/A,TRUE,"WES"}</definedName>
    <definedName name="navi" localSheetId="9" hidden="1">{#N/A,#N/A,TRUE,"ADVANCE SUMM.";#N/A,#N/A,TRUE,"KEITH";#N/A,#N/A,TRUE,"WES"}</definedName>
    <definedName name="navi" localSheetId="11" hidden="1">{#N/A,#N/A,TRUE,"ADVANCE SUMM.";#N/A,#N/A,TRUE,"KEITH";#N/A,#N/A,TRUE,"WES"}</definedName>
    <definedName name="navi" hidden="1">{#N/A,#N/A,TRUE,"ADVANCE SUMM.";#N/A,#N/A,TRUE,"KEITH";#N/A,#N/A,TRUE,"WES"}</definedName>
    <definedName name="Navision" hidden="1">#REF!</definedName>
    <definedName name="NavPoint">#REF!</definedName>
    <definedName name="nbcrrr" hidden="1">#REF!</definedName>
    <definedName name="nbkubv" hidden="1">#REF!</definedName>
    <definedName name="nc">#REF!</definedName>
    <definedName name="ncong">#REF!</definedName>
    <definedName name="ndata">#REF!</definedName>
    <definedName name="neoonc">#REF!</definedName>
    <definedName name="neoonc1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book_value_fixed_assets">#REF!</definedName>
    <definedName name="netdebt">#REF!</definedName>
    <definedName name="netdebt2">#REF!</definedName>
    <definedName name="Networking_Universe">#REF!</definedName>
    <definedName name="neu">#REF!</definedName>
    <definedName name="NEUC">#REF!</definedName>
    <definedName name="NEUCHATEL">#REF!</definedName>
    <definedName name="new">#REF!</definedName>
    <definedName name="new_30">#REF!</definedName>
    <definedName name="new_31">#REF!</definedName>
    <definedName name="new_32">#REF!</definedName>
    <definedName name="new_33">#REF!</definedName>
    <definedName name="new_34">#REF!</definedName>
    <definedName name="new_40">#REF!</definedName>
    <definedName name="new_50">#REF!</definedName>
    <definedName name="new_51">#REF!</definedName>
    <definedName name="new_52">#REF!</definedName>
    <definedName name="new_53">#REF!</definedName>
    <definedName name="new_54">#REF!</definedName>
    <definedName name="new_55">#REF!</definedName>
    <definedName name="New_Dry_Coatings">#REF!</definedName>
    <definedName name="new_monthly" localSheetId="7">{#N/A,#N/A,FALSE,"Global by BU";#N/A,#N/A,FALSE,"U.S. by BU";#N/A,#N/A,FALSE,"Canada by BU";#N/A,#N/A,FALSE,"Europe by BU";#N/A,#N/A,FALSE,"Asia by BU";#N/A,#N/A,FALSE,"Cala by BU"}</definedName>
    <definedName name="new_monthly" localSheetId="10" hidden="1">{#N/A,#N/A,FALSE,"Global by BU";#N/A,#N/A,FALSE,"U.S. by BU";#N/A,#N/A,FALSE,"Canada by BU";#N/A,#N/A,FALSE,"Europe by BU";#N/A,#N/A,FALSE,"Asia by BU";#N/A,#N/A,FALSE,"Cala by BU"}</definedName>
    <definedName name="new_monthly" localSheetId="0" hidden="1">{#N/A,#N/A,FALSE,"Global by BU";#N/A,#N/A,FALSE,"U.S. by BU";#N/A,#N/A,FALSE,"Canada by BU";#N/A,#N/A,FALSE,"Europe by BU";#N/A,#N/A,FALSE,"Asia by BU";#N/A,#N/A,FALSE,"Cala by BU"}</definedName>
    <definedName name="new_monthly" localSheetId="9" hidden="1">{#N/A,#N/A,FALSE,"Global by BU";#N/A,#N/A,FALSE,"U.S. by BU";#N/A,#N/A,FALSE,"Canada by BU";#N/A,#N/A,FALSE,"Europe by BU";#N/A,#N/A,FALSE,"Asia by BU";#N/A,#N/A,FALSE,"Cala by BU"}</definedName>
    <definedName name="new_monthly" localSheetId="11" hidden="1">{#N/A,#N/A,FALSE,"Global by BU";#N/A,#N/A,FALSE,"U.S. by BU";#N/A,#N/A,FALSE,"Canada by BU";#N/A,#N/A,FALSE,"Europe by BU";#N/A,#N/A,FALSE,"Asia by BU";#N/A,#N/A,FALSE,"Cala by BU"}</definedName>
    <definedName name="new_monthly" hidden="1">{#N/A,#N/A,FALSE,"Global by BU";#N/A,#N/A,FALSE,"U.S. by BU";#N/A,#N/A,FALSE,"Canada by BU";#N/A,#N/A,FALSE,"Europe by BU";#N/A,#N/A,FALSE,"Asia by BU";#N/A,#N/A,FALSE,"Cala by BU"}</definedName>
    <definedName name="New_Reused">#REF!</definedName>
    <definedName name="New_Salaries">#REF!</definedName>
    <definedName name="newack2">#REF!</definedName>
    <definedName name="NewContent">#REF!,#REF!,#REF!,#REF!</definedName>
    <definedName name="newdata">#REF!</definedName>
    <definedName name="newdata2">#REF!</definedName>
    <definedName name="NewRange">#REF!</definedName>
    <definedName name="News_Archives">#REF!</definedName>
    <definedName name="next">#REF!</definedName>
    <definedName name="Next.Up">#REF!</definedName>
    <definedName name="nfhnhj7" hidden="1">#REF!</definedName>
    <definedName name="NH">#REF!</definedName>
    <definedName name="nhfdh6" hidden="1">#REF!</definedName>
    <definedName name="NHot">#REF!</definedName>
    <definedName name="nikhil" localSheetId="7">{#N/A,#N/A,FALSE,"SCHDULE F"}</definedName>
    <definedName name="nikhil" localSheetId="10" hidden="1">{#N/A,#N/A,FALSE,"SCHDULE F"}</definedName>
    <definedName name="nikhil" localSheetId="0" hidden="1">{#N/A,#N/A,FALSE,"SCHDULE F"}</definedName>
    <definedName name="nikhil" localSheetId="9" hidden="1">{#N/A,#N/A,FALSE,"SCHDULE F"}</definedName>
    <definedName name="nikhil" localSheetId="11" hidden="1">{#N/A,#N/A,FALSE,"SCHDULE F"}</definedName>
    <definedName name="nikhil" hidden="1">{#N/A,#N/A,FALSE,"SCHDULE F"}</definedName>
    <definedName name="nikhil_1" localSheetId="7">{#N/A,#N/A,FALSE,"SCHDULE F"}</definedName>
    <definedName name="nikhil_1" localSheetId="10" hidden="1">{#N/A,#N/A,FALSE,"SCHDULE F"}</definedName>
    <definedName name="nikhil_1" localSheetId="0" hidden="1">{#N/A,#N/A,FALSE,"SCHDULE F"}</definedName>
    <definedName name="nikhil_1" localSheetId="9" hidden="1">{#N/A,#N/A,FALSE,"SCHDULE F"}</definedName>
    <definedName name="nikhil_1" localSheetId="11" hidden="1">{#N/A,#N/A,FALSE,"SCHDULE F"}</definedName>
    <definedName name="nikhil_1" hidden="1">{#N/A,#N/A,FALSE,"SCHDULE F"}</definedName>
    <definedName name="nikhil_2" localSheetId="7">{#N/A,#N/A,FALSE,"SCHDULE F"}</definedName>
    <definedName name="nikhil_2" localSheetId="10" hidden="1">{#N/A,#N/A,FALSE,"SCHDULE F"}</definedName>
    <definedName name="nikhil_2" localSheetId="0" hidden="1">{#N/A,#N/A,FALSE,"SCHDULE F"}</definedName>
    <definedName name="nikhil_2" localSheetId="9" hidden="1">{#N/A,#N/A,FALSE,"SCHDULE F"}</definedName>
    <definedName name="nikhil_2" localSheetId="11" hidden="1">{#N/A,#N/A,FALSE,"SCHDULE F"}</definedName>
    <definedName name="nikhil_2" hidden="1">{#N/A,#N/A,FALSE,"SCHDULE F"}</definedName>
    <definedName name="niks" hidden="1">#REF!</definedName>
    <definedName name="njjj" hidden="1">#REF!</definedName>
    <definedName name="nkjsdkasjkdkj">#REF!</definedName>
    <definedName name="NLG">#REF!</definedName>
    <definedName name="nn">#REF!</definedName>
    <definedName name="nnn">#REF!</definedName>
    <definedName name="nnnn">#REF!</definedName>
    <definedName name="nnnnnn6" hidden="1">#REF!</definedName>
    <definedName name="nnnnnnnn">#REF!</definedName>
    <definedName name="nnnnnnnnnnnnnnn" hidden="1">#REF!</definedName>
    <definedName name="NO">#REF!</definedName>
    <definedName name="no_quote_reason_range">#REF!</definedName>
    <definedName name="no_quote_reason_range2">#REF!</definedName>
    <definedName name="NO_UPDATE">#REF!</definedName>
    <definedName name="NoConsolList">#REF!</definedName>
    <definedName name="Non">#REF!</definedName>
    <definedName name="nonfact">#REF!</definedName>
    <definedName name="NONINTEREST_REVENU">#REF!</definedName>
    <definedName name="NOOFFFSEGMENTS1">#REF!</definedName>
    <definedName name="NORCE">#REF!</definedName>
    <definedName name="NORCEPH">#REF!</definedName>
    <definedName name="NORFLO">#REF!</definedName>
    <definedName name="NORFLOXA">#REF!</definedName>
    <definedName name="NORM">#REF!</definedName>
    <definedName name="NotActive">#REF!</definedName>
    <definedName name="Note">#REF!</definedName>
    <definedName name="Note_1">#REF!</definedName>
    <definedName name="note_1_2">#REF!</definedName>
    <definedName name="Note_10_12">#REF!</definedName>
    <definedName name="note_2">#REF!</definedName>
    <definedName name="NOTE_234c">#REF!</definedName>
    <definedName name="NOTE_3">#REF!</definedName>
    <definedName name="NOTE_4">#REF!</definedName>
    <definedName name="NOTE_4_5">#REF!</definedName>
    <definedName name="Note_7_9">#REF!</definedName>
    <definedName name="note_7_bus_loss">#REF!</definedName>
    <definedName name="NOTE1">#REF!</definedName>
    <definedName name="note1_2">#REF!</definedName>
    <definedName name="NOTE11">#REF!</definedName>
    <definedName name="NOTE12">#REF!</definedName>
    <definedName name="NOTE13">#REF!</definedName>
    <definedName name="NOTE14">#REF!</definedName>
    <definedName name="NOTE15">#REF!</definedName>
    <definedName name="NOTE16">#REF!</definedName>
    <definedName name="NOTE17">#REF!</definedName>
    <definedName name="NOTE18">#REF!</definedName>
    <definedName name="NOTE19">#REF!</definedName>
    <definedName name="NOTE2">#REF!</definedName>
    <definedName name="NOTE20">#REF!</definedName>
    <definedName name="NOTE21">#REF!</definedName>
    <definedName name="NOTE3">#REF!</definedName>
    <definedName name="NOTE4">#REF!</definedName>
    <definedName name="NOTE5">#REF!</definedName>
    <definedName name="NOTE6">#REF!</definedName>
    <definedName name="NOTE7">#REF!</definedName>
    <definedName name="NOTE8">#REF!</definedName>
    <definedName name="NOTE9">#REF!</definedName>
    <definedName name="NOTES">#REF!</definedName>
    <definedName name="notes_1_4">#REF!</definedName>
    <definedName name="Notes_1_6">#REF!</definedName>
    <definedName name="NOTES_MAINCOMP">#REF!</definedName>
    <definedName name="NOTES_ON_ACCT">#REF!</definedName>
    <definedName name="NOTICE">#REF!</definedName>
    <definedName name="NOTICE_TO_AGM" localSheetId="7">#REF!</definedName>
    <definedName name="NOTICE_TO_AGM">#N/A</definedName>
    <definedName name="NotIncluded">#REF!</definedName>
    <definedName name="NoTotalList">#REF!</definedName>
    <definedName name="NOV">#REF!</definedName>
    <definedName name="NOVEXP">#REF!</definedName>
    <definedName name="np">#REF!</definedName>
    <definedName name="NPV">#REF!</definedName>
    <definedName name="NRI_MKT1">#REF!</definedName>
    <definedName name="NS">#REF!</definedName>
    <definedName name="nSkip">15</definedName>
    <definedName name="NTD">#REF!</definedName>
    <definedName name="nts">#REF!</definedName>
    <definedName name="NUM_OF_COS">#REF!</definedName>
    <definedName name="Num_Pmt_Per_Year">#REF!</definedName>
    <definedName name="NUMBER">#REF!</definedName>
    <definedName name="Number_of_Payments" localSheetId="7">MATCH(0.01,End_Bal,-1)+1</definedName>
    <definedName name="Number_of_Payments" localSheetId="10">MATCH(0.01,End_Bal,-1)+1</definedName>
    <definedName name="Number_of_Payments" localSheetId="0">MATCH(0.01,End_Bal,-1)+1</definedName>
    <definedName name="Number_of_Payments" localSheetId="9">MATCH(0.01,End_Bal,-1)+1</definedName>
    <definedName name="Number_of_Payments" localSheetId="11">MATCH(0.01,End_Bal,-1)+1</definedName>
    <definedName name="Number_of_Payments">MATCH(0.01,End_Bal,-1)+1</definedName>
    <definedName name="NUMBEROFDETAILFIELDS1">#REF!</definedName>
    <definedName name="NUMBEROFHEADERFIELDS1">#REF!</definedName>
    <definedName name="NumCBN">#REF!</definedName>
    <definedName name="NumProducts">#REF!</definedName>
    <definedName name="NumTechnologies">#REF!</definedName>
    <definedName name="NvsASD">"V1999-07-15"</definedName>
    <definedName name="NvsAutoDrillOk">"VN"</definedName>
    <definedName name="NvsElapsedTime">0.000326736109855119</definedName>
    <definedName name="NvsEndTime">35992.179075463</definedName>
    <definedName name="NvsInstSpec">"%,FDEPTID,V1608"</definedName>
    <definedName name="NvsLayoutType">"M3"</definedName>
    <definedName name="NvsNplSpec">"%,X,RZF.ACCOUNT.,CZF.."</definedName>
    <definedName name="NvsPanelEffdt">"V1998-01-16"</definedName>
    <definedName name="NvsPanelSetid">"VBISG"</definedName>
    <definedName name="NvsReqBU">"VWILCO"</definedName>
    <definedName name="NvsReqBUOnly">"VY"</definedName>
    <definedName name="NvsTransLed">"VN"</definedName>
    <definedName name="NvsTreeASD">"V1999-07-15"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W">#REF!</definedName>
    <definedName name="nwabc">#REF!</definedName>
    <definedName name="ny">#REF!</definedName>
    <definedName name="O">#REF!</definedName>
    <definedName name="O_1">#REF!</definedName>
    <definedName name="OCB">#REF!</definedName>
    <definedName name="OCL">#REF!</definedName>
    <definedName name="odaki">#REF!</definedName>
    <definedName name="OEQP">#REF!</definedName>
    <definedName name="off">#REF!</definedName>
    <definedName name="office">#REF!</definedName>
    <definedName name="Office_Code">#REF!</definedName>
    <definedName name="OFFICE_EQUIPMENT">#REF!</definedName>
    <definedName name="OFFICELEASE">#REF!</definedName>
    <definedName name="Offset_Indicator_EM">#REF!</definedName>
    <definedName name="Offshore_NOC_Rate">#REF!</definedName>
    <definedName name="Offshore_Rate">#REF!</definedName>
    <definedName name="Offshore_Tester_Rate">#REF!</definedName>
    <definedName name="OFLOXA">#REF!</definedName>
    <definedName name="ois.">#REF!</definedName>
    <definedName name="ok">#REF!</definedName>
    <definedName name="ol" localSheetId="7">{#N/A,#N/A,TRUE,"ADVANCE SUMM.";#N/A,#N/A,TRUE,"KEITH";#N/A,#N/A,TRUE,"WES"}</definedName>
    <definedName name="ol" localSheetId="10" hidden="1">{#N/A,#N/A,TRUE,"ADVANCE SUMM.";#N/A,#N/A,TRUE,"KEITH";#N/A,#N/A,TRUE,"WES"}</definedName>
    <definedName name="ol" localSheetId="0" hidden="1">{#N/A,#N/A,TRUE,"ADVANCE SUMM.";#N/A,#N/A,TRUE,"KEITH";#N/A,#N/A,TRUE,"WES"}</definedName>
    <definedName name="ol" localSheetId="9" hidden="1">{#N/A,#N/A,TRUE,"ADVANCE SUMM.";#N/A,#N/A,TRUE,"KEITH";#N/A,#N/A,TRUE,"WES"}</definedName>
    <definedName name="ol" localSheetId="11" hidden="1">{#N/A,#N/A,TRUE,"ADVANCE SUMM.";#N/A,#N/A,TRUE,"KEITH";#N/A,#N/A,TRUE,"WES"}</definedName>
    <definedName name="ol" hidden="1">{#N/A,#N/A,TRUE,"ADVANCE SUMM.";#N/A,#N/A,TRUE,"KEITH";#N/A,#N/A,TRUE,"WES"}</definedName>
    <definedName name="old">#REF!</definedName>
    <definedName name="old_serial">#REF!</definedName>
    <definedName name="olddata">#REF!</definedName>
    <definedName name="olddata1">#REF!</definedName>
    <definedName name="olddata2">#REF!</definedName>
    <definedName name="olddata3">#REF!</definedName>
    <definedName name="OLE_LINK2">#REF!</definedName>
    <definedName name="OMEPRA">#REF!</definedName>
    <definedName name="OMEPRA_AL">#REF!</definedName>
    <definedName name="OMEPRA_MAG">#REF!</definedName>
    <definedName name="OMEPRA_MAGN_M">#REF!</definedName>
    <definedName name="On_Payroll">#REF!</definedName>
    <definedName name="one" localSheetId="7">{#N/A,#N/A,FALSE,"5"}</definedName>
    <definedName name="one" localSheetId="10" hidden="1">{#N/A,#N/A,FALSE,"5"}</definedName>
    <definedName name="one" localSheetId="0" hidden="1">{#N/A,#N/A,FALSE,"5"}</definedName>
    <definedName name="one" localSheetId="9" hidden="1">{#N/A,#N/A,FALSE,"5"}</definedName>
    <definedName name="one" localSheetId="11" hidden="1">{#N/A,#N/A,FALSE,"5"}</definedName>
    <definedName name="one" hidden="1">{#N/A,#N/A,FALSE,"5"}</definedName>
    <definedName name="one_1" localSheetId="7">{#N/A,#N/A,FALSE,"5"}</definedName>
    <definedName name="one_1" localSheetId="10" hidden="1">{#N/A,#N/A,FALSE,"5"}</definedName>
    <definedName name="one_1" localSheetId="0" hidden="1">{#N/A,#N/A,FALSE,"5"}</definedName>
    <definedName name="one_1" localSheetId="9" hidden="1">{#N/A,#N/A,FALSE,"5"}</definedName>
    <definedName name="one_1" localSheetId="11" hidden="1">{#N/A,#N/A,FALSE,"5"}</definedName>
    <definedName name="one_1" hidden="1">{#N/A,#N/A,FALSE,"5"}</definedName>
    <definedName name="one_2" localSheetId="7">{#N/A,#N/A,FALSE,"5"}</definedName>
    <definedName name="one_2" localSheetId="10" hidden="1">{#N/A,#N/A,FALSE,"5"}</definedName>
    <definedName name="one_2" localSheetId="0" hidden="1">{#N/A,#N/A,FALSE,"5"}</definedName>
    <definedName name="one_2" localSheetId="9" hidden="1">{#N/A,#N/A,FALSE,"5"}</definedName>
    <definedName name="one_2" localSheetId="11" hidden="1">{#N/A,#N/A,FALSE,"5"}</definedName>
    <definedName name="one_2" hidden="1">{#N/A,#N/A,FALSE,"5"}</definedName>
    <definedName name="one_million">#REF!</definedName>
    <definedName name="oneday">#REF!</definedName>
    <definedName name="ONGGONGG">#REF!</definedName>
    <definedName name="Onsite_PM_Rate">#REF!</definedName>
    <definedName name="Onsite_TL_Rate">#REF!</definedName>
    <definedName name="ONYX19970501222055">#REF!</definedName>
    <definedName name="ONYX19970501222155">#REF!</definedName>
    <definedName name="oooo">#REF!</definedName>
    <definedName name="oooooooooooooo">#REF!</definedName>
    <definedName name="ooopp">#REF!</definedName>
    <definedName name="OP">#REF!</definedName>
    <definedName name="opening">#REF!</definedName>
    <definedName name="Operation">#REF!</definedName>
    <definedName name="Operation800">#REF!</definedName>
    <definedName name="operations">#REF!</definedName>
    <definedName name="operator">#REF!</definedName>
    <definedName name="operator_number">#REF!</definedName>
    <definedName name="operators">#REF!</definedName>
    <definedName name="ophom">#REF!</definedName>
    <definedName name="OPTIONS">#REF!</definedName>
    <definedName name="opui">#REF!</definedName>
    <definedName name="OrderTable">#REF!</definedName>
    <definedName name="OSLIABS1">#REF!</definedName>
    <definedName name="OSLIABS2">#REF!</definedName>
    <definedName name="OSPrFactor">#REF!</definedName>
    <definedName name="ospspsp" localSheetId="7">{#N/A,#N/A,TRUE,"ADVANCE SUMM.";#N/A,#N/A,TRUE,"KEITH";#N/A,#N/A,TRUE,"WES"}</definedName>
    <definedName name="ospspsp" localSheetId="10" hidden="1">{#N/A,#N/A,TRUE,"ADVANCE SUMM.";#N/A,#N/A,TRUE,"KEITH";#N/A,#N/A,TRUE,"WES"}</definedName>
    <definedName name="ospspsp" localSheetId="0" hidden="1">{#N/A,#N/A,TRUE,"ADVANCE SUMM.";#N/A,#N/A,TRUE,"KEITH";#N/A,#N/A,TRUE,"WES"}</definedName>
    <definedName name="ospspsp" localSheetId="9" hidden="1">{#N/A,#N/A,TRUE,"ADVANCE SUMM.";#N/A,#N/A,TRUE,"KEITH";#N/A,#N/A,TRUE,"WES"}</definedName>
    <definedName name="ospspsp" localSheetId="11" hidden="1">{#N/A,#N/A,TRUE,"ADVANCE SUMM.";#N/A,#N/A,TRUE,"KEITH";#N/A,#N/A,TRUE,"WES"}</definedName>
    <definedName name="ospspsp" hidden="1">{#N/A,#N/A,TRUE,"ADVANCE SUMM.";#N/A,#N/A,TRUE,"KEITH";#N/A,#N/A,TRUE,"WES"}</definedName>
    <definedName name="OTH_COS">#REF!</definedName>
    <definedName name="OTH_INC">#REF!</definedName>
    <definedName name="OTH00">#REF!</definedName>
    <definedName name="OTHER_DATA">#REF!</definedName>
    <definedName name="OTHERFEE00">#REF!</definedName>
    <definedName name="OTHERFEE95">#REF!</definedName>
    <definedName name="OTHERFEE96">#REF!</definedName>
    <definedName name="OTHERFEE97">#REF!</definedName>
    <definedName name="OTHERFEE98">#REF!</definedName>
    <definedName name="OTHERFEE99">#REF!</definedName>
    <definedName name="otherincome">#REF!</definedName>
    <definedName name="othermfgexps">#REF!</definedName>
    <definedName name="others">#REF!</definedName>
    <definedName name="OU_CLASS">#REF!</definedName>
    <definedName name="OutGoingTraffic">#REF!</definedName>
    <definedName name="Outstanding">#REF!</definedName>
    <definedName name="OVERHEADS1">#REF!</definedName>
    <definedName name="OVERHEADS2">#REF!</definedName>
    <definedName name="P">#REF!</definedName>
    <definedName name="p.b">#REF!</definedName>
    <definedName name="P___L___Statement">#REF!</definedName>
    <definedName name="P_1">#REF!</definedName>
    <definedName name="P_L">#REF!</definedName>
    <definedName name="P_L_ACCOUNT">#REF!</definedName>
    <definedName name="P_L_GROUPING">#REF!</definedName>
    <definedName name="P_L1">#REF!</definedName>
    <definedName name="P_L2">#REF!</definedName>
    <definedName name="P_M_AC">#REF!</definedName>
    <definedName name="P2.1">#REF!</definedName>
    <definedName name="P2.2">#REF!</definedName>
    <definedName name="P7b">#REF!</definedName>
    <definedName name="P7M_COMP">#REF!</definedName>
    <definedName name="p9tg">#REF!</definedName>
    <definedName name="PA">#REF!</definedName>
    <definedName name="PA_TXd">#REF!</definedName>
    <definedName name="paa">#REF!</definedName>
    <definedName name="pab">#REF!</definedName>
    <definedName name="pac">#REF!</definedName>
    <definedName name="PACK">#REF!</definedName>
    <definedName name="pad">#REF!</definedName>
    <definedName name="paet1">#REF!</definedName>
    <definedName name="paf">#REF!</definedName>
    <definedName name="pag">#REF!</definedName>
    <definedName name="PAGE">#REF!</definedName>
    <definedName name="Page_1">#REF!</definedName>
    <definedName name="Page_2">#REF!</definedName>
    <definedName name="PAGE_3">#REF!</definedName>
    <definedName name="PAGE_4">#REF!</definedName>
    <definedName name="Page_5">#REF!</definedName>
    <definedName name="Page_6">#REF!</definedName>
    <definedName name="Page_Eighteen">#REF!</definedName>
    <definedName name="PAGE_NO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#REF!:#REF!</definedName>
    <definedName name="PAGE18">#REF!</definedName>
    <definedName name="PAGE19">#REF!</definedName>
    <definedName name="Page2">#REF!</definedName>
    <definedName name="PAGE21">#REF!</definedName>
    <definedName name="PAGE22">#REF!</definedName>
    <definedName name="Page3">#REF!</definedName>
    <definedName name="Page4">#REF!</definedName>
    <definedName name="Page5">#REF!</definedName>
    <definedName name="PAGE5A">#REF!</definedName>
    <definedName name="PAGE5B">#REF!</definedName>
    <definedName name="Page6">#REF!</definedName>
    <definedName name="Page7">#REF!</definedName>
    <definedName name="PAGE8">#REF!</definedName>
    <definedName name="PAGE9">#REF!</definedName>
    <definedName name="PAGEJ">#REF!</definedName>
    <definedName name="PAGER00">#REF!</definedName>
    <definedName name="PAGER95">#REF!</definedName>
    <definedName name="PAGER96">#REF!</definedName>
    <definedName name="PAGER97">#REF!</definedName>
    <definedName name="PAGER98">#REF!</definedName>
    <definedName name="PAGER99">#REF!</definedName>
    <definedName name="pagu6.xls">#REF!</definedName>
    <definedName name="painting">#REF!</definedName>
    <definedName name="pal_ae_ex">#REF!</definedName>
    <definedName name="pal_ae_mh">#REF!</definedName>
    <definedName name="pal_ae_mi">#REF!</definedName>
    <definedName name="pal_ae_mlf">#REF!</definedName>
    <definedName name="pal_as_ex">#REF!</definedName>
    <definedName name="pal_as_mh">#REF!</definedName>
    <definedName name="pal_as_mi">#REF!</definedName>
    <definedName name="pal_as_mlf">#REF!</definedName>
    <definedName name="pal_brm_ae_ex">#REF!</definedName>
    <definedName name="pal_brm_ae_mh">#REF!</definedName>
    <definedName name="pal_brm_ae_mi">#REF!</definedName>
    <definedName name="pal_brm_ae_mlf">#REF!</definedName>
    <definedName name="pal_brm_as_ex">#REF!</definedName>
    <definedName name="pal_brm_as_mh">#REF!</definedName>
    <definedName name="pal_brm_as_mi">#REF!</definedName>
    <definedName name="pal_brm_as_mlf">#REF!</definedName>
    <definedName name="pal_brm_enc_ex">#REF!</definedName>
    <definedName name="pal_brm_enc_mh">#REF!</definedName>
    <definedName name="pal_brm_enc_mi">#REF!</definedName>
    <definedName name="pal_brm_enc_mlf">#REF!</definedName>
    <definedName name="pal_brm_ex">#REF!</definedName>
    <definedName name="pal_brm_mh">#REF!</definedName>
    <definedName name="pal_brm_mi">#REF!</definedName>
    <definedName name="pal_brm_mlf">#REF!</definedName>
    <definedName name="pal_enc_ex">#REF!</definedName>
    <definedName name="pal_enc_mh">#REF!</definedName>
    <definedName name="pal_enc_mi">#REF!</definedName>
    <definedName name="pal_enc_mlf">#REF!</definedName>
    <definedName name="Pam" hidden="1">#REF!</definedName>
    <definedName name="PAN">#REF!</definedName>
    <definedName name="PandL">#REF!</definedName>
    <definedName name="Pankaj">#REF!</definedName>
    <definedName name="PAONTA">#REF!</definedName>
    <definedName name="par">#REF!</definedName>
    <definedName name="Param">#REF!</definedName>
    <definedName name="param2">#REF!</definedName>
    <definedName name="PARAMS">#REF!</definedName>
    <definedName name="PartDesignation">#REF!</definedName>
    <definedName name="PARTIV">#REF!</definedName>
    <definedName name="partn">#REF!</definedName>
    <definedName name="PartNo">#REF!</definedName>
    <definedName name="Parts">#REF!</definedName>
    <definedName name="PARTS_TAX" hidden="1">#REF!</definedName>
    <definedName name="Paste_Debt1">#REF!</definedName>
    <definedName name="PAT_L">#REF!</definedName>
    <definedName name="PAT_L1">#REF!</definedName>
    <definedName name="PAT_L2">#REF!</definedName>
    <definedName name="PAT_L3">#REF!</definedName>
    <definedName name="patty">#REF!</definedName>
    <definedName name="patty1">#REF!</definedName>
    <definedName name="Pay_Date">#REF!</definedName>
    <definedName name="Pay_Num">#REF!</definedName>
    <definedName name="Pay_out_ratio">#REF!</definedName>
    <definedName name="payee">#REF!</definedName>
    <definedName name="Payment_Date" localSheetId="7">DATE(YEAR(Loan_Start),MONTH(Loan_Start)+Payment_Number,DAY(Loan_Start))</definedName>
    <definedName name="Payment_Date" localSheetId="10">DATE(YEAR(Loan_Start),MONTH(Loan_Start)+Payment_Number,DAY(Loan_Start))</definedName>
    <definedName name="Payment_Date" localSheetId="0">DATE(YEAR(Loan_Start),MONTH(Loan_Start)+Payment_Number,DAY(Loan_Start))</definedName>
    <definedName name="Payment_Date" localSheetId="8">DATE(YEAR([0]!Loan_Start),MONTH([0]!Loan_Start)+Payment_Number,DAY([0]!Loan_Start))</definedName>
    <definedName name="Payment_Date" localSheetId="9">DATE(YEAR(Loan_Start),MONTH(Loan_Start)+Payment_Number,DAY(Loan_Start))</definedName>
    <definedName name="Payment_Date" localSheetId="11">DATE(YEAR(Loan_Start),MONTH(Loan_Start)+Payment_Number,DAY(Loan_Start))</definedName>
    <definedName name="Payment_Date" localSheetId="4">DATE(YEAR([0]!Loan_Start),MONTH([0]!Loan_Start)+Payment_Number,DAY([0]!Loan_Start))</definedName>
    <definedName name="Payment_Date">DATE(YEAR(Loan_Start),MONTH(Loan_Start)+Payment_Number,DAY(Loan_Start))</definedName>
    <definedName name="Payroll_Statement">#REF!</definedName>
    <definedName name="pb">#REF!</definedName>
    <definedName name="PBC">#REF!</definedName>
    <definedName name="PBC_Memberwise_Global_Sales">#REF!</definedName>
    <definedName name="PBDIT_L">#REF!</definedName>
    <definedName name="PBDIT_L1">#REF!</definedName>
    <definedName name="PBDIT_L2">#REF!</definedName>
    <definedName name="PBDIT_L3">#REF!</definedName>
    <definedName name="pbPrinterFormat">"\\SGB24810\P0083071 on Ne03:"</definedName>
    <definedName name="pbStartPageNumber">1</definedName>
    <definedName name="PBT_L">#REF!</definedName>
    <definedName name="PBT_L1">#REF!</definedName>
    <definedName name="PBT_L2">#REF!</definedName>
    <definedName name="PBT_L3">#REF!</definedName>
    <definedName name="pbUpdatePageNumbering">TRUE</definedName>
    <definedName name="PC95C">#REF!</definedName>
    <definedName name="pcbagraph" hidden="1">#REF!</definedName>
    <definedName name="PD">#REF!</definedName>
    <definedName name="PED">#REF!</definedName>
    <definedName name="Penna">#REF!</definedName>
    <definedName name="PENTA">#REF!</definedName>
    <definedName name="PENTA_AL">#REF!</definedName>
    <definedName name="PENTA_MILLIN">#REF!</definedName>
    <definedName name="PENTA_T">#REF!</definedName>
    <definedName name="per">#REF!</definedName>
    <definedName name="Perc_Reg_of_LD">#REF!</definedName>
    <definedName name="PERCENT">#REF!</definedName>
    <definedName name="Percent_Monthly_Fee_If_SA">#REF!</definedName>
    <definedName name="percentage1">#REF!</definedName>
    <definedName name="percentage2">#REF!</definedName>
    <definedName name="period">#REF!</definedName>
    <definedName name="PERIODSETNAME1">#REF!</definedName>
    <definedName name="PeriodsInYear">#REF!</definedName>
    <definedName name="perm">#REF!</definedName>
    <definedName name="perm1">#REF!</definedName>
    <definedName name="perm3">#REF!</definedName>
    <definedName name="perm4">#REF!</definedName>
    <definedName name="perm5">#REF!</definedName>
    <definedName name="perm6">#REF!</definedName>
    <definedName name="perm7">#REF!</definedName>
    <definedName name="Personalaufwand">#REF!</definedName>
    <definedName name="PERSONASDOS">#REF!</definedName>
    <definedName name="PerType">#REF!</definedName>
    <definedName name="Peso">#REF!</definedName>
    <definedName name="PET">#REF!</definedName>
    <definedName name="PF">#REF!</definedName>
    <definedName name="PFESIC">#REF!</definedName>
    <definedName name="PG">#REF!</definedName>
    <definedName name="PG_2">#REF!</definedName>
    <definedName name="PG_4">#REF!</definedName>
    <definedName name="PG_5">#REF!</definedName>
    <definedName name="PG10.123">#REF!</definedName>
    <definedName name="PG2A">#REF!</definedName>
    <definedName name="PG2B">#REF!</definedName>
    <definedName name="pharma">#REF!</definedName>
    <definedName name="Pharma_Sales_Promotion">#REF!</definedName>
    <definedName name="Pharma_Selling">#REF!</definedName>
    <definedName name="Pharmaexp">#REF!</definedName>
    <definedName name="Pharmapromo">#REF!</definedName>
    <definedName name="PHENOBARB_30_10_TAB">#REF!</definedName>
    <definedName name="PHENTHO">#REF!</definedName>
    <definedName name="PIC">"Picture 1"</definedName>
    <definedName name="Piece_Range">#REF!</definedName>
    <definedName name="pippo">#REF!</definedName>
    <definedName name="PJ_RPK">#REF!</definedName>
    <definedName name="PJ_Tickers">#REF!</definedName>
    <definedName name="pjj_pa">#REF!</definedName>
    <definedName name="PKS">#REF!</definedName>
    <definedName name="PL">#REF!</definedName>
    <definedName name="PL_account">#REF!</definedName>
    <definedName name="PL_DIST">#REF!</definedName>
    <definedName name="PL_Grouping">#REF!</definedName>
    <definedName name="PL_INTER">#REF!</definedName>
    <definedName name="PL_SCHEDULES">#REF!</definedName>
    <definedName name="PL_THIRD_PARTY">#REF!</definedName>
    <definedName name="pl1a">#REF!</definedName>
    <definedName name="PLAC">#REF!</definedName>
    <definedName name="plan">#REF!</definedName>
    <definedName name="PLAN_CLASS">#REF!</definedName>
    <definedName name="PlanFixKostenstelle">#REF!</definedName>
    <definedName name="planibc">#REF!</definedName>
    <definedName name="planicrm">#REF!</definedName>
    <definedName name="planitot">#REF!</definedName>
    <definedName name="plant">#REF!</definedName>
    <definedName name="Plant_Mach">#REF!</definedName>
    <definedName name="plant1">#REF!</definedName>
    <definedName name="PlanTotalKostenstelle">#REF!</definedName>
    <definedName name="PlanVariabelKostenstelle">#REF!</definedName>
    <definedName name="PLAZOS_CR">#REF!</definedName>
    <definedName name="plnmth">#REF!</definedName>
    <definedName name="plnytd">#REF!</definedName>
    <definedName name="PlotRange">#REF!</definedName>
    <definedName name="PLrate">#REF!</definedName>
    <definedName name="PLRateGBP_USD">#REF!</definedName>
    <definedName name="PLTable">#REF!</definedName>
    <definedName name="PLWORKINGS">#REF!</definedName>
    <definedName name="pm">#REF!</definedName>
    <definedName name="PMD">#REF!</definedName>
    <definedName name="PMI">#REF!</definedName>
    <definedName name="PN_PA">#REF!</definedName>
    <definedName name="PN_VT">#REF!</definedName>
    <definedName name="pnlsumm">#REF!</definedName>
    <definedName name="poi">#REF!</definedName>
    <definedName name="point">#REF!</definedName>
    <definedName name="point11">#REF!</definedName>
    <definedName name="polkn" localSheetId="7">{#N/A,#N/A,TRUE,"ADVANCE SUMM.";#N/A,#N/A,TRUE,"KEITH";#N/A,#N/A,TRUE,"WES"}</definedName>
    <definedName name="polkn" localSheetId="10" hidden="1">{#N/A,#N/A,TRUE,"ADVANCE SUMM.";#N/A,#N/A,TRUE,"KEITH";#N/A,#N/A,TRUE,"WES"}</definedName>
    <definedName name="polkn" localSheetId="0" hidden="1">{#N/A,#N/A,TRUE,"ADVANCE SUMM.";#N/A,#N/A,TRUE,"KEITH";#N/A,#N/A,TRUE,"WES"}</definedName>
    <definedName name="polkn" localSheetId="9" hidden="1">{#N/A,#N/A,TRUE,"ADVANCE SUMM.";#N/A,#N/A,TRUE,"KEITH";#N/A,#N/A,TRUE,"WES"}</definedName>
    <definedName name="polkn" localSheetId="11" hidden="1">{#N/A,#N/A,TRUE,"ADVANCE SUMM.";#N/A,#N/A,TRUE,"KEITH";#N/A,#N/A,TRUE,"WES"}</definedName>
    <definedName name="polkn" hidden="1">{#N/A,#N/A,TRUE,"ADVANCE SUMM.";#N/A,#N/A,TRUE,"KEITH";#N/A,#N/A,TRUE,"WES"}</definedName>
    <definedName name="Pooja">#REF!</definedName>
    <definedName name="porcelaine_household_proj">#REF!</definedName>
    <definedName name="POSTERRORSTOSUSP1">#REF!</definedName>
    <definedName name="pou" hidden="1">4</definedName>
    <definedName name="Powders">#REF!</definedName>
    <definedName name="Powders_2002">#REF!</definedName>
    <definedName name="Powders_2002_Print">#REF!</definedName>
    <definedName name="PP" localSheetId="7">{#N/A,#N/A,TRUE,"ADVANCE SUMM.";#N/A,#N/A,TRUE,"KEITH";#N/A,#N/A,TRUE,"WES"}</definedName>
    <definedName name="PP" localSheetId="10" hidden="1">{#N/A,#N/A,TRUE,"ADVANCE SUMM.";#N/A,#N/A,TRUE,"KEITH";#N/A,#N/A,TRUE,"WES"}</definedName>
    <definedName name="PP" localSheetId="0" hidden="1">{#N/A,#N/A,TRUE,"ADVANCE SUMM.";#N/A,#N/A,TRUE,"KEITH";#N/A,#N/A,TRUE,"WES"}</definedName>
    <definedName name="PP" localSheetId="9" hidden="1">{#N/A,#N/A,TRUE,"ADVANCE SUMM.";#N/A,#N/A,TRUE,"KEITH";#N/A,#N/A,TRUE,"WES"}</definedName>
    <definedName name="PP" localSheetId="11" hidden="1">{#N/A,#N/A,TRUE,"ADVANCE SUMM.";#N/A,#N/A,TRUE,"KEITH";#N/A,#N/A,TRUE,"WES"}</definedName>
    <definedName name="PP" hidden="1">{#N/A,#N/A,TRUE,"ADVANCE SUMM.";#N/A,#N/A,TRUE,"KEITH";#N/A,#N/A,TRUE,"WES"}</definedName>
    <definedName name="PPBAGS">#REF!</definedName>
    <definedName name="PPD">#REF!</definedName>
    <definedName name="PPE">#REF!</definedName>
    <definedName name="ppp">#REF!</definedName>
    <definedName name="ppppppp" hidden="1">#REF!</definedName>
    <definedName name="ppppppppp" hidden="1">#REF!</definedName>
    <definedName name="pppppppppppppp">#REF!</definedName>
    <definedName name="pr_113">#REF!</definedName>
    <definedName name="pr_145">#REF!</definedName>
    <definedName name="pr_AT">#REF!</definedName>
    <definedName name="pr_CZ">#REF!</definedName>
    <definedName name="pr_ES">#REF!</definedName>
    <definedName name="pr_HU">#REF!</definedName>
    <definedName name="pr_IE">#REF!</definedName>
    <definedName name="pr_PL">#REF!</definedName>
    <definedName name="pr_total">#REF!</definedName>
    <definedName name="PRATE">#REF!</definedName>
    <definedName name="pravin">#REF!</definedName>
    <definedName name="Pravin1">#REF!</definedName>
    <definedName name="Pravin2">#REF!</definedName>
    <definedName name="Pravin3">#REF!</definedName>
    <definedName name="Pravin4">#REF!</definedName>
    <definedName name="Pravin5">#REF!</definedName>
    <definedName name="Pravin6">#REF!</definedName>
    <definedName name="Pravin7">#REF!</definedName>
    <definedName name="Pravin8">#REF!</definedName>
    <definedName name="PRE">#REF!</definedName>
    <definedName name="Pre_tax_materiality">#REF!</definedName>
    <definedName name="prem">#REF!</definedName>
    <definedName name="PREMEXP">#REF!</definedName>
    <definedName name="PREMIER">#REF!</definedName>
    <definedName name="premises">#REF!</definedName>
    <definedName name="Preselection__Business_Customers">#REF!</definedName>
    <definedName name="Preselection__Residential_Customers">#REF!</definedName>
    <definedName name="Previous">#REF!</definedName>
    <definedName name="price">#REF!</definedName>
    <definedName name="Price_Date">#REF!</definedName>
    <definedName name="PRICE1">#REF!</definedName>
    <definedName name="price2">#REF!</definedName>
    <definedName name="PRICE3">#REF!</definedName>
    <definedName name="PRICE4">#REF!</definedName>
    <definedName name="PriceBase">#REF!</definedName>
    <definedName name="pricepc">#REF!</definedName>
    <definedName name="PricePerShBase">#REF!</definedName>
    <definedName name="PricePerShIncr">#REF!</definedName>
    <definedName name="PRICERANGE">#REF!</definedName>
    <definedName name="PRIMA_NN">#REF!</definedName>
    <definedName name="Princ">#REF!</definedName>
    <definedName name="print">#REF!</definedName>
    <definedName name="PRINT_AFTRM">#REF!</definedName>
    <definedName name="print_age">#REF!</definedName>
    <definedName name="PRINT_ALL">#REF!</definedName>
    <definedName name="_xlnm.Print_Area">#REF!</definedName>
    <definedName name="Print_Area_MI">#REF!</definedName>
    <definedName name="Print_Area_Reset" localSheetId="7">OFFSET(Full_Print,0,0,Last_Row)</definedName>
    <definedName name="Print_Area_Reset" localSheetId="10">OFFSET(Full_Print,0,0,Last_Row)</definedName>
    <definedName name="Print_Area_Reset" localSheetId="0">OFFSET(Full_Print,0,0,Last_Row)</definedName>
    <definedName name="Print_Area_Reset" localSheetId="9">OFFSET(Full_Print,0,0,Last_Row)</definedName>
    <definedName name="Print_Area_Reset" localSheetId="11">OFFSET(Full_Print,0,0,Last_Row)</definedName>
    <definedName name="Print_Area_Reset">OFFSET(Full_Print,0,0,Last_Row)</definedName>
    <definedName name="Print_Area1">#REF!</definedName>
    <definedName name="Print_Area2">#REF!</definedName>
    <definedName name="Print_Area3">#REF!</definedName>
    <definedName name="Print_Area5">#REF!</definedName>
    <definedName name="PRINT_B_S">#REF!</definedName>
    <definedName name="PRINT_CASH">#REF!</definedName>
    <definedName name="PRINT_DIS">#REF!</definedName>
    <definedName name="PRINT_DIST_DET">#REF!</definedName>
    <definedName name="PRINT_EQUIP">#REF!</definedName>
    <definedName name="PRINT_EXP">#REF!</definedName>
    <definedName name="PRINT_IG">#REF!</definedName>
    <definedName name="PRINT_IG_DET">#REF!</definedName>
    <definedName name="PRINT_PACK">#REF!</definedName>
    <definedName name="PRINT_PAGE_NO">#REF!</definedName>
    <definedName name="PRINT_PLAC">#REF!</definedName>
    <definedName name="PRINT_STAFF">#REF!</definedName>
    <definedName name="_xlnm.Print_Titles">#N/A</definedName>
    <definedName name="Print_Titles_MI">#REF!</definedName>
    <definedName name="PRINT_TITLS">#REF!</definedName>
    <definedName name="PRINT_TP">#REF!</definedName>
    <definedName name="PRINT_TP_DET">#REF!</definedName>
    <definedName name="PRINT_TRADING">#REF!</definedName>
    <definedName name="PRINTA">#REF!</definedName>
    <definedName name="PRINTALL">#REF!</definedName>
    <definedName name="PrintAllSections">#REF!</definedName>
    <definedName name="printareamcl">#REF!</definedName>
    <definedName name="PRINTB">#REF!</definedName>
    <definedName name="PRINTC">#REF!</definedName>
    <definedName name="PrintConsolPage">#REF!</definedName>
    <definedName name="PrintDetailPages">#REF!</definedName>
    <definedName name="PRINTINDEX">#REF!</definedName>
    <definedName name="PRINTINTERCOINV">#REF!</definedName>
    <definedName name="PRINTINVENTORY">#REF!</definedName>
    <definedName name="PRINTPPE">#REF!</definedName>
    <definedName name="Priority">#REF!</definedName>
    <definedName name="Priority1">#REF!</definedName>
    <definedName name="Priority2">#REF!</definedName>
    <definedName name="proce">#REF!</definedName>
    <definedName name="Processor">#REF!</definedName>
    <definedName name="prod">#REF!</definedName>
    <definedName name="ProdForm">#REF!</definedName>
    <definedName name="prodpromo">#REF!</definedName>
    <definedName name="Product">#REF!</definedName>
    <definedName name="product_master">#REF!</definedName>
    <definedName name="PRODUCTION">#REF!</definedName>
    <definedName name="PRODUCTION2003PROFORMA">#REF!</definedName>
    <definedName name="PRODUCTION2004BUDGET">#REF!</definedName>
    <definedName name="professional">#REF!</definedName>
    <definedName name="profimp2">#REF!</definedName>
    <definedName name="profimp3">#REF!</definedName>
    <definedName name="profimp5">#REF!</definedName>
    <definedName name="profimptest">#REF!</definedName>
    <definedName name="profit">#REF!</definedName>
    <definedName name="Profit\Loss">#REF!</definedName>
    <definedName name="Profit___loss_account">#REF!</definedName>
    <definedName name="PROFIT_AND_LOSS">#REF!</definedName>
    <definedName name="PROFIT_AND_LOSS___0">#REF!</definedName>
    <definedName name="PROFIT_AND_LOSS___6">#REF!</definedName>
    <definedName name="profit09">#REF!</definedName>
    <definedName name="PROFITALL">#REF!</definedName>
    <definedName name="profitandloss">#REF!</definedName>
    <definedName name="proforma">#REF!</definedName>
    <definedName name="Program">#REF!</definedName>
    <definedName name="programimpact">#REF!</definedName>
    <definedName name="proj">#REF!</definedName>
    <definedName name="PROJECT">#REF!</definedName>
    <definedName name="Project_Name">#REF!</definedName>
    <definedName name="Projections">#REF!</definedName>
    <definedName name="ProjectWACC">#REF!</definedName>
    <definedName name="Proof_Bank">#REF!</definedName>
    <definedName name="Proof_FS">#REF!</definedName>
    <definedName name="PropCapexImported">#REF!</definedName>
    <definedName name="PROPOSAL">#REF!</definedName>
    <definedName name="prosource">#REF!</definedName>
    <definedName name="PROVFUND">#REF!</definedName>
    <definedName name="Provisionen_indirekter_Vertrieb">#REF!</definedName>
    <definedName name="provisions">#REF!</definedName>
    <definedName name="PROXETIL_B_NON">#REF!</definedName>
    <definedName name="PRS">#REF!</definedName>
    <definedName name="prtWorksheetNames">#REF!</definedName>
    <definedName name="PrUSbs95">#REF!</definedName>
    <definedName name="PS_Department">#REF!</definedName>
    <definedName name="PS_Role">#REF!</definedName>
    <definedName name="PSYCAN_CV_EE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ne">[2]Pune!$B$4:$XFD$1048576</definedName>
    <definedName name="PURCHASES_L">#REF!</definedName>
    <definedName name="PurchMan">#REF!</definedName>
    <definedName name="put" hidden="1">#REF!</definedName>
    <definedName name="PVN_FOR_TAX">#REF!</definedName>
    <definedName name="PWHT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mt_Date" localSheetId="7">#REF!</definedName>
    <definedName name="Pymt_Date">#N/A</definedName>
    <definedName name="PYOP">#REF!</definedName>
    <definedName name="PYSALES">#REF!</definedName>
    <definedName name="PYSAN_NP_EE">#REF!</definedName>
    <definedName name="pz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pz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pz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pz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pz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pz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Q">#REF!</definedName>
    <definedName name="Q_1">#REF!</definedName>
    <definedName name="qaaaaaaaaaaaaaaaaa">#REF!</definedName>
    <definedName name="QI">#REF!</definedName>
    <definedName name="QII">#REF!</definedName>
    <definedName name="QIII">#REF!</definedName>
    <definedName name="QIV">#REF!</definedName>
    <definedName name="QQ">#REF!</definedName>
    <definedName name="qqq">#REF!</definedName>
    <definedName name="qqqqq" localSheetId="7">{#N/A,#N/A,FALSE,"$170M Cash";#N/A,#N/A,FALSE,"$250M Cash";#N/A,#N/A,FALSE,"$325M Cash"}</definedName>
    <definedName name="qqqqq" localSheetId="10" hidden="1">{#N/A,#N/A,FALSE,"$170M Cash";#N/A,#N/A,FALSE,"$250M Cash";#N/A,#N/A,FALSE,"$325M Cash"}</definedName>
    <definedName name="qqqqq" localSheetId="0" hidden="1">{#N/A,#N/A,FALSE,"$170M Cash";#N/A,#N/A,FALSE,"$250M Cash";#N/A,#N/A,FALSE,"$325M Cash"}</definedName>
    <definedName name="qqqqq" localSheetId="9" hidden="1">{#N/A,#N/A,FALSE,"$170M Cash";#N/A,#N/A,FALSE,"$250M Cash";#N/A,#N/A,FALSE,"$325M Cash"}</definedName>
    <definedName name="qqqqq" localSheetId="11" hidden="1">{#N/A,#N/A,FALSE,"$170M Cash";#N/A,#N/A,FALSE,"$250M Cash";#N/A,#N/A,FALSE,"$325M Cash"}</definedName>
    <definedName name="qqqqq" hidden="1">{#N/A,#N/A,FALSE,"$170M Cash";#N/A,#N/A,FALSE,"$250M Cash";#N/A,#N/A,FALSE,"$325M Cash"}</definedName>
    <definedName name="qqqqqq">#REF!</definedName>
    <definedName name="qqqqqqqqqqqqqq" localSheetId="7">{"'Apr-00'!$B$4:$AD$44"}</definedName>
    <definedName name="qqqqqqqqqqqqqq" localSheetId="10" hidden="1">{"'Apr-00'!$B$4:$AD$44"}</definedName>
    <definedName name="qqqqqqqqqqqqqq" localSheetId="0" hidden="1">{"'Apr-00'!$B$4:$AD$44"}</definedName>
    <definedName name="qqqqqqqqqqqqqq" localSheetId="9" hidden="1">{"'Apr-00'!$B$4:$AD$44"}</definedName>
    <definedName name="qqqqqqqqqqqqqq" localSheetId="11" hidden="1">{"'Apr-00'!$B$4:$AD$44"}</definedName>
    <definedName name="qqqqqqqqqqqqqq" hidden="1">{"'Apr-00'!$B$4:$AD$44"}</definedName>
    <definedName name="qqqqqqqqqqqqqqqq">#REF!</definedName>
    <definedName name="qqqqqqqqqqqqqqqqqqq">#REF!</definedName>
    <definedName name="qrfwrw443" hidden="1">#REF!</definedName>
    <definedName name="QSUBB">#REF!</definedName>
    <definedName name="QSUBG">#REF!</definedName>
    <definedName name="QSUBP">#REF!</definedName>
    <definedName name="QSUBS">#REF!</definedName>
    <definedName name="qtdm">#REF!</definedName>
    <definedName name="qtr_bs">#REF!</definedName>
    <definedName name="qtr_is_2">#REF!</definedName>
    <definedName name="qtychk">#REF!</definedName>
    <definedName name="qtychkrng">#REF!</definedName>
    <definedName name="quarprof">#REF!</definedName>
    <definedName name="quartpnl">#REF!</definedName>
    <definedName name="QuerSummeKostenstelle">#REF!</definedName>
    <definedName name="QuerSummeKst">#REF!</definedName>
    <definedName name="quoted_currency">#REF!</definedName>
    <definedName name="qw">#REF!</definedName>
    <definedName name="qwe">#REF!</definedName>
    <definedName name="qwerqe">#REF!</definedName>
    <definedName name="qwerty">#REF!</definedName>
    <definedName name="qx">#REF!</definedName>
    <definedName name="qxö" hidden="1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_">#REF!</definedName>
    <definedName name="R_1">#REF!</definedName>
    <definedName name="R_Factor">#REF!</definedName>
    <definedName name="R_Factor1">#REF!</definedName>
    <definedName name="ra">#REF!</definedName>
    <definedName name="RABS">#REF!</definedName>
    <definedName name="Rajan">#REF!</definedName>
    <definedName name="Rajeev">#REF!</definedName>
    <definedName name="RAM" localSheetId="7">{#N/A,#N/A,TRUE,"ADVANCE SUMM.";#N/A,#N/A,TRUE,"KEITH";#N/A,#N/A,TRUE,"WES"}</definedName>
    <definedName name="RAM" localSheetId="10" hidden="1">{#N/A,#N/A,TRUE,"ADVANCE SUMM.";#N/A,#N/A,TRUE,"KEITH";#N/A,#N/A,TRUE,"WES"}</definedName>
    <definedName name="RAM" localSheetId="0" hidden="1">{#N/A,#N/A,TRUE,"ADVANCE SUMM.";#N/A,#N/A,TRUE,"KEITH";#N/A,#N/A,TRUE,"WES"}</definedName>
    <definedName name="RAM" localSheetId="9" hidden="1">{#N/A,#N/A,TRUE,"ADVANCE SUMM.";#N/A,#N/A,TRUE,"KEITH";#N/A,#N/A,TRUE,"WES"}</definedName>
    <definedName name="RAM" localSheetId="11" hidden="1">{#N/A,#N/A,TRUE,"ADVANCE SUMM.";#N/A,#N/A,TRUE,"KEITH";#N/A,#N/A,TRUE,"WES"}</definedName>
    <definedName name="RAM" hidden="1">{#N/A,#N/A,TRUE,"ADVANCE SUMM.";#N/A,#N/A,TRUE,"KEITH";#N/A,#N/A,TRUE,"WES"}</definedName>
    <definedName name="RAMPRIL">#REF!</definedName>
    <definedName name="rand">#REF!</definedName>
    <definedName name="range">#REF!</definedName>
    <definedName name="range_currency">#REF!</definedName>
    <definedName name="RANGE1">#REF!</definedName>
    <definedName name="RANGO">#REF!</definedName>
    <definedName name="ranish">#REF!</definedName>
    <definedName name="Rate">#REF!</definedName>
    <definedName name="Rate_Half">#REF!</definedName>
    <definedName name="Rate_Peak">#REF!</definedName>
    <definedName name="rate04">#REF!</definedName>
    <definedName name="RATE100">#REF!</definedName>
    <definedName name="RATE40">#REF!</definedName>
    <definedName name="RATE50">#REF!</definedName>
    <definedName name="RATE75">#REF!</definedName>
    <definedName name="RATE80">#REF!</definedName>
    <definedName name="RATE90">#REF!</definedName>
    <definedName name="ratebyname">#REF!</definedName>
    <definedName name="ratecc">#REF!</definedName>
    <definedName name="rates">#REF!</definedName>
    <definedName name="RATESTAXES">#REF!</definedName>
    <definedName name="rateusd">#REF!</definedName>
    <definedName name="RATIO">#REF!</definedName>
    <definedName name="RATIOS">#REF!</definedName>
    <definedName name="Ravi">#REF!</definedName>
    <definedName name="RawData">#REF!</definedName>
    <definedName name="RawHeader">#REF!</definedName>
    <definedName name="ray">#REF!</definedName>
    <definedName name="rb">#REF!</definedName>
    <definedName name="rbb">#REF!</definedName>
    <definedName name="RBN">#REF!</definedName>
    <definedName name="RBU">#REF!</definedName>
    <definedName name="RCArea">#REF!</definedName>
    <definedName name="RCONS">#REF!</definedName>
    <definedName name="RDN">#REF!</definedName>
    <definedName name="re" localSheetId="7">{#N/A,#N/A,FALSE,"COMP"}</definedName>
    <definedName name="re" localSheetId="10" hidden="1">{#N/A,#N/A,FALSE,"COMP"}</definedName>
    <definedName name="re" localSheetId="0" hidden="1">{#N/A,#N/A,FALSE,"COMP"}</definedName>
    <definedName name="re" localSheetId="9" hidden="1">{#N/A,#N/A,FALSE,"COMP"}</definedName>
    <definedName name="re" localSheetId="11" hidden="1">{#N/A,#N/A,FALSE,"COMP"}</definedName>
    <definedName name="re" hidden="1">{#N/A,#N/A,FALSE,"COMP"}</definedName>
    <definedName name="Realisations_salevalue">#REF!</definedName>
    <definedName name="Réalisé1">#REF!</definedName>
    <definedName name="realizn">#REF!</definedName>
    <definedName name="RealxClientexSocio">#REF!</definedName>
    <definedName name="rec">#REF!</definedName>
    <definedName name="REC_A">#REF!</definedName>
    <definedName name="REC_AA">#REF!</definedName>
    <definedName name="REC_B">#REF!</definedName>
    <definedName name="REC_BB">#REF!</definedName>
    <definedName name="REC_C">#REF!</definedName>
    <definedName name="REC_CC">#REF!</definedName>
    <definedName name="REC_D">#REF!</definedName>
    <definedName name="REC_DD">#REF!</definedName>
    <definedName name="REC_E">#REF!</definedName>
    <definedName name="REC_EE">#REF!</definedName>
    <definedName name="REC_F">#REF!</definedName>
    <definedName name="REC_FF">#REF!</definedName>
    <definedName name="REC_G">#REF!</definedName>
    <definedName name="REC_GG">#REF!</definedName>
    <definedName name="Recap">#REF!</definedName>
    <definedName name="RecCurrent">#REF!</definedName>
    <definedName name="RECDATE">#REF!</definedName>
    <definedName name="receivable_DOH">#REF!</definedName>
    <definedName name="Reclass">#REF!</definedName>
    <definedName name="reco">#REF!</definedName>
    <definedName name="RECOBOB1262">#REF!</definedName>
    <definedName name="RECOBOB1290">#REF!</definedName>
    <definedName name="RECOBOB21">#REF!</definedName>
    <definedName name="RECOBOB22">#REF!</definedName>
    <definedName name="recon">#REF!</definedName>
    <definedName name="Reconciliation_of_Profits">#REF!</definedName>
    <definedName name="Recover">#REF!</definedName>
    <definedName name="RecPY4_Sel1">#REF!</definedName>
    <definedName name="RECR">#REF!</definedName>
    <definedName name="RecRollFWD">#REF!</definedName>
    <definedName name="RED_RIVER_BRIDGE__THANH_TRI_BRIDGE__CONSTRUCTION_PROJECT">#REF!</definedName>
    <definedName name="RedefinePrintTableRange">#REF!</definedName>
    <definedName name="redo">#REF!</definedName>
    <definedName name="REF" localSheetId="7">{#N/A,#N/A,FALSE,"COMP"}</definedName>
    <definedName name="REF" localSheetId="10" hidden="1">{#N/A,#N/A,FALSE,"COMP"}</definedName>
    <definedName name="REF" localSheetId="0" hidden="1">{#N/A,#N/A,FALSE,"COMP"}</definedName>
    <definedName name="REF" localSheetId="9" hidden="1">{#N/A,#N/A,FALSE,"COMP"}</definedName>
    <definedName name="REF" localSheetId="11" hidden="1">{#N/A,#N/A,FALSE,"COMP"}</definedName>
    <definedName name="REF" hidden="1">{#N/A,#N/A,FALSE,"COMP"}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#REF!</definedName>
    <definedName name="Ref_29">#REF!</definedName>
    <definedName name="Ref_3">#REF!</definedName>
    <definedName name="Ref_30">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FERENCE">#REF!</definedName>
    <definedName name="REFOCOXIB">#REF!</definedName>
    <definedName name="Refund">#REF!</definedName>
    <definedName name="Reg200_Bus_GPM">#REF!</definedName>
    <definedName name="Reg50_Bus_GPM">#REF!</definedName>
    <definedName name="reggre">#REF!</definedName>
    <definedName name="region">#REF!</definedName>
    <definedName name="rel">#REF!</definedName>
    <definedName name="related">#REF!</definedName>
    <definedName name="remarks">#REF!</definedName>
    <definedName name="RENRATE">#REF!</definedName>
    <definedName name="RENT">#REF!</definedName>
    <definedName name="RENT00">#REF!</definedName>
    <definedName name="RENT95">#REF!</definedName>
    <definedName name="RENT96">#REF!</definedName>
    <definedName name="RENT97">#REF!</definedName>
    <definedName name="RENT98">#REF!</definedName>
    <definedName name="RENT99">#REF!</definedName>
    <definedName name="rental">#REF!</definedName>
    <definedName name="REO">#REF!</definedName>
    <definedName name="REP_FRIDAY">#REF!</definedName>
    <definedName name="REPAIRS">#REF!</definedName>
    <definedName name="REPAIRS1">#REF!</definedName>
    <definedName name="Repaymentchart_TL1">#REF!</definedName>
    <definedName name="REPAYMENTS_L">#REF!</definedName>
    <definedName name="REPORT">#REF!</definedName>
    <definedName name="REPORT_2F">#REF!</definedName>
    <definedName name="report1">#REF!</definedName>
    <definedName name="REPORT2">#REF!</definedName>
    <definedName name="REPORT8">#REF!</definedName>
    <definedName name="ReportGroup">6</definedName>
    <definedName name="Reseller">#REF!</definedName>
    <definedName name="RESERVE">#REF!</definedName>
    <definedName name="reserves">#REF!</definedName>
    <definedName name="reshma">#REF!</definedName>
    <definedName name="Reshma1">#REF!</definedName>
    <definedName name="Residual_difference">#REF!</definedName>
    <definedName name="Residual_difference_1">#REF!</definedName>
    <definedName name="Residual_difference1">#REF!</definedName>
    <definedName name="RESPONSIBILITYAPPLICATIONID1">#REF!</definedName>
    <definedName name="RESPONSIBILITYID1">#REF!</definedName>
    <definedName name="RESPONSIBILITYNAME1">#REF!</definedName>
    <definedName name="Results">#REF!</definedName>
    <definedName name="Rev">#REF!</definedName>
    <definedName name="revcode">#REF!</definedName>
    <definedName name="REVCOST">#REF!</definedName>
    <definedName name="REvised">#REF!</definedName>
    <definedName name="rewe">#REF!</definedName>
    <definedName name="rf">#REF!</definedName>
    <definedName name="rfqwtwerg">#REF!</definedName>
    <definedName name="rghgdbrtr" hidden="1">#REF!</definedName>
    <definedName name="rich">#REF!</definedName>
    <definedName name="rig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JSales">#REF!</definedName>
    <definedName name="RL_IS">#REF!</definedName>
    <definedName name="RL_matcosts">#REF!</definedName>
    <definedName name="RL_pri">#REF!</definedName>
    <definedName name="rl_salesvar">#REF!</definedName>
    <definedName name="RM">#REF!</definedName>
    <definedName name="RMB">#REF!</definedName>
    <definedName name="rmcAccount">30090.01</definedName>
    <definedName name="rmcApplication">"PROD"</definedName>
    <definedName name="rmcCategory">"ACCYP"</definedName>
    <definedName name="rmcName">"849P"</definedName>
    <definedName name="RMCOptions">"*100000000000000"</definedName>
    <definedName name="rngComments">#REF!</definedName>
    <definedName name="rngDialogType">#REF!</definedName>
    <definedName name="rngEndDate">#REF!</definedName>
    <definedName name="rngLastQuery">#REF!</definedName>
    <definedName name="rngLastRefreshOffline">#REF!</definedName>
    <definedName name="rngPassword">#REF!</definedName>
    <definedName name="rngPivotLocation">#REF!</definedName>
    <definedName name="rngProtected">#REF!</definedName>
    <definedName name="rngPWD">#REF!</definedName>
    <definedName name="rngQuery">#REF!</definedName>
    <definedName name="rngQueryType">#REF!</definedName>
    <definedName name="rngRangeName">#REF!</definedName>
    <definedName name="rngRefreshedDate">#REF!</definedName>
    <definedName name="rngScenarios">#REF!</definedName>
    <definedName name="rngShow">#REF!</definedName>
    <definedName name="rngStartDate">#REF!</definedName>
    <definedName name="rngStoredProcedure">#REF!</definedName>
    <definedName name="rngUID">#REF!</definedName>
    <definedName name="rngUnplugged">#REF!</definedName>
    <definedName name="rngVersion">#REF!</definedName>
    <definedName name="robot">#REF!</definedName>
    <definedName name="roe">#REF!</definedName>
    <definedName name="ROECC">#REF!</definedName>
    <definedName name="ROEUSD">#REF!</definedName>
    <definedName name="ROFECO">#REF!</definedName>
    <definedName name="ROFECO_T">#REF!</definedName>
    <definedName name="ROHA">#REF!</definedName>
    <definedName name="rosid">#REF!</definedName>
    <definedName name="ROWSTOUPLOAD1">#REF!</definedName>
    <definedName name="RP">#REF!,#REF!,#REF!</definedName>
    <definedName name="RPK_PA">#REF!</definedName>
    <definedName name="rr">#REF!</definedName>
    <definedName name="rrr">#REF!</definedName>
    <definedName name="rrrrrrrrr" hidden="1">#REF!</definedName>
    <definedName name="rrrrrrrrrrrrrr" hidden="1">#REF!</definedName>
    <definedName name="rrrrrrrrrrrrrrrrr">#REF!</definedName>
    <definedName name="RS">#REF!</definedName>
    <definedName name="RSttt">#REF!</definedName>
    <definedName name="rt" hidden="1">3</definedName>
    <definedName name="RT_Company">#REF!</definedName>
    <definedName name="RtApp">#REF!</definedName>
    <definedName name="RtISList">#REF!</definedName>
    <definedName name="Rtitle">#REF!</definedName>
    <definedName name="RTName">#REF!</definedName>
    <definedName name="RTT">#REF!</definedName>
    <definedName name="rttt" hidden="1">#REF!</definedName>
    <definedName name="rtyujoo" localSheetId="7">{#N/A,#N/A,TRUE,"ADVANCE SUMM.";#N/A,#N/A,TRUE,"KEITH";#N/A,#N/A,TRUE,"WES"}</definedName>
    <definedName name="rtyujoo" localSheetId="10" hidden="1">{#N/A,#N/A,TRUE,"ADVANCE SUMM.";#N/A,#N/A,TRUE,"KEITH";#N/A,#N/A,TRUE,"WES"}</definedName>
    <definedName name="rtyujoo" localSheetId="0" hidden="1">{#N/A,#N/A,TRUE,"ADVANCE SUMM.";#N/A,#N/A,TRUE,"KEITH";#N/A,#N/A,TRUE,"WES"}</definedName>
    <definedName name="rtyujoo" localSheetId="9" hidden="1">{#N/A,#N/A,TRUE,"ADVANCE SUMM.";#N/A,#N/A,TRUE,"KEITH";#N/A,#N/A,TRUE,"WES"}</definedName>
    <definedName name="rtyujoo" localSheetId="11" hidden="1">{#N/A,#N/A,TRUE,"ADVANCE SUMM.";#N/A,#N/A,TRUE,"KEITH";#N/A,#N/A,TRUE,"WES"}</definedName>
    <definedName name="rtyujoo" hidden="1">{#N/A,#N/A,TRUE,"ADVANCE SUMM.";#N/A,#N/A,TRUE,"KEITH";#N/A,#N/A,TRUE,"WES"}</definedName>
    <definedName name="Run_All_Combinations">#REF!</definedName>
    <definedName name="RV_TM">#REF!</definedName>
    <definedName name="ry">#REF!</definedName>
    <definedName name="s" localSheetId="7">{#N/A,#N/A,FALSE,"6"}</definedName>
    <definedName name="s" localSheetId="10" hidden="1">{#N/A,#N/A,FALSE,"6"}</definedName>
    <definedName name="s" localSheetId="0" hidden="1">{#N/A,#N/A,FALSE,"6"}</definedName>
    <definedName name="s" localSheetId="9" hidden="1">{#N/A,#N/A,FALSE,"6"}</definedName>
    <definedName name="s" localSheetId="11" hidden="1">{#N/A,#N/A,FALSE,"6"}</definedName>
    <definedName name="s" hidden="1">{#N/A,#N/A,FALSE,"6"}</definedName>
    <definedName name="s.6_30">#REF!</definedName>
    <definedName name="s.6_31">#REF!</definedName>
    <definedName name="s.6_32">#REF!</definedName>
    <definedName name="s.6_33">#REF!</definedName>
    <definedName name="s.6_34">#REF!</definedName>
    <definedName name="s.6_40">#REF!</definedName>
    <definedName name="s.6_50">#REF!</definedName>
    <definedName name="s.6_51">#REF!</definedName>
    <definedName name="s.6_52">#REF!</definedName>
    <definedName name="s.6_53">#REF!</definedName>
    <definedName name="s.6_54">#REF!</definedName>
    <definedName name="s.6_55">#REF!</definedName>
    <definedName name="S_1">#REF!</definedName>
    <definedName name="s_2" localSheetId="7">{#N/A,#N/A,FALSE,"6"}</definedName>
    <definedName name="s_2" localSheetId="10" hidden="1">{#N/A,#N/A,FALSE,"6"}</definedName>
    <definedName name="s_2" localSheetId="0" hidden="1">{#N/A,#N/A,FALSE,"6"}</definedName>
    <definedName name="s_2" localSheetId="9" hidden="1">{#N/A,#N/A,FALSE,"6"}</definedName>
    <definedName name="s_2" localSheetId="11" hidden="1">{#N/A,#N/A,FALSE,"6"}</definedName>
    <definedName name="s_2" hidden="1">{#N/A,#N/A,FALSE,"6"}</definedName>
    <definedName name="s_3" localSheetId="7">{#N/A,#N/A,FALSE,"6"}</definedName>
    <definedName name="s_3" localSheetId="10" hidden="1">{#N/A,#N/A,FALSE,"6"}</definedName>
    <definedName name="s_3" localSheetId="0" hidden="1">{#N/A,#N/A,FALSE,"6"}</definedName>
    <definedName name="s_3" localSheetId="9" hidden="1">{#N/A,#N/A,FALSE,"6"}</definedName>
    <definedName name="s_3" localSheetId="11" hidden="1">{#N/A,#N/A,FALSE,"6"}</definedName>
    <definedName name="s_3" hidden="1">{#N/A,#N/A,FALSE,"6"}</definedName>
    <definedName name="S_5">#REF!</definedName>
    <definedName name="S_AcctNum">#REF!</definedName>
    <definedName name="S_CY_End_GT">#REF!</definedName>
    <definedName name="S_DIFF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P">#REF!</definedName>
    <definedName name="S_PY_ENDING">#REF!</definedName>
    <definedName name="S_Total">#REF!</definedName>
    <definedName name="S_Total1">#REF!</definedName>
    <definedName name="S_Total2">#REF!</definedName>
    <definedName name="S_Total3">#REF!</definedName>
    <definedName name="S2Andheri">Word</definedName>
    <definedName name="s6_actual30">#REF!</definedName>
    <definedName name="s6_actual31">#REF!</definedName>
    <definedName name="s6_actual32">#REF!</definedName>
    <definedName name="s6_actual33">#REF!</definedName>
    <definedName name="s6_actual34">#REF!</definedName>
    <definedName name="s6_actual40">#REF!</definedName>
    <definedName name="s6_actual50">#REF!</definedName>
    <definedName name="s6_actual51">#REF!</definedName>
    <definedName name="s6_actual52">#REF!</definedName>
    <definedName name="s6_actual53">#REF!</definedName>
    <definedName name="s6_actual54">#REF!</definedName>
    <definedName name="s6_actual55">#REF!</definedName>
    <definedName name="sa">#REF!</definedName>
    <definedName name="SA_PA">#REF!</definedName>
    <definedName name="sadfasdfasf">#REF!</definedName>
    <definedName name="sadfgsfga4" hidden="1">#REF!</definedName>
    <definedName name="Sal">#REF!</definedName>
    <definedName name="Sal_2">#REF!</definedName>
    <definedName name="Sal_3">#REF!</definedName>
    <definedName name="Sal_growth">#REF!</definedName>
    <definedName name="Sal_thercat">#REF!</definedName>
    <definedName name="salaries">#REF!</definedName>
    <definedName name="sale_income">#REF!</definedName>
    <definedName name="SALE0506">#REF!</definedName>
    <definedName name="sale0607">#REF!</definedName>
    <definedName name="SALE0809">#REF!</definedName>
    <definedName name="SALE0910">#REF!</definedName>
    <definedName name="SALEDEC10">#REF!</definedName>
    <definedName name="SALENTS">#REF!</definedName>
    <definedName name="saleoct09">#REF!</definedName>
    <definedName name="saleofcompany">#REF!</definedName>
    <definedName name="saleprice">#REF!</definedName>
    <definedName name="SALES" localSheetId="7">{#N/A,#N/A,FALSE,"Invoice Wise Sales"}</definedName>
    <definedName name="SALES" localSheetId="10" hidden="1">{#N/A,#N/A,FALSE,"Invoice Wise Sales"}</definedName>
    <definedName name="SALES" localSheetId="0" hidden="1">{#N/A,#N/A,FALSE,"Invoice Wise Sales"}</definedName>
    <definedName name="SALES" localSheetId="9" hidden="1">{#N/A,#N/A,FALSE,"Invoice Wise Sales"}</definedName>
    <definedName name="SALES" localSheetId="11" hidden="1">{#N/A,#N/A,FALSE,"Invoice Wise Sales"}</definedName>
    <definedName name="SALES" hidden="1">{#N/A,#N/A,FALSE,"Invoice Wise Sales"}</definedName>
    <definedName name="SALES_1" localSheetId="7">{#N/A,#N/A,FALSE,"Invoice Wise Sales"}</definedName>
    <definedName name="SALES_1" localSheetId="10" hidden="1">{#N/A,#N/A,FALSE,"Invoice Wise Sales"}</definedName>
    <definedName name="SALES_1" localSheetId="0" hidden="1">{#N/A,#N/A,FALSE,"Invoice Wise Sales"}</definedName>
    <definedName name="SALES_1" localSheetId="9" hidden="1">{#N/A,#N/A,FALSE,"Invoice Wise Sales"}</definedName>
    <definedName name="SALES_1" localSheetId="11" hidden="1">{#N/A,#N/A,FALSE,"Invoice Wise Sales"}</definedName>
    <definedName name="SALES_1" hidden="1">{#N/A,#N/A,FALSE,"Invoice Wise Sales"}</definedName>
    <definedName name="SALES_2" localSheetId="7">{#N/A,#N/A,FALSE,"Invoice Wise Sales"}</definedName>
    <definedName name="SALES_2" localSheetId="10" hidden="1">{#N/A,#N/A,FALSE,"Invoice Wise Sales"}</definedName>
    <definedName name="SALES_2" localSheetId="0" hidden="1">{#N/A,#N/A,FALSE,"Invoice Wise Sales"}</definedName>
    <definedName name="SALES_2" localSheetId="9" hidden="1">{#N/A,#N/A,FALSE,"Invoice Wise Sales"}</definedName>
    <definedName name="SALES_2" localSheetId="11" hidden="1">{#N/A,#N/A,FALSE,"Invoice Wise Sales"}</definedName>
    <definedName name="SALES_2" hidden="1">{#N/A,#N/A,FALSE,"Invoice Wise Sales"}</definedName>
    <definedName name="Sales_3">#REF!</definedName>
    <definedName name="Sales_4">#REF!</definedName>
    <definedName name="Sales_5">#REF!</definedName>
    <definedName name="Sales_cat">#REF!</definedName>
    <definedName name="Sales_Classification">#REF!</definedName>
    <definedName name="sales_hist2">#REF!</definedName>
    <definedName name="Sales_jan04">#REF!</definedName>
    <definedName name="SALES_L">#REF!</definedName>
    <definedName name="SALES_L_1">#REF!</definedName>
    <definedName name="SALES_L1">#REF!</definedName>
    <definedName name="SALES_L2">#REF!</definedName>
    <definedName name="Sales_Schedule">#REF!</definedName>
    <definedName name="sales0102">#REF!</definedName>
    <definedName name="Sales1">#REF!</definedName>
    <definedName name="SALES2">#REF!</definedName>
    <definedName name="Sales2003Budget">#REF!</definedName>
    <definedName name="Sales2003Proforma">#REF!</definedName>
    <definedName name="SALES3">#REF!</definedName>
    <definedName name="SALES4">#REF!</definedName>
    <definedName name="SALESACCOUNT">#REF!</definedName>
    <definedName name="salescutoff">#REF!</definedName>
    <definedName name="SALESL_3">#REF!</definedName>
    <definedName name="SALESL3">#REF!</definedName>
    <definedName name="salesqty1">#REF!</definedName>
    <definedName name="SALESQTYMONTH">#REF!</definedName>
    <definedName name="SalesSept06">#REF!</definedName>
    <definedName name="SalesType">#REF!</definedName>
    <definedName name="SALESVALUE1">#REF!</definedName>
    <definedName name="SALESVALUEMONTH">#REF!</definedName>
    <definedName name="SALIENT1">#REF!</definedName>
    <definedName name="SALIENT2">#REF!</definedName>
    <definedName name="Samples">#REF!</definedName>
    <definedName name="SAMPLES1">#REF!</definedName>
    <definedName name="SAMPLES2">#REF!</definedName>
    <definedName name="samplesqty">#REF!</definedName>
    <definedName name="samplesvalue">#REF!</definedName>
    <definedName name="sandd">#REF!</definedName>
    <definedName name="SAPBEXrevision">3</definedName>
    <definedName name="SAPBEXsysID">"PN2"</definedName>
    <definedName name="SAPBEXwbID">"3T2LGOD7SYY4EFWWGCCVZMA6C"</definedName>
    <definedName name="SARTIME">#REF!</definedName>
    <definedName name="sas">#REF!</definedName>
    <definedName name="satu">#REF!</definedName>
    <definedName name="sb">#REF!</definedName>
    <definedName name="SBC">#REF!</definedName>
    <definedName name="SC6INV">#REF!</definedName>
    <definedName name="SC7Drs">#REF!</definedName>
    <definedName name="SCA">#REF!</definedName>
    <definedName name="SCA__NO">#REF!</definedName>
    <definedName name="SCA_Category">#REF!</definedName>
    <definedName name="SCBRECO">#REF!</definedName>
    <definedName name="SCEN">#REF!</definedName>
    <definedName name="Scenario">#REF!</definedName>
    <definedName name="scenarios.international.retail.tariff">#REF!</definedName>
    <definedName name="scenarios.international.retail.tariff.selection">#REF!</definedName>
    <definedName name="scenarios.international.termination.wholesale.tariffs">#REF!</definedName>
    <definedName name="scenarios.international.termination.wholesale.tariffs.selection">#REF!</definedName>
    <definedName name="scenarios.IPLC.retail.tariffs">#REF!</definedName>
    <definedName name="scenarios.IPLC.retail.tariffs.selection">#REF!</definedName>
    <definedName name="scenarios.MDNS.retail.tariffs">#REF!</definedName>
    <definedName name="scenarios.MDNS.retail.tariffs.selection">#REF!</definedName>
    <definedName name="Sch">#REF!</definedName>
    <definedName name="SCH_1">#REF!</definedName>
    <definedName name="sch_131415">#REF!</definedName>
    <definedName name="sch_13141516">#REF!</definedName>
    <definedName name="SCH_14_PAGE_1_">#REF!</definedName>
    <definedName name="Sch_191">#REF!</definedName>
    <definedName name="sch_192">#REF!</definedName>
    <definedName name="sch_193">#REF!</definedName>
    <definedName name="sch_194">#REF!</definedName>
    <definedName name="sch_195">#REF!</definedName>
    <definedName name="sch_196">#REF!</definedName>
    <definedName name="Sch_1a">#REF!</definedName>
    <definedName name="SCH_2">#REF!</definedName>
    <definedName name="SCH_5">#REF!</definedName>
    <definedName name="Sch_61">#REF!</definedName>
    <definedName name="Sch_62">#REF!</definedName>
    <definedName name="sch_63">#REF!</definedName>
    <definedName name="sch_789">#REF!</definedName>
    <definedName name="SCH_8" localSheetId="7">#REF!</definedName>
    <definedName name="SCH_8">#N/A</definedName>
    <definedName name="SCH_AB_Pg3">#REF!</definedName>
    <definedName name="SCH_CD_Pg4">#REF!</definedName>
    <definedName name="SCH_F_Pg5">#REF!</definedName>
    <definedName name="SCH_JK_Pg8">#REF!</definedName>
    <definedName name="SCH_LM_Pg9">#REF!</definedName>
    <definedName name="SCH_Z_Grp">#REF!</definedName>
    <definedName name="SCH1_3">#REF!</definedName>
    <definedName name="SCH1_TO_3">#REF!</definedName>
    <definedName name="Sch11to13">#REF!</definedName>
    <definedName name="Sch1to5">#REF!</definedName>
    <definedName name="SCH2.1">#REF!</definedName>
    <definedName name="SCH2.1.1">#REF!</definedName>
    <definedName name="SCH2.1.2">#REF!</definedName>
    <definedName name="SCH2.1.3">#REF!</definedName>
    <definedName name="SCH2.1.4">#REF!</definedName>
    <definedName name="SCH2.2">#REF!</definedName>
    <definedName name="SCH2.2.1">#REF!</definedName>
    <definedName name="SCH2.2.2">#REF!</definedName>
    <definedName name="SCH2.3">#REF!</definedName>
    <definedName name="SCH2.3.1">#REF!</definedName>
    <definedName name="SCH2.3.2">#REF!</definedName>
    <definedName name="SCH2.3.3">#REF!</definedName>
    <definedName name="SCH2.4">#REF!</definedName>
    <definedName name="SCH4_5">#REF!</definedName>
    <definedName name="SCH4_T0_5">#REF!</definedName>
    <definedName name="Sch6to10">#REF!</definedName>
    <definedName name="schE" hidden="1">47</definedName>
    <definedName name="Sched_Pay">#REF!</definedName>
    <definedName name="schedule" hidden="1">3</definedName>
    <definedName name="SCHEDULE_1">#REF!</definedName>
    <definedName name="Schedule_11___Miscellaneous_expenditure">#REF!</definedName>
    <definedName name="Schedule_12___Profit_and_Loss_account">#REF!</definedName>
    <definedName name="Schedule_13___Sales">#REF!</definedName>
    <definedName name="Schedule_2___Reserves_and_surplus">#REF!</definedName>
    <definedName name="Schedule_4___Fixed_Assets">#REF!</definedName>
    <definedName name="Schedule_5_to_8">#REF!</definedName>
    <definedName name="Schedule_6____Inventories">#REF!</definedName>
    <definedName name="Schedule_7___Sundry_debtors">#REF!</definedName>
    <definedName name="ScheduleD">#REF!</definedName>
    <definedName name="Scheduled_Extra_Payments">#REF!</definedName>
    <definedName name="Scheduled_Interest_Rate">#REF!</definedName>
    <definedName name="Scheduled_Monthly_Payment">#REF!</definedName>
    <definedName name="SCHFA">#REF!</definedName>
    <definedName name="SD_Amount">#REF!</definedName>
    <definedName name="SD_CustCode">#REF!</definedName>
    <definedName name="SD_SB">#REF!</definedName>
    <definedName name="sda">#REF!</definedName>
    <definedName name="SDASD">#REF!</definedName>
    <definedName name="sdasdaada">#REF!</definedName>
    <definedName name="sdasdsa">#REF!</definedName>
    <definedName name="Sdate">#REF!</definedName>
    <definedName name="SDC">#REF!</definedName>
    <definedName name="sdfadsfg">#REF!</definedName>
    <definedName name="sdfasd">#N/A</definedName>
    <definedName name="sdfd">#N/A</definedName>
    <definedName name="SDFG">#REF!</definedName>
    <definedName name="sdfgagdfg">#REF!</definedName>
    <definedName name="sdfgsd">Word</definedName>
    <definedName name="sdfgsgdsh54" hidden="1">#REF!</definedName>
    <definedName name="sdfhsdfhe">#REF!</definedName>
    <definedName name="sdfhsdh">#REF!</definedName>
    <definedName name="sdfhsdhf">#REF!</definedName>
    <definedName name="sdfhsdjhsdh">#REF!</definedName>
    <definedName name="sdfhsdjsdj">Word</definedName>
    <definedName name="sdfwefewfse" hidden="1">#REF!</definedName>
    <definedName name="sdgser">#REF!</definedName>
    <definedName name="sdsaa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sdsadasd">#REF!</definedName>
    <definedName name="sdsd" localSheetId="7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sdsd" localSheetId="10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sdsd" localSheetId="0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sdsd" localSheetId="9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sdsd" localSheetId="11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sdsd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sdsdf" localSheetId="7">{"'Apr-00'!$B$4:$AD$44"}</definedName>
    <definedName name="sdsdf" localSheetId="10" hidden="1">{"'Apr-00'!$B$4:$AD$44"}</definedName>
    <definedName name="sdsdf" localSheetId="0" hidden="1">{"'Apr-00'!$B$4:$AD$44"}</definedName>
    <definedName name="sdsdf" localSheetId="9" hidden="1">{"'Apr-00'!$B$4:$AD$44"}</definedName>
    <definedName name="sdsdf" localSheetId="11" hidden="1">{"'Apr-00'!$B$4:$AD$44"}</definedName>
    <definedName name="sdsdf" hidden="1">{"'Apr-00'!$B$4:$AD$44"}</definedName>
    <definedName name="sdsdss">#REF!</definedName>
    <definedName name="SDWF">#REF!</definedName>
    <definedName name="sean" localSheetId="7">{"'Sample Status'!$A$1:$J$21"}</definedName>
    <definedName name="sean" localSheetId="10" hidden="1">{"'Sample Status'!$A$1:$J$21"}</definedName>
    <definedName name="sean" localSheetId="0" hidden="1">{"'Sample Status'!$A$1:$J$21"}</definedName>
    <definedName name="sean" localSheetId="9" hidden="1">{"'Sample Status'!$A$1:$J$21"}</definedName>
    <definedName name="sean" localSheetId="11" hidden="1">{"'Sample Status'!$A$1:$J$21"}</definedName>
    <definedName name="sean" hidden="1">{"'Sample Status'!$A$1:$J$21"}</definedName>
    <definedName name="sean_1" localSheetId="7">{"'Sample Status'!$A$1:$J$21"}</definedName>
    <definedName name="sean_1" localSheetId="10" hidden="1">{"'Sample Status'!$A$1:$J$21"}</definedName>
    <definedName name="sean_1" localSheetId="0" hidden="1">{"'Sample Status'!$A$1:$J$21"}</definedName>
    <definedName name="sean_1" localSheetId="9" hidden="1">{"'Sample Status'!$A$1:$J$21"}</definedName>
    <definedName name="sean_1" localSheetId="11" hidden="1">{"'Sample Status'!$A$1:$J$21"}</definedName>
    <definedName name="sean_1" hidden="1">{"'Sample Status'!$A$1:$J$21"}</definedName>
    <definedName name="sean_2" localSheetId="7">{"'Sample Status'!$A$1:$J$21"}</definedName>
    <definedName name="sean_2" localSheetId="10" hidden="1">{"'Sample Status'!$A$1:$J$21"}</definedName>
    <definedName name="sean_2" localSheetId="0" hidden="1">{"'Sample Status'!$A$1:$J$21"}</definedName>
    <definedName name="sean_2" localSheetId="9" hidden="1">{"'Sample Status'!$A$1:$J$21"}</definedName>
    <definedName name="sean_2" localSheetId="11" hidden="1">{"'Sample Status'!$A$1:$J$21"}</definedName>
    <definedName name="sean_2" hidden="1">{"'Sample Status'!$A$1:$J$21"}</definedName>
    <definedName name="SEC_LOAN">#REF!</definedName>
    <definedName name="sec1_1a">#REF!</definedName>
    <definedName name="sec1_1b">#REF!</definedName>
    <definedName name="sec1_2">#REF!</definedName>
    <definedName name="sec1_3">#REF!</definedName>
    <definedName name="sec1_4">#REF!</definedName>
    <definedName name="sec1_6">#REF!</definedName>
    <definedName name="SEctionCode">#REF!</definedName>
    <definedName name="security" localSheetId="7">{#N/A,#N/A,FALSE,"17"}</definedName>
    <definedName name="security" localSheetId="10" hidden="1">{#N/A,#N/A,FALSE,"17"}</definedName>
    <definedName name="security" localSheetId="0" hidden="1">{#N/A,#N/A,FALSE,"17"}</definedName>
    <definedName name="security" localSheetId="9" hidden="1">{#N/A,#N/A,FALSE,"17"}</definedName>
    <definedName name="security" localSheetId="11" hidden="1">{#N/A,#N/A,FALSE,"17"}</definedName>
    <definedName name="security" hidden="1">{#N/A,#N/A,FALSE,"17"}</definedName>
    <definedName name="security_1" localSheetId="7">{#N/A,#N/A,FALSE,"17"}</definedName>
    <definedName name="security_1" localSheetId="10" hidden="1">{#N/A,#N/A,FALSE,"17"}</definedName>
    <definedName name="security_1" localSheetId="0" hidden="1">{#N/A,#N/A,FALSE,"17"}</definedName>
    <definedName name="security_1" localSheetId="9" hidden="1">{#N/A,#N/A,FALSE,"17"}</definedName>
    <definedName name="security_1" localSheetId="11" hidden="1">{#N/A,#N/A,FALSE,"17"}</definedName>
    <definedName name="security_1" hidden="1">{#N/A,#N/A,FALSE,"17"}</definedName>
    <definedName name="security_2" localSheetId="7">{#N/A,#N/A,FALSE,"17"}</definedName>
    <definedName name="security_2" localSheetId="10" hidden="1">{#N/A,#N/A,FALSE,"17"}</definedName>
    <definedName name="security_2" localSheetId="0" hidden="1">{#N/A,#N/A,FALSE,"17"}</definedName>
    <definedName name="security_2" localSheetId="9" hidden="1">{#N/A,#N/A,FALSE,"17"}</definedName>
    <definedName name="security_2" localSheetId="11" hidden="1">{#N/A,#N/A,FALSE,"17"}</definedName>
    <definedName name="security_2" hidden="1">{#N/A,#N/A,FALSE,"17"}</definedName>
    <definedName name="seg_ae_ex">#REF!</definedName>
    <definedName name="seg_ae_mh">#REF!</definedName>
    <definedName name="seg_ae_mi">#REF!</definedName>
    <definedName name="seg_ae_mlf">#REF!</definedName>
    <definedName name="seg_as_ex">#REF!</definedName>
    <definedName name="seg_as_mh">#REF!</definedName>
    <definedName name="seg_as_mi">#REF!</definedName>
    <definedName name="seg_as_mlf">#REF!</definedName>
    <definedName name="seg_enc_ex">#REF!</definedName>
    <definedName name="seg_enc_mh">#REF!</definedName>
    <definedName name="seg_enc_mi">#REF!</definedName>
    <definedName name="seg_enc_mlf">#REF!</definedName>
    <definedName name="segment">#REF!</definedName>
    <definedName name="Segment_1">#REF!</definedName>
    <definedName name="Segment_2">#REF!</definedName>
    <definedName name="Segment_3">#REF!</definedName>
    <definedName name="Segment_4">#REF!</definedName>
    <definedName name="Segment_5">#REF!</definedName>
    <definedName name="Segment_6">#REF!</definedName>
    <definedName name="Segment_7">#REF!</definedName>
    <definedName name="Segment_8">#REF!</definedName>
    <definedName name="SegmentedDataEntryRange">OFFSET(#REF!,1,0,COUNTA(#REF!)-1,1)</definedName>
    <definedName name="SegmentedDataEntryYr2">OFFSET(#REF!,1,0,COUNTA(#REF!)-1,1)</definedName>
    <definedName name="SegmentedDataEntryYr3">OFFSET(#REF!,1,0,COUNTA(#REF!)-1,1)</definedName>
    <definedName name="segrgres">#REF!</definedName>
    <definedName name="SEGUINE">#REF!</definedName>
    <definedName name="SELA">#REF!</definedName>
    <definedName name="Selected_Revenue">#REF!</definedName>
    <definedName name="sellexit">#REF!</definedName>
    <definedName name="sencount">1</definedName>
    <definedName name="sens">#REF!</definedName>
    <definedName name="sens1">#REF!</definedName>
    <definedName name="sens2">#REF!</definedName>
    <definedName name="sensitive">#REF!</definedName>
    <definedName name="Sensitivity">#REF!</definedName>
    <definedName name="Sensitivity_CAPEX_central">#REF!</definedName>
    <definedName name="Sensitivity_CAPEX_high">#REF!</definedName>
    <definedName name="Sensitivity_CAPEX_low">#REF!</definedName>
    <definedName name="Sensitivity_EBITDA_central">#REF!</definedName>
    <definedName name="Sensitivity_EBITDA_high">#REF!</definedName>
    <definedName name="Sensitivity_EBITDA_low">#REF!</definedName>
    <definedName name="Sensitivity_revenue_central">#REF!</definedName>
    <definedName name="Sensitivity_revenue_high">#REF!</definedName>
    <definedName name="Sensitivity_revenue_low">#REF!</definedName>
    <definedName name="Sensitivity_sub_central">#REF!</definedName>
    <definedName name="Sensitivity_sub_high">#REF!</definedName>
    <definedName name="Sensitivity_sub_low">#REF!</definedName>
    <definedName name="sergres">#REF!</definedName>
    <definedName name="service" hidden="1">#REF!</definedName>
    <definedName name="servicecode">#REF!</definedName>
    <definedName name="servicecode1">#REF!</definedName>
    <definedName name="Servicecodes">#REF!</definedName>
    <definedName name="SETOFBOOKSID1">#REF!</definedName>
    <definedName name="SETOFBOOKSNAME1">#REF!</definedName>
    <definedName name="SETOFFSUM">#REF!</definedName>
    <definedName name="SEXO">#REF!</definedName>
    <definedName name="SF">#REF!</definedName>
    <definedName name="sfas">#N/A</definedName>
    <definedName name="SFD_QDEPTID">#REF!</definedName>
    <definedName name="SFV">#REF!</definedName>
    <definedName name="sg">#REF!</definedName>
    <definedName name="sg4resreg">#REF!</definedName>
    <definedName name="sgegers">#REF!</definedName>
    <definedName name="sgerser">#REF!</definedName>
    <definedName name="sgresr">#REF!</definedName>
    <definedName name="sh">#REF!</definedName>
    <definedName name="share_of_debt_funding">#REF!</definedName>
    <definedName name="share_of_equity_funding">#REF!</definedName>
    <definedName name="SHARED_FORMULA_0" localSheetId="7">#REF!</definedName>
    <definedName name="SHARED_FORMULA_0">#N/A</definedName>
    <definedName name="SHARED_FORMULA_1" localSheetId="7">#REF!</definedName>
    <definedName name="SHARED_FORMULA_1">#N/A</definedName>
    <definedName name="SHARED_FORMULA_10" localSheetId="7">#REF!</definedName>
    <definedName name="SHARED_FORMULA_10">#N/A</definedName>
    <definedName name="SHARED_FORMULA_100" localSheetId="7">#REF!</definedName>
    <definedName name="SHARED_FORMULA_100">#N/A</definedName>
    <definedName name="SHARED_FORMULA_101" localSheetId="7">#REF!</definedName>
    <definedName name="SHARED_FORMULA_101">#N/A</definedName>
    <definedName name="SHARED_FORMULA_102" localSheetId="7">#REF!</definedName>
    <definedName name="SHARED_FORMULA_102">#N/A</definedName>
    <definedName name="SHARED_FORMULA_103" localSheetId="7">#REF!</definedName>
    <definedName name="SHARED_FORMULA_103">#N/A</definedName>
    <definedName name="SHARED_FORMULA_104" localSheetId="7">#REF!</definedName>
    <definedName name="SHARED_FORMULA_104">#N/A</definedName>
    <definedName name="SHARED_FORMULA_105" localSheetId="7">#REF!</definedName>
    <definedName name="SHARED_FORMULA_105">#N/A</definedName>
    <definedName name="SHARED_FORMULA_106" localSheetId="7">#REF!</definedName>
    <definedName name="SHARED_FORMULA_106">#N/A</definedName>
    <definedName name="SHARED_FORMULA_107" localSheetId="7">#REF!</definedName>
    <definedName name="SHARED_FORMULA_107">#N/A</definedName>
    <definedName name="SHARED_FORMULA_108" localSheetId="7">#REF!</definedName>
    <definedName name="SHARED_FORMULA_108">#N/A</definedName>
    <definedName name="SHARED_FORMULA_109" localSheetId="7">#REF!</definedName>
    <definedName name="SHARED_FORMULA_109">#N/A</definedName>
    <definedName name="SHARED_FORMULA_11">60958/18</definedName>
    <definedName name="SHARED_FORMULA_110" localSheetId="7">#REF!</definedName>
    <definedName name="SHARED_FORMULA_110">#N/A</definedName>
    <definedName name="SHARED_FORMULA_111" localSheetId="7">#REF!</definedName>
    <definedName name="SHARED_FORMULA_111">#N/A</definedName>
    <definedName name="SHARED_FORMULA_112" localSheetId="7">#REF!</definedName>
    <definedName name="SHARED_FORMULA_112">#N/A</definedName>
    <definedName name="SHARED_FORMULA_113" localSheetId="7">#REF!</definedName>
    <definedName name="SHARED_FORMULA_113">#N/A</definedName>
    <definedName name="SHARED_FORMULA_114" localSheetId="7">#REF!</definedName>
    <definedName name="SHARED_FORMULA_114">#N/A</definedName>
    <definedName name="SHARED_FORMULA_115" localSheetId="7">#REF!</definedName>
    <definedName name="SHARED_FORMULA_115">#N/A</definedName>
    <definedName name="SHARED_FORMULA_116" localSheetId="7">#REF!</definedName>
    <definedName name="SHARED_FORMULA_116">#N/A</definedName>
    <definedName name="SHARED_FORMULA_117" localSheetId="7">#REF!</definedName>
    <definedName name="SHARED_FORMULA_117">#N/A</definedName>
    <definedName name="SHARED_FORMULA_118" localSheetId="7">#REF!</definedName>
    <definedName name="SHARED_FORMULA_118">#N/A</definedName>
    <definedName name="SHARED_FORMULA_119" localSheetId="7">#REF!</definedName>
    <definedName name="SHARED_FORMULA_119">#N/A</definedName>
    <definedName name="SHARED_FORMULA_12">11825/18</definedName>
    <definedName name="SHARED_FORMULA_120" localSheetId="7">#REF!</definedName>
    <definedName name="SHARED_FORMULA_120">#N/A</definedName>
    <definedName name="SHARED_FORMULA_121" localSheetId="7">#REF!</definedName>
    <definedName name="SHARED_FORMULA_121">#N/A</definedName>
    <definedName name="SHARED_FORMULA_122" localSheetId="7">#REF!</definedName>
    <definedName name="SHARED_FORMULA_122">#N/A</definedName>
    <definedName name="SHARED_FORMULA_123" localSheetId="7">#REF!</definedName>
    <definedName name="SHARED_FORMULA_123">#N/A</definedName>
    <definedName name="SHARED_FORMULA_124" localSheetId="7">#REF!</definedName>
    <definedName name="SHARED_FORMULA_124">#N/A</definedName>
    <definedName name="SHARED_FORMULA_125" localSheetId="7">#REF!</definedName>
    <definedName name="SHARED_FORMULA_125">#N/A</definedName>
    <definedName name="SHARED_FORMULA_126" localSheetId="7">#REF!</definedName>
    <definedName name="SHARED_FORMULA_126">#N/A</definedName>
    <definedName name="SHARED_FORMULA_127" localSheetId="7">#REF!</definedName>
    <definedName name="SHARED_FORMULA_127">#N/A</definedName>
    <definedName name="SHARED_FORMULA_128" localSheetId="7">#REF!</definedName>
    <definedName name="SHARED_FORMULA_128">#N/A</definedName>
    <definedName name="SHARED_FORMULA_129" localSheetId="7">#REF!</definedName>
    <definedName name="SHARED_FORMULA_129">#N/A</definedName>
    <definedName name="SHARED_FORMULA_13" localSheetId="7">#REF!</definedName>
    <definedName name="SHARED_FORMULA_13">#N/A</definedName>
    <definedName name="SHARED_FORMULA_130" localSheetId="7">#REF!</definedName>
    <definedName name="SHARED_FORMULA_130">#N/A</definedName>
    <definedName name="SHARED_FORMULA_131" localSheetId="7">#REF!</definedName>
    <definedName name="SHARED_FORMULA_131">#N/A</definedName>
    <definedName name="SHARED_FORMULA_132" localSheetId="7">#REF!</definedName>
    <definedName name="SHARED_FORMULA_132">#N/A</definedName>
    <definedName name="SHARED_FORMULA_133" localSheetId="7">#REF!</definedName>
    <definedName name="SHARED_FORMULA_133">#N/A</definedName>
    <definedName name="SHARED_FORMULA_134" localSheetId="7">#REF!</definedName>
    <definedName name="SHARED_FORMULA_134">#N/A</definedName>
    <definedName name="SHARED_FORMULA_135" localSheetId="7">#REF!</definedName>
    <definedName name="SHARED_FORMULA_135">#N/A</definedName>
    <definedName name="SHARED_FORMULA_136" localSheetId="7">#REF!</definedName>
    <definedName name="SHARED_FORMULA_136">#N/A</definedName>
    <definedName name="SHARED_FORMULA_137" localSheetId="7">#REF!</definedName>
    <definedName name="SHARED_FORMULA_137">#N/A</definedName>
    <definedName name="SHARED_FORMULA_138" localSheetId="7">#REF!</definedName>
    <definedName name="SHARED_FORMULA_138">#N/A</definedName>
    <definedName name="SHARED_FORMULA_139" localSheetId="7">#REF!</definedName>
    <definedName name="SHARED_FORMULA_139">#N/A</definedName>
    <definedName name="SHARED_FORMULA_14" localSheetId="7">#REF!</definedName>
    <definedName name="SHARED_FORMULA_14">#N/A</definedName>
    <definedName name="SHARED_FORMULA_140" localSheetId="7">#REF!</definedName>
    <definedName name="SHARED_FORMULA_140">#N/A</definedName>
    <definedName name="SHARED_FORMULA_141" localSheetId="7">#REF!</definedName>
    <definedName name="SHARED_FORMULA_141">#N/A</definedName>
    <definedName name="SHARED_FORMULA_142" localSheetId="7">#REF!</definedName>
    <definedName name="SHARED_FORMULA_142">#N/A</definedName>
    <definedName name="SHARED_FORMULA_143" localSheetId="7">#REF!</definedName>
    <definedName name="SHARED_FORMULA_143">#N/A</definedName>
    <definedName name="SHARED_FORMULA_144" localSheetId="7">#REF!</definedName>
    <definedName name="SHARED_FORMULA_144">#N/A</definedName>
    <definedName name="SHARED_FORMULA_145" localSheetId="7">#REF!</definedName>
    <definedName name="SHARED_FORMULA_145">#N/A</definedName>
    <definedName name="SHARED_FORMULA_146" localSheetId="7">#REF!</definedName>
    <definedName name="SHARED_FORMULA_146">#N/A</definedName>
    <definedName name="SHARED_FORMULA_147" localSheetId="7">#REF!</definedName>
    <definedName name="SHARED_FORMULA_147">#N/A</definedName>
    <definedName name="SHARED_FORMULA_148" localSheetId="7">#REF!</definedName>
    <definedName name="SHARED_FORMULA_148">#N/A</definedName>
    <definedName name="SHARED_FORMULA_149" localSheetId="7">#REF!</definedName>
    <definedName name="SHARED_FORMULA_149">#N/A</definedName>
    <definedName name="SHARED_FORMULA_15" localSheetId="7">#REF!</definedName>
    <definedName name="SHARED_FORMULA_15">#N/A</definedName>
    <definedName name="SHARED_FORMULA_150" localSheetId="7">#REF!</definedName>
    <definedName name="SHARED_FORMULA_150">#N/A</definedName>
    <definedName name="SHARED_FORMULA_151" localSheetId="7">#REF!</definedName>
    <definedName name="SHARED_FORMULA_151">#N/A</definedName>
    <definedName name="SHARED_FORMULA_152" localSheetId="7">#REF!</definedName>
    <definedName name="SHARED_FORMULA_152">#N/A</definedName>
    <definedName name="SHARED_FORMULA_153" localSheetId="7">#REF!</definedName>
    <definedName name="SHARED_FORMULA_153">#N/A</definedName>
    <definedName name="SHARED_FORMULA_154" localSheetId="7">#REF!</definedName>
    <definedName name="SHARED_FORMULA_154">#N/A</definedName>
    <definedName name="SHARED_FORMULA_155" localSheetId="7">#REF!</definedName>
    <definedName name="SHARED_FORMULA_155">#N/A</definedName>
    <definedName name="SHARED_FORMULA_156" localSheetId="7">#REF!</definedName>
    <definedName name="SHARED_FORMULA_156">#N/A</definedName>
    <definedName name="SHARED_FORMULA_157" localSheetId="7">#REF!</definedName>
    <definedName name="SHARED_FORMULA_157">#N/A</definedName>
    <definedName name="SHARED_FORMULA_158" localSheetId="7">#REF!</definedName>
    <definedName name="SHARED_FORMULA_158">#N/A</definedName>
    <definedName name="SHARED_FORMULA_159" localSheetId="7">#REF!</definedName>
    <definedName name="SHARED_FORMULA_159">#N/A</definedName>
    <definedName name="SHARED_FORMULA_16" localSheetId="7">#REF!</definedName>
    <definedName name="SHARED_FORMULA_16">#N/A</definedName>
    <definedName name="SHARED_FORMULA_160" localSheetId="7">#REF!</definedName>
    <definedName name="SHARED_FORMULA_160">#N/A</definedName>
    <definedName name="SHARED_FORMULA_161" localSheetId="7">#REF!</definedName>
    <definedName name="SHARED_FORMULA_161">#N/A</definedName>
    <definedName name="SHARED_FORMULA_162" localSheetId="7">#REF!</definedName>
    <definedName name="SHARED_FORMULA_162">#N/A</definedName>
    <definedName name="SHARED_FORMULA_163" localSheetId="7">#REF!</definedName>
    <definedName name="SHARED_FORMULA_163">#N/A</definedName>
    <definedName name="SHARED_FORMULA_164" localSheetId="7">#REF!</definedName>
    <definedName name="SHARED_FORMULA_164">#N/A</definedName>
    <definedName name="SHARED_FORMULA_165" localSheetId="7">#REF!</definedName>
    <definedName name="SHARED_FORMULA_165">#N/A</definedName>
    <definedName name="SHARED_FORMULA_166" localSheetId="7">#REF!</definedName>
    <definedName name="SHARED_FORMULA_166">#N/A</definedName>
    <definedName name="SHARED_FORMULA_167" localSheetId="7">#REF!</definedName>
    <definedName name="SHARED_FORMULA_167">#N/A</definedName>
    <definedName name="SHARED_FORMULA_168" localSheetId="7">#REF!</definedName>
    <definedName name="SHARED_FORMULA_168">#N/A</definedName>
    <definedName name="SHARED_FORMULA_169" localSheetId="7">#REF!</definedName>
    <definedName name="SHARED_FORMULA_169">#N/A</definedName>
    <definedName name="SHARED_FORMULA_17" localSheetId="7">#REF!</definedName>
    <definedName name="SHARED_FORMULA_17">#N/A</definedName>
    <definedName name="SHARED_FORMULA_170" localSheetId="7">#REF!</definedName>
    <definedName name="SHARED_FORMULA_170">#N/A</definedName>
    <definedName name="SHARED_FORMULA_171" localSheetId="7">#REF!</definedName>
    <definedName name="SHARED_FORMULA_171">#N/A</definedName>
    <definedName name="SHARED_FORMULA_172" localSheetId="7">#REF!</definedName>
    <definedName name="SHARED_FORMULA_172">#N/A</definedName>
    <definedName name="SHARED_FORMULA_173" localSheetId="7">#REF!</definedName>
    <definedName name="SHARED_FORMULA_173">#N/A</definedName>
    <definedName name="SHARED_FORMULA_174" localSheetId="7">#REF!</definedName>
    <definedName name="SHARED_FORMULA_174">#N/A</definedName>
    <definedName name="SHARED_FORMULA_175" localSheetId="7">#REF!</definedName>
    <definedName name="SHARED_FORMULA_175">#N/A</definedName>
    <definedName name="SHARED_FORMULA_176" localSheetId="7">#REF!</definedName>
    <definedName name="SHARED_FORMULA_176">#N/A</definedName>
    <definedName name="SHARED_FORMULA_177" localSheetId="7">#REF!</definedName>
    <definedName name="SHARED_FORMULA_177">#N/A</definedName>
    <definedName name="SHARED_FORMULA_178" localSheetId="7">#REF!</definedName>
    <definedName name="SHARED_FORMULA_178">#N/A</definedName>
    <definedName name="SHARED_FORMULA_179" localSheetId="7">#REF!</definedName>
    <definedName name="SHARED_FORMULA_179">#N/A</definedName>
    <definedName name="SHARED_FORMULA_18" localSheetId="7">#REF!</definedName>
    <definedName name="SHARED_FORMULA_18">#N/A</definedName>
    <definedName name="SHARED_FORMULA_180" localSheetId="7">#REF!</definedName>
    <definedName name="SHARED_FORMULA_180">#N/A</definedName>
    <definedName name="SHARED_FORMULA_181" localSheetId="7">#REF!</definedName>
    <definedName name="SHARED_FORMULA_181">#N/A</definedName>
    <definedName name="SHARED_FORMULA_182" localSheetId="7">#REF!</definedName>
    <definedName name="SHARED_FORMULA_182">#N/A</definedName>
    <definedName name="SHARED_FORMULA_183" localSheetId="7">#REF!</definedName>
    <definedName name="SHARED_FORMULA_183">#N/A</definedName>
    <definedName name="SHARED_FORMULA_184" localSheetId="7">#REF!</definedName>
    <definedName name="SHARED_FORMULA_184">#N/A</definedName>
    <definedName name="SHARED_FORMULA_185" localSheetId="7">#REF!</definedName>
    <definedName name="SHARED_FORMULA_185">#N/A</definedName>
    <definedName name="SHARED_FORMULA_186" localSheetId="7">#REF!</definedName>
    <definedName name="SHARED_FORMULA_186">#N/A</definedName>
    <definedName name="SHARED_FORMULA_187" localSheetId="7">#REF!</definedName>
    <definedName name="SHARED_FORMULA_187">#N/A</definedName>
    <definedName name="SHARED_FORMULA_188" localSheetId="7">#REF!</definedName>
    <definedName name="SHARED_FORMULA_188">#N/A</definedName>
    <definedName name="SHARED_FORMULA_189" localSheetId="7">#REF!</definedName>
    <definedName name="SHARED_FORMULA_189">#N/A</definedName>
    <definedName name="SHARED_FORMULA_19" localSheetId="7">#REF!</definedName>
    <definedName name="SHARED_FORMULA_19">#N/A</definedName>
    <definedName name="SHARED_FORMULA_190" localSheetId="7">#REF!</definedName>
    <definedName name="SHARED_FORMULA_190">#N/A</definedName>
    <definedName name="SHARED_FORMULA_191" localSheetId="7">#REF!</definedName>
    <definedName name="SHARED_FORMULA_191">#N/A</definedName>
    <definedName name="SHARED_FORMULA_192" localSheetId="7">#REF!</definedName>
    <definedName name="SHARED_FORMULA_192">#N/A</definedName>
    <definedName name="SHARED_FORMULA_193" localSheetId="7">#REF!</definedName>
    <definedName name="SHARED_FORMULA_193">#N/A</definedName>
    <definedName name="SHARED_FORMULA_194" localSheetId="7">#REF!</definedName>
    <definedName name="SHARED_FORMULA_194">#N/A</definedName>
    <definedName name="SHARED_FORMULA_195" localSheetId="7">#REF!</definedName>
    <definedName name="SHARED_FORMULA_195">#N/A</definedName>
    <definedName name="SHARED_FORMULA_196" localSheetId="7">#REF!</definedName>
    <definedName name="SHARED_FORMULA_196">#N/A</definedName>
    <definedName name="SHARED_FORMULA_197" localSheetId="7">#REF!</definedName>
    <definedName name="SHARED_FORMULA_197">#N/A</definedName>
    <definedName name="SHARED_FORMULA_198" localSheetId="7">#REF!</definedName>
    <definedName name="SHARED_FORMULA_198">#N/A</definedName>
    <definedName name="SHARED_FORMULA_199" localSheetId="7">#REF!</definedName>
    <definedName name="SHARED_FORMULA_199">#N/A</definedName>
    <definedName name="SHARED_FORMULA_2" localSheetId="7">#REF!</definedName>
    <definedName name="SHARED_FORMULA_2">#N/A</definedName>
    <definedName name="SHARED_FORMULA_20" localSheetId="7">#REF!</definedName>
    <definedName name="SHARED_FORMULA_20">#N/A</definedName>
    <definedName name="SHARED_FORMULA_200" localSheetId="7">#REF!</definedName>
    <definedName name="SHARED_FORMULA_200">#N/A</definedName>
    <definedName name="SHARED_FORMULA_201" localSheetId="7">#REF!</definedName>
    <definedName name="SHARED_FORMULA_201">#N/A</definedName>
    <definedName name="SHARED_FORMULA_202" localSheetId="7">#REF!</definedName>
    <definedName name="SHARED_FORMULA_202">#N/A</definedName>
    <definedName name="SHARED_FORMULA_203" localSheetId="7">#REF!</definedName>
    <definedName name="SHARED_FORMULA_203">#N/A</definedName>
    <definedName name="SHARED_FORMULA_204" localSheetId="7">#REF!</definedName>
    <definedName name="SHARED_FORMULA_204">#N/A</definedName>
    <definedName name="SHARED_FORMULA_205" localSheetId="7">#REF!</definedName>
    <definedName name="SHARED_FORMULA_205">#N/A</definedName>
    <definedName name="SHARED_FORMULA_206" localSheetId="7">#REF!</definedName>
    <definedName name="SHARED_FORMULA_206">#N/A</definedName>
    <definedName name="SHARED_FORMULA_207" localSheetId="7">#REF!</definedName>
    <definedName name="SHARED_FORMULA_207">#N/A</definedName>
    <definedName name="SHARED_FORMULA_208" localSheetId="7">#REF!</definedName>
    <definedName name="SHARED_FORMULA_208">#N/A</definedName>
    <definedName name="SHARED_FORMULA_209" localSheetId="7">#REF!</definedName>
    <definedName name="SHARED_FORMULA_209">#N/A</definedName>
    <definedName name="SHARED_FORMULA_21" localSheetId="7">#REF!</definedName>
    <definedName name="SHARED_FORMULA_21">#N/A</definedName>
    <definedName name="SHARED_FORMULA_210" localSheetId="7">#REF!</definedName>
    <definedName name="SHARED_FORMULA_210">#N/A</definedName>
    <definedName name="SHARED_FORMULA_211" localSheetId="7">#REF!</definedName>
    <definedName name="SHARED_FORMULA_211">#N/A</definedName>
    <definedName name="SHARED_FORMULA_212" localSheetId="7">#REF!</definedName>
    <definedName name="SHARED_FORMULA_212">#N/A</definedName>
    <definedName name="SHARED_FORMULA_213" localSheetId="7">#REF!</definedName>
    <definedName name="SHARED_FORMULA_213">#N/A</definedName>
    <definedName name="SHARED_FORMULA_214" localSheetId="7">#REF!</definedName>
    <definedName name="SHARED_FORMULA_214">#N/A</definedName>
    <definedName name="SHARED_FORMULA_215" localSheetId="7">#REF!</definedName>
    <definedName name="SHARED_FORMULA_215">#N/A</definedName>
    <definedName name="SHARED_FORMULA_216" localSheetId="7">#REF!</definedName>
    <definedName name="SHARED_FORMULA_216">#N/A</definedName>
    <definedName name="SHARED_FORMULA_217" localSheetId="7">#REF!</definedName>
    <definedName name="SHARED_FORMULA_217">#N/A</definedName>
    <definedName name="SHARED_FORMULA_218" localSheetId="7">#REF!</definedName>
    <definedName name="SHARED_FORMULA_218">#N/A</definedName>
    <definedName name="SHARED_FORMULA_219" localSheetId="7">#REF!</definedName>
    <definedName name="SHARED_FORMULA_219">#N/A</definedName>
    <definedName name="SHARED_FORMULA_22" localSheetId="7">#REF!</definedName>
    <definedName name="SHARED_FORMULA_22">#N/A</definedName>
    <definedName name="SHARED_FORMULA_220" localSheetId="7">#REF!</definedName>
    <definedName name="SHARED_FORMULA_220">#N/A</definedName>
    <definedName name="SHARED_FORMULA_221" localSheetId="7">#REF!</definedName>
    <definedName name="SHARED_FORMULA_221">#N/A</definedName>
    <definedName name="SHARED_FORMULA_222" localSheetId="7">#REF!</definedName>
    <definedName name="SHARED_FORMULA_222">#N/A</definedName>
    <definedName name="SHARED_FORMULA_223" localSheetId="7">#REF!</definedName>
    <definedName name="SHARED_FORMULA_223">#N/A</definedName>
    <definedName name="SHARED_FORMULA_224" localSheetId="7">#REF!</definedName>
    <definedName name="SHARED_FORMULA_224">#N/A</definedName>
    <definedName name="SHARED_FORMULA_225" localSheetId="7">#REF!</definedName>
    <definedName name="SHARED_FORMULA_225">#N/A</definedName>
    <definedName name="SHARED_FORMULA_226" localSheetId="7">#REF!</definedName>
    <definedName name="SHARED_FORMULA_226">#N/A</definedName>
    <definedName name="SHARED_FORMULA_227" localSheetId="7">#REF!</definedName>
    <definedName name="SHARED_FORMULA_227">#N/A</definedName>
    <definedName name="SHARED_FORMULA_228" localSheetId="7">#REF!</definedName>
    <definedName name="SHARED_FORMULA_228">#N/A</definedName>
    <definedName name="SHARED_FORMULA_229" localSheetId="7">#REF!</definedName>
    <definedName name="SHARED_FORMULA_229">#N/A</definedName>
    <definedName name="SHARED_FORMULA_23" localSheetId="7">#REF!</definedName>
    <definedName name="SHARED_FORMULA_23">#N/A</definedName>
    <definedName name="SHARED_FORMULA_230" localSheetId="7">#REF!</definedName>
    <definedName name="SHARED_FORMULA_230">#N/A</definedName>
    <definedName name="SHARED_FORMULA_231" localSheetId="7">#REF!</definedName>
    <definedName name="SHARED_FORMULA_231">#N/A</definedName>
    <definedName name="SHARED_FORMULA_232" localSheetId="7">#REF!</definedName>
    <definedName name="SHARED_FORMULA_232">#N/A</definedName>
    <definedName name="SHARED_FORMULA_233" localSheetId="7">#REF!</definedName>
    <definedName name="SHARED_FORMULA_233">#N/A</definedName>
    <definedName name="SHARED_FORMULA_234" localSheetId="7">#REF!</definedName>
    <definedName name="SHARED_FORMULA_234">#N/A</definedName>
    <definedName name="SHARED_FORMULA_235" localSheetId="7">#REF!</definedName>
    <definedName name="SHARED_FORMULA_235">#N/A</definedName>
    <definedName name="SHARED_FORMULA_236" localSheetId="7">#REF!</definedName>
    <definedName name="SHARED_FORMULA_236">#N/A</definedName>
    <definedName name="SHARED_FORMULA_237" localSheetId="7">#REF!</definedName>
    <definedName name="SHARED_FORMULA_237">#N/A</definedName>
    <definedName name="SHARED_FORMULA_238" localSheetId="7">#REF!</definedName>
    <definedName name="SHARED_FORMULA_238">#N/A</definedName>
    <definedName name="SHARED_FORMULA_239" localSheetId="7">#REF!</definedName>
    <definedName name="SHARED_FORMULA_239">#N/A</definedName>
    <definedName name="SHARED_FORMULA_24" localSheetId="7">#REF!</definedName>
    <definedName name="SHARED_FORMULA_24">#N/A</definedName>
    <definedName name="SHARED_FORMULA_240" localSheetId="7">#REF!</definedName>
    <definedName name="SHARED_FORMULA_240">#N/A</definedName>
    <definedName name="SHARED_FORMULA_25" localSheetId="7">#REF!</definedName>
    <definedName name="SHARED_FORMULA_25">#N/A</definedName>
    <definedName name="SHARED_FORMULA_26" localSheetId="7">#REF!</definedName>
    <definedName name="SHARED_FORMULA_26">#N/A</definedName>
    <definedName name="SHARED_FORMULA_27" localSheetId="7">#REF!</definedName>
    <definedName name="SHARED_FORMULA_27">#N/A</definedName>
    <definedName name="SHARED_FORMULA_28" localSheetId="7">#REF!</definedName>
    <definedName name="SHARED_FORMULA_28">#N/A</definedName>
    <definedName name="SHARED_FORMULA_29" localSheetId="7">#REF!</definedName>
    <definedName name="SHARED_FORMULA_29">#N/A</definedName>
    <definedName name="SHARED_FORMULA_3" localSheetId="7">#REF!</definedName>
    <definedName name="SHARED_FORMULA_3">#N/A</definedName>
    <definedName name="SHARED_FORMULA_3_11_3_11_5">NA()</definedName>
    <definedName name="SHARED_FORMULA_30" localSheetId="7">#REF!</definedName>
    <definedName name="SHARED_FORMULA_30">#N/A</definedName>
    <definedName name="SHARED_FORMULA_31" localSheetId="7">#REF!</definedName>
    <definedName name="SHARED_FORMULA_31">#N/A</definedName>
    <definedName name="SHARED_FORMULA_32" localSheetId="7">#REF!</definedName>
    <definedName name="SHARED_FORMULA_32">#N/A</definedName>
    <definedName name="SHARED_FORMULA_33" localSheetId="7">#REF!</definedName>
    <definedName name="SHARED_FORMULA_33">#N/A</definedName>
    <definedName name="SHARED_FORMULA_34" localSheetId="7">#REF!</definedName>
    <definedName name="SHARED_FORMULA_34">#N/A</definedName>
    <definedName name="SHARED_FORMULA_35" localSheetId="7">#REF!</definedName>
    <definedName name="SHARED_FORMULA_35">#N/A</definedName>
    <definedName name="SHARED_FORMULA_36" localSheetId="7">#REF!</definedName>
    <definedName name="SHARED_FORMULA_36">#N/A</definedName>
    <definedName name="SHARED_FORMULA_37" localSheetId="7">#REF!</definedName>
    <definedName name="SHARED_FORMULA_37">#N/A</definedName>
    <definedName name="SHARED_FORMULA_38" localSheetId="7">#REF!</definedName>
    <definedName name="SHARED_FORMULA_38">#N/A</definedName>
    <definedName name="SHARED_FORMULA_39" localSheetId="7">#REF!</definedName>
    <definedName name="SHARED_FORMULA_39">#N/A</definedName>
    <definedName name="SHARED_FORMULA_4" localSheetId="7">#REF!</definedName>
    <definedName name="SHARED_FORMULA_4">#N/A</definedName>
    <definedName name="SHARED_FORMULA_4_111_4_111_2">NA()</definedName>
    <definedName name="SHARED_FORMULA_4_68_4_68_2">NA()</definedName>
    <definedName name="SHARED_FORMULA_40" localSheetId="7">#REF!</definedName>
    <definedName name="SHARED_FORMULA_40">#N/A</definedName>
    <definedName name="SHARED_FORMULA_41" localSheetId="7">#REF!</definedName>
    <definedName name="SHARED_FORMULA_41">#N/A</definedName>
    <definedName name="SHARED_FORMULA_42" localSheetId="7">#REF!</definedName>
    <definedName name="SHARED_FORMULA_42">#N/A</definedName>
    <definedName name="SHARED_FORMULA_43" localSheetId="7">#REF!</definedName>
    <definedName name="SHARED_FORMULA_43">#N/A</definedName>
    <definedName name="SHARED_FORMULA_44" localSheetId="7">#REF!</definedName>
    <definedName name="SHARED_FORMULA_44">#N/A</definedName>
    <definedName name="SHARED_FORMULA_45" localSheetId="7">#REF!</definedName>
    <definedName name="SHARED_FORMULA_45">#N/A</definedName>
    <definedName name="SHARED_FORMULA_46" localSheetId="7">#REF!</definedName>
    <definedName name="SHARED_FORMULA_46">#N/A</definedName>
    <definedName name="SHARED_FORMULA_47" localSheetId="7">#REF!</definedName>
    <definedName name="SHARED_FORMULA_47">#N/A</definedName>
    <definedName name="SHARED_FORMULA_48" localSheetId="7">#REF!</definedName>
    <definedName name="SHARED_FORMULA_48">#N/A</definedName>
    <definedName name="SHARED_FORMULA_49" localSheetId="7">#REF!</definedName>
    <definedName name="SHARED_FORMULA_49">#N/A</definedName>
    <definedName name="SHARED_FORMULA_5" localSheetId="7">#REF!</definedName>
    <definedName name="SHARED_FORMULA_5">#N/A</definedName>
    <definedName name="SHARED_FORMULA_5_111_5_111_2">NA()</definedName>
    <definedName name="SHARED_FORMULA_5_68_5_68_2">NA()</definedName>
    <definedName name="SHARED_FORMULA_50" localSheetId="7">#REF!</definedName>
    <definedName name="SHARED_FORMULA_50">#N/A</definedName>
    <definedName name="SHARED_FORMULA_51" localSheetId="7">#REF!</definedName>
    <definedName name="SHARED_FORMULA_51">#N/A</definedName>
    <definedName name="SHARED_FORMULA_52" localSheetId="7">#REF!</definedName>
    <definedName name="SHARED_FORMULA_52">#N/A</definedName>
    <definedName name="SHARED_FORMULA_53" localSheetId="7">#REF!</definedName>
    <definedName name="SHARED_FORMULA_53">#N/A</definedName>
    <definedName name="SHARED_FORMULA_54" localSheetId="7">#REF!</definedName>
    <definedName name="SHARED_FORMULA_54">#N/A</definedName>
    <definedName name="SHARED_FORMULA_55" localSheetId="7">#REF!</definedName>
    <definedName name="SHARED_FORMULA_55">#N/A</definedName>
    <definedName name="SHARED_FORMULA_56" localSheetId="7">#REF!</definedName>
    <definedName name="SHARED_FORMULA_56">#N/A</definedName>
    <definedName name="SHARED_FORMULA_57" localSheetId="7">#REF!</definedName>
    <definedName name="SHARED_FORMULA_57">#N/A</definedName>
    <definedName name="SHARED_FORMULA_58" localSheetId="7">#REF!</definedName>
    <definedName name="SHARED_FORMULA_58">#N/A</definedName>
    <definedName name="SHARED_FORMULA_59" localSheetId="7">#REF!</definedName>
    <definedName name="SHARED_FORMULA_59">#N/A</definedName>
    <definedName name="SHARED_FORMULA_6" localSheetId="7">#REF!</definedName>
    <definedName name="SHARED_FORMULA_6">#N/A</definedName>
    <definedName name="SHARED_FORMULA_60" localSheetId="7">#REF!</definedName>
    <definedName name="SHARED_FORMULA_60">#N/A</definedName>
    <definedName name="SHARED_FORMULA_61" localSheetId="7">#REF!</definedName>
    <definedName name="SHARED_FORMULA_61">#N/A</definedName>
    <definedName name="SHARED_FORMULA_62" localSheetId="7">#REF!</definedName>
    <definedName name="SHARED_FORMULA_62">#N/A</definedName>
    <definedName name="SHARED_FORMULA_63" localSheetId="7">#REF!</definedName>
    <definedName name="SHARED_FORMULA_63">#N/A</definedName>
    <definedName name="SHARED_FORMULA_64" localSheetId="7">#REF!</definedName>
    <definedName name="SHARED_FORMULA_64">#N/A</definedName>
    <definedName name="SHARED_FORMULA_65" localSheetId="7">#REF!</definedName>
    <definedName name="SHARED_FORMULA_65">#N/A</definedName>
    <definedName name="SHARED_FORMULA_66" localSheetId="7">#REF!</definedName>
    <definedName name="SHARED_FORMULA_66">#N/A</definedName>
    <definedName name="SHARED_FORMULA_67" localSheetId="7">#REF!</definedName>
    <definedName name="SHARED_FORMULA_67">#N/A</definedName>
    <definedName name="SHARED_FORMULA_68" localSheetId="7">#REF!</definedName>
    <definedName name="SHARED_FORMULA_68">#N/A</definedName>
    <definedName name="SHARED_FORMULA_69" localSheetId="7">#REF!</definedName>
    <definedName name="SHARED_FORMULA_69">#N/A</definedName>
    <definedName name="SHARED_FORMULA_7" localSheetId="7">#REF!</definedName>
    <definedName name="SHARED_FORMULA_7">#N/A</definedName>
    <definedName name="SHARED_FORMULA_7_26_7_26_4">NA()</definedName>
    <definedName name="SHARED_FORMULA_7_38_7_38_4">NA()</definedName>
    <definedName name="SHARED_FORMULA_70" localSheetId="7">#REF!</definedName>
    <definedName name="SHARED_FORMULA_70">#N/A</definedName>
    <definedName name="SHARED_FORMULA_71" localSheetId="7">#REF!</definedName>
    <definedName name="SHARED_FORMULA_71">#N/A</definedName>
    <definedName name="SHARED_FORMULA_72" localSheetId="7">#REF!</definedName>
    <definedName name="SHARED_FORMULA_72">#N/A</definedName>
    <definedName name="SHARED_FORMULA_73" localSheetId="7">#REF!</definedName>
    <definedName name="SHARED_FORMULA_73">#N/A</definedName>
    <definedName name="SHARED_FORMULA_74" localSheetId="7">#REF!</definedName>
    <definedName name="SHARED_FORMULA_74">#N/A</definedName>
    <definedName name="SHARED_FORMULA_75" localSheetId="7">#REF!</definedName>
    <definedName name="SHARED_FORMULA_75">#N/A</definedName>
    <definedName name="SHARED_FORMULA_76" localSheetId="7">#REF!</definedName>
    <definedName name="SHARED_FORMULA_76">#N/A</definedName>
    <definedName name="SHARED_FORMULA_77" localSheetId="7">#REF!</definedName>
    <definedName name="SHARED_FORMULA_77">#N/A</definedName>
    <definedName name="SHARED_FORMULA_78" localSheetId="7">#REF!</definedName>
    <definedName name="SHARED_FORMULA_78">#N/A</definedName>
    <definedName name="SHARED_FORMULA_79" localSheetId="7">#REF!</definedName>
    <definedName name="SHARED_FORMULA_79">#N/A</definedName>
    <definedName name="SHARED_FORMULA_8" localSheetId="7">#REF!</definedName>
    <definedName name="SHARED_FORMULA_8">#N/A</definedName>
    <definedName name="SHARED_FORMULA_80" localSheetId="7">#REF!</definedName>
    <definedName name="SHARED_FORMULA_80">#N/A</definedName>
    <definedName name="SHARED_FORMULA_81" localSheetId="7">#REF!</definedName>
    <definedName name="SHARED_FORMULA_81">#N/A</definedName>
    <definedName name="SHARED_FORMULA_82" localSheetId="7">#REF!</definedName>
    <definedName name="SHARED_FORMULA_82">#N/A</definedName>
    <definedName name="SHARED_FORMULA_83" localSheetId="7">#REF!</definedName>
    <definedName name="SHARED_FORMULA_83">#N/A</definedName>
    <definedName name="SHARED_FORMULA_84" localSheetId="7">#REF!</definedName>
    <definedName name="SHARED_FORMULA_84">#N/A</definedName>
    <definedName name="SHARED_FORMULA_85" localSheetId="7">#REF!</definedName>
    <definedName name="SHARED_FORMULA_85">#N/A</definedName>
    <definedName name="SHARED_FORMULA_86" localSheetId="7">#REF!</definedName>
    <definedName name="SHARED_FORMULA_86">#N/A</definedName>
    <definedName name="SHARED_FORMULA_87" localSheetId="7">#REF!</definedName>
    <definedName name="SHARED_FORMULA_87">#N/A</definedName>
    <definedName name="SHARED_FORMULA_88" localSheetId="7">#REF!</definedName>
    <definedName name="SHARED_FORMULA_88">#N/A</definedName>
    <definedName name="SHARED_FORMULA_89" localSheetId="7">#REF!</definedName>
    <definedName name="SHARED_FORMULA_89">#N/A</definedName>
    <definedName name="SHARED_FORMULA_9" localSheetId="7">#REF!</definedName>
    <definedName name="SHARED_FORMULA_9">#N/A</definedName>
    <definedName name="SHARED_FORMULA_90" localSheetId="7">#REF!</definedName>
    <definedName name="SHARED_FORMULA_90">#N/A</definedName>
    <definedName name="SHARED_FORMULA_91" localSheetId="7">#REF!</definedName>
    <definedName name="SHARED_FORMULA_91">#N/A</definedName>
    <definedName name="SHARED_FORMULA_92" localSheetId="7">#REF!</definedName>
    <definedName name="SHARED_FORMULA_92">#N/A</definedName>
    <definedName name="SHARED_FORMULA_93" localSheetId="7">#REF!</definedName>
    <definedName name="SHARED_FORMULA_93">#N/A</definedName>
    <definedName name="SHARED_FORMULA_94" localSheetId="7">#REF!</definedName>
    <definedName name="SHARED_FORMULA_94">#N/A</definedName>
    <definedName name="SHARED_FORMULA_95" localSheetId="7">#REF!</definedName>
    <definedName name="SHARED_FORMULA_95">#N/A</definedName>
    <definedName name="SHARED_FORMULA_96" localSheetId="7">#REF!</definedName>
    <definedName name="SHARED_FORMULA_96">#N/A</definedName>
    <definedName name="SHARED_FORMULA_97" localSheetId="7">#REF!</definedName>
    <definedName name="SHARED_FORMULA_97">#N/A</definedName>
    <definedName name="SHARED_FORMULA_98" localSheetId="7">#REF!</definedName>
    <definedName name="SHARED_FORMULA_98">#N/A</definedName>
    <definedName name="SHARED_FORMULA_99" localSheetId="7">#REF!</definedName>
    <definedName name="SHARED_FORMULA_99">#N/A</definedName>
    <definedName name="shareholders">#REF!</definedName>
    <definedName name="shares">#REF!</definedName>
    <definedName name="sharesnew" localSheetId="7">{#N/A,#N/A,FALSE,"Const";#N/A,#N/A,FALSE,"P&amp;L";#N/A,#N/A,FALSE,"Sale"}</definedName>
    <definedName name="sharesnew" localSheetId="10" hidden="1">{#N/A,#N/A,FALSE,"Const";#N/A,#N/A,FALSE,"P&amp;L";#N/A,#N/A,FALSE,"Sale"}</definedName>
    <definedName name="sharesnew" localSheetId="0" hidden="1">{#N/A,#N/A,FALSE,"Const";#N/A,#N/A,FALSE,"P&amp;L";#N/A,#N/A,FALSE,"Sale"}</definedName>
    <definedName name="sharesnew" localSheetId="9" hidden="1">{#N/A,#N/A,FALSE,"Const";#N/A,#N/A,FALSE,"P&amp;L";#N/A,#N/A,FALSE,"Sale"}</definedName>
    <definedName name="sharesnew" localSheetId="11" hidden="1">{#N/A,#N/A,FALSE,"Const";#N/A,#N/A,FALSE,"P&amp;L";#N/A,#N/A,FALSE,"Sale"}</definedName>
    <definedName name="sharesnew" hidden="1">{#N/A,#N/A,FALSE,"Const";#N/A,#N/A,FALSE,"P&amp;L";#N/A,#N/A,FALSE,"Sale"}</definedName>
    <definedName name="Sheet1">#REF!</definedName>
    <definedName name="sheet2">#REF!</definedName>
    <definedName name="SHEET4">#REF!</definedName>
    <definedName name="Sheeta" localSheetId="7">{#N/A,#N/A,TRUE,"ADVANCE SUMM.";#N/A,#N/A,TRUE,"KEITH";#N/A,#N/A,TRUE,"WES"}</definedName>
    <definedName name="Sheeta" localSheetId="10" hidden="1">{#N/A,#N/A,TRUE,"ADVANCE SUMM.";#N/A,#N/A,TRUE,"KEITH";#N/A,#N/A,TRUE,"WES"}</definedName>
    <definedName name="Sheeta" localSheetId="0" hidden="1">{#N/A,#N/A,TRUE,"ADVANCE SUMM.";#N/A,#N/A,TRUE,"KEITH";#N/A,#N/A,TRUE,"WES"}</definedName>
    <definedName name="Sheeta" localSheetId="9" hidden="1">{#N/A,#N/A,TRUE,"ADVANCE SUMM.";#N/A,#N/A,TRUE,"KEITH";#N/A,#N/A,TRUE,"WES"}</definedName>
    <definedName name="Sheeta" localSheetId="11" hidden="1">{#N/A,#N/A,TRUE,"ADVANCE SUMM.";#N/A,#N/A,TRUE,"KEITH";#N/A,#N/A,TRUE,"WES"}</definedName>
    <definedName name="Sheeta" hidden="1">{#N/A,#N/A,TRUE,"ADVANCE SUMM.";#N/A,#N/A,TRUE,"KEITH";#N/A,#N/A,TRUE,"WES"}</definedName>
    <definedName name="SHEETB">#REF!</definedName>
    <definedName name="SHEETC">#REF!</definedName>
    <definedName name="shh">#REF!</definedName>
    <definedName name="sho">#REF!</definedName>
    <definedName name="SI">#REF!</definedName>
    <definedName name="siemensitems">#REF!,#REF!,#REF!,#REF!,#REF!,#REF!,#REF!,#REF!,#REF!,#REF!,#REF!,#REF!,#REF!,#REF!,#REF!,#REF!,#REF!</definedName>
    <definedName name="sig">#REF!</definedName>
    <definedName name="SILDENA">#REF!</definedName>
    <definedName name="SILDENAFIL">#REF!</definedName>
    <definedName name="SITE">#REF!</definedName>
    <definedName name="site.sharing.options">#REF!</definedName>
    <definedName name="sjdsfgjsjsj">#REF!</definedName>
    <definedName name="sjfsfjsjgfjfj">#REF!</definedName>
    <definedName name="sjlk" localSheetId="7">{#N/A,#N/A,FALSE,"1"}</definedName>
    <definedName name="sjlk" localSheetId="10" hidden="1">{#N/A,#N/A,FALSE,"1"}</definedName>
    <definedName name="sjlk" localSheetId="0" hidden="1">{#N/A,#N/A,FALSE,"1"}</definedName>
    <definedName name="sjlk" localSheetId="9" hidden="1">{#N/A,#N/A,FALSE,"1"}</definedName>
    <definedName name="sjlk" localSheetId="11" hidden="1">{#N/A,#N/A,FALSE,"1"}</definedName>
    <definedName name="sjlk" hidden="1">{#N/A,#N/A,FALSE,"1"}</definedName>
    <definedName name="sjlk_1" localSheetId="7">{#N/A,#N/A,FALSE,"1"}</definedName>
    <definedName name="sjlk_1" localSheetId="10" hidden="1">{#N/A,#N/A,FALSE,"1"}</definedName>
    <definedName name="sjlk_1" localSheetId="0" hidden="1">{#N/A,#N/A,FALSE,"1"}</definedName>
    <definedName name="sjlk_1" localSheetId="9" hidden="1">{#N/A,#N/A,FALSE,"1"}</definedName>
    <definedName name="sjlk_1" localSheetId="11" hidden="1">{#N/A,#N/A,FALSE,"1"}</definedName>
    <definedName name="sjlk_1" hidden="1">{#N/A,#N/A,FALSE,"1"}</definedName>
    <definedName name="sjlk_2" localSheetId="7">{#N/A,#N/A,FALSE,"1"}</definedName>
    <definedName name="sjlk_2" localSheetId="10" hidden="1">{#N/A,#N/A,FALSE,"1"}</definedName>
    <definedName name="sjlk_2" localSheetId="0" hidden="1">{#N/A,#N/A,FALSE,"1"}</definedName>
    <definedName name="sjlk_2" localSheetId="9" hidden="1">{#N/A,#N/A,FALSE,"1"}</definedName>
    <definedName name="sjlk_2" localSheetId="11" hidden="1">{#N/A,#N/A,FALSE,"1"}</definedName>
    <definedName name="sjlk_2" hidden="1">{#N/A,#N/A,FALSE,"1"}</definedName>
    <definedName name="sk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p">#REF!</definedName>
    <definedName name="SleepmasterIncome">#REF!</definedName>
    <definedName name="SLS">#REF!</definedName>
    <definedName name="smu">#REF!</definedName>
    <definedName name="SNAP">#REF!</definedName>
    <definedName name="SOBNAME1">#REF!</definedName>
    <definedName name="soda">#REF!</definedName>
    <definedName name="SOJA89">#REF!</definedName>
    <definedName name="SOJA90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>1</definedName>
    <definedName name="solver_nwt" hidden="1">1</definedName>
    <definedName name="solver_pre" hidden="1">0.000001</definedName>
    <definedName name="solver_rel1">1</definedName>
    <definedName name="solver_rel10" hidden="1">3</definedName>
    <definedName name="solver_rel11" hidden="1">3</definedName>
    <definedName name="solver_rel12" hidden="1">3</definedName>
    <definedName name="solver_rel13" hidden="1">3</definedName>
    <definedName name="solver_rel14" hidden="1">3</definedName>
    <definedName name="solver_rel15" hidden="1">2</definedName>
    <definedName name="solver_rel16" hidden="1">3</definedName>
    <definedName name="solver_rel17" hidden="1">3</definedName>
    <definedName name="solver_rel18" hidden="1">3</definedName>
    <definedName name="solver_rel19" hidden="1">3</definedName>
    <definedName name="solver_rel2">1</definedName>
    <definedName name="solver_rel20" hidden="1">3</definedName>
    <definedName name="solver_rel21" hidden="1">3</definedName>
    <definedName name="solver_rel22" hidden="1">2</definedName>
    <definedName name="solver_rel23" hidden="1">2</definedName>
    <definedName name="solver_rel24" hidden="1">3</definedName>
    <definedName name="solver_rel25" hidden="1">3</definedName>
    <definedName name="solver_rel26" hidden="1">1</definedName>
    <definedName name="solver_rel27" hidden="1">3</definedName>
    <definedName name="solver_rel3">3</definedName>
    <definedName name="solver_rel4">2</definedName>
    <definedName name="solver_rel5">1</definedName>
    <definedName name="solver_rel6" hidden="1">3</definedName>
    <definedName name="solver_rel7" hidden="1">3</definedName>
    <definedName name="solver_rel8" hidden="1">3</definedName>
    <definedName name="solver_rel9" hidden="1">3</definedName>
    <definedName name="solver_rhs1">0.15</definedName>
    <definedName name="solver_rhs10" hidden="1">270</definedName>
    <definedName name="solver_rhs11" hidden="1">10</definedName>
    <definedName name="solver_rhs12" hidden="1">40</definedName>
    <definedName name="solver_rhs13" hidden="1">30</definedName>
    <definedName name="solver_rhs14" hidden="1">20</definedName>
    <definedName name="solver_rhs15" hidden="1">100</definedName>
    <definedName name="solver_rhs16" hidden="1">15</definedName>
    <definedName name="solver_rhs17" hidden="1">10</definedName>
    <definedName name="solver_rhs18" hidden="1">5</definedName>
    <definedName name="solver_rhs19" hidden="1">1</definedName>
    <definedName name="solver_rhs20" hidden="1">1</definedName>
    <definedName name="solver_rhs21" hidden="1">15</definedName>
    <definedName name="solver_rhs22" hidden="1">0</definedName>
    <definedName name="solver_rhs23" hidden="1">0</definedName>
    <definedName name="solver_rhs24" hidden="1">4</definedName>
    <definedName name="solver_rhs25" hidden="1">5</definedName>
    <definedName name="solver_rhs26" hidden="1">3</definedName>
    <definedName name="solver_rhs27" hidden="1">10</definedName>
    <definedName name="solver_rhs3">-0.005</definedName>
    <definedName name="solver_rhs5">0.1</definedName>
    <definedName name="solver_rhs6" hidden="1">8.5</definedName>
    <definedName name="solver_rhs7" hidden="1">25</definedName>
    <definedName name="solver_rhs8" hidden="1">110</definedName>
    <definedName name="solver_rhs9" hidden="1">40</definedName>
    <definedName name="solver_scl" hidden="1">2</definedName>
    <definedName name="solver_sho" hidden="1">2</definedName>
    <definedName name="solver_tim" hidden="1">100</definedName>
    <definedName name="solver_tmp">0.15</definedName>
    <definedName name="solver_tol" hidden="1">0.05</definedName>
    <definedName name="solver_typ" hidden="1">1</definedName>
    <definedName name="solver_val" hidden="1">0</definedName>
    <definedName name="Sonderauswertung">#REF!</definedName>
    <definedName name="Sonstiger_Materialaufwand">#REF!</definedName>
    <definedName name="Sonstiger_Verwaltungsaufwand">#REF!</definedName>
    <definedName name="SORGO">#REF!</definedName>
    <definedName name="sort">#REF!</definedName>
    <definedName name="Sort2" hidden="1">#REF!</definedName>
    <definedName name="Sortierreihenfolge_1">#REF!</definedName>
    <definedName name="Sortrange">#REF!</definedName>
    <definedName name="SOUND_EQUIPMENT">#REF!</definedName>
    <definedName name="Source_data">#REF!</definedName>
    <definedName name="SP" localSheetId="7">{"'NPCGUIDELINES'!$A$1:$J$41"}</definedName>
    <definedName name="SP" localSheetId="10" hidden="1">{"'NPCGUIDELINES'!$A$1:$J$41"}</definedName>
    <definedName name="SP" localSheetId="0" hidden="1">{"'NPCGUIDELINES'!$A$1:$J$41"}</definedName>
    <definedName name="SP" localSheetId="9" hidden="1">{"'NPCGUIDELINES'!$A$1:$J$41"}</definedName>
    <definedName name="SP" localSheetId="11" hidden="1">{"'NPCGUIDELINES'!$A$1:$J$41"}</definedName>
    <definedName name="SP" hidden="1">{"'NPCGUIDELINES'!$A$1:$J$41"}</definedName>
    <definedName name="SPAIN">#REF!</definedName>
    <definedName name="SPAN">#REF!</definedName>
    <definedName name="Spare_1" localSheetId="7">{#N/A,#N/A,TRUE,"plavinas";#N/A,#N/A,TRUE,"GOSTINI";#N/A,#N/A,TRUE,"KARZERS"}</definedName>
    <definedName name="Spare_1" localSheetId="10" hidden="1">{#N/A,#N/A,TRUE,"plavinas";#N/A,#N/A,TRUE,"GOSTINI";#N/A,#N/A,TRUE,"KARZERS"}</definedName>
    <definedName name="Spare_1" localSheetId="0" hidden="1">{#N/A,#N/A,TRUE,"plavinas";#N/A,#N/A,TRUE,"GOSTINI";#N/A,#N/A,TRUE,"KARZERS"}</definedName>
    <definedName name="Spare_1" localSheetId="9" hidden="1">{#N/A,#N/A,TRUE,"plavinas";#N/A,#N/A,TRUE,"GOSTINI";#N/A,#N/A,TRUE,"KARZERS"}</definedName>
    <definedName name="Spare_1" localSheetId="11" hidden="1">{#N/A,#N/A,TRUE,"plavinas";#N/A,#N/A,TRUE,"GOSTINI";#N/A,#N/A,TRUE,"KARZERS"}</definedName>
    <definedName name="Spare_1" hidden="1">{#N/A,#N/A,TRUE,"plavinas";#N/A,#N/A,TRUE,"GOSTINI";#N/A,#N/A,TRUE,"KARZERS"}</definedName>
    <definedName name="Spec">#REF!</definedName>
    <definedName name="SpecialPrice">#REF!</definedName>
    <definedName name="SPECSUMMARY">#REF!</definedName>
    <definedName name="SpoolPath">"H:\USER\ACCTNG\Transfer\Analysis Reports by Sales Area\September 1999 by area.txt"</definedName>
    <definedName name="SPRY_DRY_AL">#REF!</definedName>
    <definedName name="SQASASASASASA">Word</definedName>
    <definedName name="sr">#REF!</definedName>
    <definedName name="SRCOFUNDS">#REF!</definedName>
    <definedName name="sreggres">#REF!</definedName>
    <definedName name="srsegres">#REF!</definedName>
    <definedName name="ss">#REF!</definedName>
    <definedName name="ssa">#REF!</definedName>
    <definedName name="ssd">#REF!</definedName>
    <definedName name="ssddsfsd">#N/A</definedName>
    <definedName name="SSFD">#REF!</definedName>
    <definedName name="SSKSSM" localSheetId="7">{#N/A,#N/A,TRUE,"ADVANCE SUMM.";#N/A,#N/A,TRUE,"KEITH";#N/A,#N/A,TRUE,"WES"}</definedName>
    <definedName name="SSKSSM" localSheetId="10" hidden="1">{#N/A,#N/A,TRUE,"ADVANCE SUMM.";#N/A,#N/A,TRUE,"KEITH";#N/A,#N/A,TRUE,"WES"}</definedName>
    <definedName name="SSKSSM" localSheetId="0" hidden="1">{#N/A,#N/A,TRUE,"ADVANCE SUMM.";#N/A,#N/A,TRUE,"KEITH";#N/A,#N/A,TRUE,"WES"}</definedName>
    <definedName name="SSKSSM" localSheetId="9" hidden="1">{#N/A,#N/A,TRUE,"ADVANCE SUMM.";#N/A,#N/A,TRUE,"KEITH";#N/A,#N/A,TRUE,"WES"}</definedName>
    <definedName name="SSKSSM" localSheetId="11" hidden="1">{#N/A,#N/A,TRUE,"ADVANCE SUMM.";#N/A,#N/A,TRUE,"KEITH";#N/A,#N/A,TRUE,"WES"}</definedName>
    <definedName name="SSKSSM" hidden="1">{#N/A,#N/A,TRUE,"ADVANCE SUMM.";#N/A,#N/A,TRUE,"KEITH";#N/A,#N/A,TRUE,"WES"}</definedName>
    <definedName name="ssr">#REF!</definedName>
    <definedName name="sss" localSheetId="7">{"'Sample Status'!$A$1:$J$21"}</definedName>
    <definedName name="sss" localSheetId="10" hidden="1">{"'Sample Status'!$A$1:$J$21"}</definedName>
    <definedName name="sss" localSheetId="0" hidden="1">{"'Sample Status'!$A$1:$J$21"}</definedName>
    <definedName name="sss" localSheetId="9" hidden="1">{"'Sample Status'!$A$1:$J$21"}</definedName>
    <definedName name="sss" localSheetId="11" hidden="1">{"'Sample Status'!$A$1:$J$21"}</definedName>
    <definedName name="sss" hidden="1">{"'Sample Status'!$A$1:$J$21"}</definedName>
    <definedName name="sss_1" localSheetId="7">{"'Sample Status'!$A$1:$J$21"}</definedName>
    <definedName name="sss_1" localSheetId="10" hidden="1">{"'Sample Status'!$A$1:$J$21"}</definedName>
    <definedName name="sss_1" localSheetId="0" hidden="1">{"'Sample Status'!$A$1:$J$21"}</definedName>
    <definedName name="sss_1" localSheetId="9" hidden="1">{"'Sample Status'!$A$1:$J$21"}</definedName>
    <definedName name="sss_1" localSheetId="11" hidden="1">{"'Sample Status'!$A$1:$J$21"}</definedName>
    <definedName name="sss_1" hidden="1">{"'Sample Status'!$A$1:$J$21"}</definedName>
    <definedName name="sss_2" localSheetId="7">{"'Sample Status'!$A$1:$J$21"}</definedName>
    <definedName name="sss_2" localSheetId="10" hidden="1">{"'Sample Status'!$A$1:$J$21"}</definedName>
    <definedName name="sss_2" localSheetId="0" hidden="1">{"'Sample Status'!$A$1:$J$21"}</definedName>
    <definedName name="sss_2" localSheetId="9" hidden="1">{"'Sample Status'!$A$1:$J$21"}</definedName>
    <definedName name="sss_2" localSheetId="11" hidden="1">{"'Sample Status'!$A$1:$J$21"}</definedName>
    <definedName name="sss_2" hidden="1">{"'Sample Status'!$A$1:$J$21"}</definedName>
    <definedName name="ssss" localSheetId="7">{"Balance sheet 31 3 2000",#N/A,FALSE,"BS-lacs"}</definedName>
    <definedName name="ssss" localSheetId="10" hidden="1">{"Balance sheet 31 3 2000",#N/A,FALSE,"BS-lacs"}</definedName>
    <definedName name="ssss" localSheetId="0" hidden="1">{"Balance sheet 31 3 2000",#N/A,FALSE,"BS-lacs"}</definedName>
    <definedName name="ssss" localSheetId="9" hidden="1">{"Balance sheet 31 3 2000",#N/A,FALSE,"BS-lacs"}</definedName>
    <definedName name="ssss" localSheetId="11" hidden="1">{"Balance sheet 31 3 2000",#N/A,FALSE,"BS-lacs"}</definedName>
    <definedName name="ssss" hidden="1">{"Balance sheet 31 3 2000",#N/A,FALSE,"BS-lacs"}</definedName>
    <definedName name="ssss_1" localSheetId="7">{"Balance sheet 31 3 2000",#N/A,FALSE,"BS-lacs"}</definedName>
    <definedName name="ssss_1" localSheetId="10" hidden="1">{"Balance sheet 31 3 2000",#N/A,FALSE,"BS-lacs"}</definedName>
    <definedName name="ssss_1" localSheetId="0" hidden="1">{"Balance sheet 31 3 2000",#N/A,FALSE,"BS-lacs"}</definedName>
    <definedName name="ssss_1" localSheetId="9" hidden="1">{"Balance sheet 31 3 2000",#N/A,FALSE,"BS-lacs"}</definedName>
    <definedName name="ssss_1" localSheetId="11" hidden="1">{"Balance sheet 31 3 2000",#N/A,FALSE,"BS-lacs"}</definedName>
    <definedName name="ssss_1" hidden="1">{"Balance sheet 31 3 2000",#N/A,FALSE,"BS-lacs"}</definedName>
    <definedName name="ssss_2" localSheetId="7">{"Balance sheet 31 3 2000",#N/A,FALSE,"BS-lacs"}</definedName>
    <definedName name="ssss_2" localSheetId="10" hidden="1">{"Balance sheet 31 3 2000",#N/A,FALSE,"BS-lacs"}</definedName>
    <definedName name="ssss_2" localSheetId="0" hidden="1">{"Balance sheet 31 3 2000",#N/A,FALSE,"BS-lacs"}</definedName>
    <definedName name="ssss_2" localSheetId="9" hidden="1">{"Balance sheet 31 3 2000",#N/A,FALSE,"BS-lacs"}</definedName>
    <definedName name="ssss_2" localSheetId="11" hidden="1">{"Balance sheet 31 3 2000",#N/A,FALSE,"BS-lacs"}</definedName>
    <definedName name="ssss_2" hidden="1">{"Balance sheet 31 3 2000",#N/A,FALSE,"BS-lacs"}</definedName>
    <definedName name="sssss" localSheetId="7">{#N/A,#N/A,TRUE,"ADVANCE SUMM.";#N/A,#N/A,TRUE,"KEITH";#N/A,#N/A,TRUE,"WES"}</definedName>
    <definedName name="sssss" localSheetId="10" hidden="1">{#N/A,#N/A,TRUE,"ADVANCE SUMM.";#N/A,#N/A,TRUE,"KEITH";#N/A,#N/A,TRUE,"WES"}</definedName>
    <definedName name="sssss" localSheetId="0" hidden="1">{#N/A,#N/A,TRUE,"ADVANCE SUMM.";#N/A,#N/A,TRUE,"KEITH";#N/A,#N/A,TRUE,"WES"}</definedName>
    <definedName name="sssss" localSheetId="9" hidden="1">{#N/A,#N/A,TRUE,"ADVANCE SUMM.";#N/A,#N/A,TRUE,"KEITH";#N/A,#N/A,TRUE,"WES"}</definedName>
    <definedName name="sssss" localSheetId="11" hidden="1">{#N/A,#N/A,TRUE,"ADVANCE SUMM.";#N/A,#N/A,TRUE,"KEITH";#N/A,#N/A,TRUE,"WES"}</definedName>
    <definedName name="sssss" hidden="1">{#N/A,#N/A,TRUE,"ADVANCE SUMM.";#N/A,#N/A,TRUE,"KEITH";#N/A,#N/A,TRUE,"WES"}</definedName>
    <definedName name="ssssss">#REF!</definedName>
    <definedName name="sssssss">#REF!</definedName>
    <definedName name="ssssssssssssssssssssssss" localSheetId="7">{#N/A,#N/A,FALSE,"$170M Cash";#N/A,#N/A,FALSE,"$250M Cash";#N/A,#N/A,FALSE,"$325M Cash"}</definedName>
    <definedName name="ssssssssssssssssssssssss" localSheetId="10" hidden="1">{#N/A,#N/A,FALSE,"$170M Cash";#N/A,#N/A,FALSE,"$250M Cash";#N/A,#N/A,FALSE,"$325M Cash"}</definedName>
    <definedName name="ssssssssssssssssssssssss" localSheetId="0" hidden="1">{#N/A,#N/A,FALSE,"$170M Cash";#N/A,#N/A,FALSE,"$250M Cash";#N/A,#N/A,FALSE,"$325M Cash"}</definedName>
    <definedName name="ssssssssssssssssssssssss" localSheetId="9" hidden="1">{#N/A,#N/A,FALSE,"$170M Cash";#N/A,#N/A,FALSE,"$250M Cash";#N/A,#N/A,FALSE,"$325M Cash"}</definedName>
    <definedName name="ssssssssssssssssssssssss" localSheetId="11" hidden="1">{#N/A,#N/A,FALSE,"$170M Cash";#N/A,#N/A,FALSE,"$250M Cash";#N/A,#N/A,FALSE,"$325M Cash"}</definedName>
    <definedName name="ssssssssssssssssssssssss" hidden="1">{#N/A,#N/A,FALSE,"$170M Cash";#N/A,#N/A,FALSE,"$250M Cash";#N/A,#N/A,FALSE,"$325M Cash"}</definedName>
    <definedName name="SSTR">#REF!</definedName>
    <definedName name="ssw" localSheetId="7">{#N/A,#N/A,TRUE,"ADVANCE SUMM.";#N/A,#N/A,TRUE,"KEITH";#N/A,#N/A,TRUE,"WES"}</definedName>
    <definedName name="ssw" localSheetId="10" hidden="1">{#N/A,#N/A,TRUE,"ADVANCE SUMM.";#N/A,#N/A,TRUE,"KEITH";#N/A,#N/A,TRUE,"WES"}</definedName>
    <definedName name="ssw" localSheetId="0" hidden="1">{#N/A,#N/A,TRUE,"ADVANCE SUMM.";#N/A,#N/A,TRUE,"KEITH";#N/A,#N/A,TRUE,"WES"}</definedName>
    <definedName name="ssw" localSheetId="9" hidden="1">{#N/A,#N/A,TRUE,"ADVANCE SUMM.";#N/A,#N/A,TRUE,"KEITH";#N/A,#N/A,TRUE,"WES"}</definedName>
    <definedName name="ssw" localSheetId="11" hidden="1">{#N/A,#N/A,TRUE,"ADVANCE SUMM.";#N/A,#N/A,TRUE,"KEITH";#N/A,#N/A,TRUE,"WES"}</definedName>
    <definedName name="ssw" hidden="1">{#N/A,#N/A,TRUE,"ADVANCE SUMM.";#N/A,#N/A,TRUE,"KEITH";#N/A,#N/A,TRUE,"WES"}</definedName>
    <definedName name="st">#REF!</definedName>
    <definedName name="STA">#REF!</definedName>
    <definedName name="STAFF">#REF!</definedName>
    <definedName name="STAFF_NUMBERS">#REF!</definedName>
    <definedName name="STAFF_UPDATE">#REF!</definedName>
    <definedName name="staffing">#REF!</definedName>
    <definedName name="Standard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instalments_date">#REF!</definedName>
    <definedName name="STARTJOURNALIMPORT1">#REF!</definedName>
    <definedName name="StartValue">4136.55411844792</definedName>
    <definedName name="STAT">#REF!</definedName>
    <definedName name="States">#REF!</definedName>
    <definedName name="Station">#REF!</definedName>
    <definedName name="Status">#REF!</definedName>
    <definedName name="STATUS_REPORT">#REF!</definedName>
    <definedName name="Status1">#REF!</definedName>
    <definedName name="STdebt_amort">#REF!</definedName>
    <definedName name="STdebt_int">#REF!</definedName>
    <definedName name="Steps">#REF!</definedName>
    <definedName name="StepValue">99.3716814159292</definedName>
    <definedName name="steve" localSheetId="7">{#N/A,#N/A,FALSE,"$170M Cash";#N/A,#N/A,FALSE,"$250M Cash";#N/A,#N/A,FALSE,"$325M Cash"}</definedName>
    <definedName name="steve" localSheetId="10" hidden="1">{#N/A,#N/A,FALSE,"$170M Cash";#N/A,#N/A,FALSE,"$250M Cash";#N/A,#N/A,FALSE,"$325M Cash"}</definedName>
    <definedName name="steve" localSheetId="0" hidden="1">{#N/A,#N/A,FALSE,"$170M Cash";#N/A,#N/A,FALSE,"$250M Cash";#N/A,#N/A,FALSE,"$325M Cash"}</definedName>
    <definedName name="steve" localSheetId="9" hidden="1">{#N/A,#N/A,FALSE,"$170M Cash";#N/A,#N/A,FALSE,"$250M Cash";#N/A,#N/A,FALSE,"$325M Cash"}</definedName>
    <definedName name="steve" localSheetId="11" hidden="1">{#N/A,#N/A,FALSE,"$170M Cash";#N/A,#N/A,FALSE,"$250M Cash";#N/A,#N/A,FALSE,"$325M Cash"}</definedName>
    <definedName name="steve" hidden="1">{#N/A,#N/A,FALSE,"$170M Cash";#N/A,#N/A,FALSE,"$250M Cash";#N/A,#N/A,FALSE,"$325M Cash"}</definedName>
    <definedName name="STG">#REF!</definedName>
    <definedName name="STN">#REF!</definedName>
    <definedName name="stock">#REF!</definedName>
    <definedName name="Stocks">#REF!</definedName>
    <definedName name="STORAGES">#REF!</definedName>
    <definedName name="StrID">#REF!</definedName>
    <definedName name="STSETOFF">#REF!</definedName>
    <definedName name="STUDIO_LIGHTS">#REF!</definedName>
    <definedName name="stuf" localSheetId="7">{#N/A,#N/A,TRUE,"ADVANCE SUMM.";#N/A,#N/A,TRUE,"KEITH";#N/A,#N/A,TRUE,"WES"}</definedName>
    <definedName name="stuf" localSheetId="10" hidden="1">{#N/A,#N/A,TRUE,"ADVANCE SUMM.";#N/A,#N/A,TRUE,"KEITH";#N/A,#N/A,TRUE,"WES"}</definedName>
    <definedName name="stuf" localSheetId="0" hidden="1">{#N/A,#N/A,TRUE,"ADVANCE SUMM.";#N/A,#N/A,TRUE,"KEITH";#N/A,#N/A,TRUE,"WES"}</definedName>
    <definedName name="stuf" localSheetId="9" hidden="1">{#N/A,#N/A,TRUE,"ADVANCE SUMM.";#N/A,#N/A,TRUE,"KEITH";#N/A,#N/A,TRUE,"WES"}</definedName>
    <definedName name="stuf" localSheetId="11" hidden="1">{#N/A,#N/A,TRUE,"ADVANCE SUMM.";#N/A,#N/A,TRUE,"KEITH";#N/A,#N/A,TRUE,"WES"}</definedName>
    <definedName name="stuf" hidden="1">{#N/A,#N/A,TRUE,"ADVANCE SUMM.";#N/A,#N/A,TRUE,"KEITH";#N/A,#N/A,TRUE,"WES"}</definedName>
    <definedName name="STUFF" localSheetId="7">{#N/A,#N/A,TRUE,"ADVANCE SUMM.";#N/A,#N/A,TRUE,"KEITH";#N/A,#N/A,TRUE,"WES"}</definedName>
    <definedName name="STUFF" localSheetId="10" hidden="1">{#N/A,#N/A,TRUE,"ADVANCE SUMM.";#N/A,#N/A,TRUE,"KEITH";#N/A,#N/A,TRUE,"WES"}</definedName>
    <definedName name="STUFF" localSheetId="0" hidden="1">{#N/A,#N/A,TRUE,"ADVANCE SUMM.";#N/A,#N/A,TRUE,"KEITH";#N/A,#N/A,TRUE,"WES"}</definedName>
    <definedName name="STUFF" localSheetId="9" hidden="1">{#N/A,#N/A,TRUE,"ADVANCE SUMM.";#N/A,#N/A,TRUE,"KEITH";#N/A,#N/A,TRUE,"WES"}</definedName>
    <definedName name="STUFF" localSheetId="11" hidden="1">{#N/A,#N/A,TRUE,"ADVANCE SUMM.";#N/A,#N/A,TRUE,"KEITH";#N/A,#N/A,TRUE,"WES"}</definedName>
    <definedName name="STUFF" hidden="1">{#N/A,#N/A,TRUE,"ADVANCE SUMM.";#N/A,#N/A,TRUE,"KEITH";#N/A,#N/A,TRUE,"WES"}</definedName>
    <definedName name="STUVFF" localSheetId="7">{#N/A,#N/A,TRUE,"ADVANCE SUMM.";#N/A,#N/A,TRUE,"KEITH";#N/A,#N/A,TRUE,"WES"}</definedName>
    <definedName name="STUVFF" localSheetId="10" hidden="1">{#N/A,#N/A,TRUE,"ADVANCE SUMM.";#N/A,#N/A,TRUE,"KEITH";#N/A,#N/A,TRUE,"WES"}</definedName>
    <definedName name="STUVFF" localSheetId="0" hidden="1">{#N/A,#N/A,TRUE,"ADVANCE SUMM.";#N/A,#N/A,TRUE,"KEITH";#N/A,#N/A,TRUE,"WES"}</definedName>
    <definedName name="STUVFF" localSheetId="9" hidden="1">{#N/A,#N/A,TRUE,"ADVANCE SUMM.";#N/A,#N/A,TRUE,"KEITH";#N/A,#N/A,TRUE,"WES"}</definedName>
    <definedName name="STUVFF" localSheetId="11" hidden="1">{#N/A,#N/A,TRUE,"ADVANCE SUMM.";#N/A,#N/A,TRUE,"KEITH";#N/A,#N/A,TRUE,"WES"}</definedName>
    <definedName name="STUVFF" hidden="1">{#N/A,#N/A,TRUE,"ADVANCE SUMM.";#N/A,#N/A,TRUE,"KEITH";#N/A,#N/A,TRUE,"WES"}</definedName>
    <definedName name="stuvff2" localSheetId="7">{#N/A,#N/A,TRUE,"ADVANCE SUMM.";#N/A,#N/A,TRUE,"KEITH";#N/A,#N/A,TRUE,"WES"}</definedName>
    <definedName name="stuvff2" localSheetId="10" hidden="1">{#N/A,#N/A,TRUE,"ADVANCE SUMM.";#N/A,#N/A,TRUE,"KEITH";#N/A,#N/A,TRUE,"WES"}</definedName>
    <definedName name="stuvff2" localSheetId="0" hidden="1">{#N/A,#N/A,TRUE,"ADVANCE SUMM.";#N/A,#N/A,TRUE,"KEITH";#N/A,#N/A,TRUE,"WES"}</definedName>
    <definedName name="stuvff2" localSheetId="9" hidden="1">{#N/A,#N/A,TRUE,"ADVANCE SUMM.";#N/A,#N/A,TRUE,"KEITH";#N/A,#N/A,TRUE,"WES"}</definedName>
    <definedName name="stuvff2" localSheetId="11" hidden="1">{#N/A,#N/A,TRUE,"ADVANCE SUMM.";#N/A,#N/A,TRUE,"KEITH";#N/A,#N/A,TRUE,"WES"}</definedName>
    <definedName name="stuvff2" hidden="1">{#N/A,#N/A,TRUE,"ADVANCE SUMM.";#N/A,#N/A,TRUE,"KEITH";#N/A,#N/A,TRUE,"WES"}</definedName>
    <definedName name="Sub_Total">#REF!</definedName>
    <definedName name="subcat">#REF!</definedName>
    <definedName name="Subheader">#REF!</definedName>
    <definedName name="Subject">#REF!</definedName>
    <definedName name="sueldos">#REF!</definedName>
    <definedName name="sukuarc">#REF!,#REF!</definedName>
    <definedName name="sum">#REF!</definedName>
    <definedName name="Sum_of_All">#REF!</definedName>
    <definedName name="SumCellsBS">#REF!</definedName>
    <definedName name="SumCellsBSB">#REF!</definedName>
    <definedName name="SumCellsPL">#REF!</definedName>
    <definedName name="SumCellsPLB">#REF!</definedName>
    <definedName name="sumcomp">#REF!</definedName>
    <definedName name="SUMM">#REF!</definedName>
    <definedName name="SUMMARY">#REF!</definedName>
    <definedName name="Summary_2002_Detail">#REF!</definedName>
    <definedName name="Summary_2002_Detail_Print">#REF!</definedName>
    <definedName name="SUMMARY_AS_PER_LOCATION">#REF!</definedName>
    <definedName name="SUMMARY_BOOK">#REF!</definedName>
    <definedName name="Summe_Voice">#REF!</definedName>
    <definedName name="SUPPORT_EQUIPMENT">#REF!</definedName>
    <definedName name="SupportPerExecutive">#REF!</definedName>
    <definedName name="SupportPerManager">#REF!</definedName>
    <definedName name="SupportPerSalesman">#REF!</definedName>
    <definedName name="sushil1234">#REF!</definedName>
    <definedName name="SVG_PL_1999">#REF!</definedName>
    <definedName name="SVG_PL_2000">#REF!</definedName>
    <definedName name="sw_acc_perc_loc">#REF!</definedName>
    <definedName name="SWED">#REF!</definedName>
    <definedName name="SWEDEN">#REF!</definedName>
    <definedName name="SWIT">#REF!</definedName>
    <definedName name="Switch">#REF!</definedName>
    <definedName name="Switch_Combimux_Cost">#REF!</definedName>
    <definedName name="Switch_Combimux_minutes">#REF!</definedName>
    <definedName name="Switch_data_cost">#REF!</definedName>
    <definedName name="Switch_Data_CPE_cost">#REF!</definedName>
    <definedName name="Switch_data_CPE_Ports">#REF!</definedName>
    <definedName name="Switch_data_ports">#REF!</definedName>
    <definedName name="Switch_Maint">#REF!</definedName>
    <definedName name="Switch_NMC_Cost">#REF!</definedName>
    <definedName name="switch_off_all_financing_costs">#REF!</definedName>
    <definedName name="Switch_voice_no_channels">#REF!</definedName>
    <definedName name="Switch_Voice_p_Ch">#REF!</definedName>
    <definedName name="switch1">#REF!</definedName>
    <definedName name="SWITZERLAND">#REF!</definedName>
    <definedName name="SYM">#REF!</definedName>
    <definedName name="SYSTEMS__SPARES___SERVICE_SALES_000_s">#REF!</definedName>
    <definedName name="SYSTEMS__SPARES___SERVICE_SALES_000_s_I_G">#REF!</definedName>
    <definedName name="SYSTEMS_SPARES">#REF!</definedName>
    <definedName name="SYSTEMS_SPARES_DISTR">#REF!</definedName>
    <definedName name="t">#REF!</definedName>
    <definedName name="T_00">#REF!</definedName>
    <definedName name="T_01">#REF!</definedName>
    <definedName name="T_02">#REF!</definedName>
    <definedName name="T_03">#REF!</definedName>
    <definedName name="T_06">#REF!</definedName>
    <definedName name="T_07">#REF!</definedName>
    <definedName name="T_08">#REF!</definedName>
    <definedName name="T_1">#REF!</definedName>
    <definedName name="TA" localSheetId="7">{#N/A,#N/A,TRUE,"Financials";#N/A,#N/A,TRUE,"Operating Statistics";#N/A,#N/A,TRUE,"Capex &amp; Depreciation";#N/A,#N/A,TRUE,"Debt"}</definedName>
    <definedName name="TA" localSheetId="10" hidden="1">{#N/A,#N/A,TRUE,"Financials";#N/A,#N/A,TRUE,"Operating Statistics";#N/A,#N/A,TRUE,"Capex &amp; Depreciation";#N/A,#N/A,TRUE,"Debt"}</definedName>
    <definedName name="TA" localSheetId="0" hidden="1">{#N/A,#N/A,TRUE,"Financials";#N/A,#N/A,TRUE,"Operating Statistics";#N/A,#N/A,TRUE,"Capex &amp; Depreciation";#N/A,#N/A,TRUE,"Debt"}</definedName>
    <definedName name="TA" localSheetId="9" hidden="1">{#N/A,#N/A,TRUE,"Financials";#N/A,#N/A,TRUE,"Operating Statistics";#N/A,#N/A,TRUE,"Capex &amp; Depreciation";#N/A,#N/A,TRUE,"Debt"}</definedName>
    <definedName name="TA" localSheetId="11" hidden="1">{#N/A,#N/A,TRUE,"Financials";#N/A,#N/A,TRUE,"Operating Statistics";#N/A,#N/A,TRUE,"Capex &amp; Depreciation";#N/A,#N/A,TRUE,"Debt"}</definedName>
    <definedName name="TA" hidden="1">{#N/A,#N/A,TRUE,"Financials";#N/A,#N/A,TRUE,"Operating Statistics";#N/A,#N/A,TRUE,"Capex &amp; Depreciation";#N/A,#N/A,TRUE,"Debt"}</definedName>
    <definedName name="table">#REF!</definedName>
    <definedName name="table_06">#REF!</definedName>
    <definedName name="table_08">#REF!</definedName>
    <definedName name="table_09">#REF!</definedName>
    <definedName name="TableName">"Dummy"</definedName>
    <definedName name="Tables">#REF!</definedName>
    <definedName name="TAFName">#REF!</definedName>
    <definedName name="TAHOMA">#REF!</definedName>
    <definedName name="tailwind">#REF!</definedName>
    <definedName name="TAL__1_einbeziehen__0_außer_Acht_lassen">#REF!</definedName>
    <definedName name="Tamer">#REF!</definedName>
    <definedName name="tamil">#REF!</definedName>
    <definedName name="TAMNo">#REF!</definedName>
    <definedName name="TAName">#REF!</definedName>
    <definedName name="TAPlace">#REF!</definedName>
    <definedName name="TarCurr">#REF!</definedName>
    <definedName name="TARG1011">#REF!</definedName>
    <definedName name="tariff">#REF!</definedName>
    <definedName name="TarrifCurrency">#REF!</definedName>
    <definedName name="TarrifRealNom">#REF!</definedName>
    <definedName name="TAX">#REF!</definedName>
    <definedName name="Tax_account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_reconciliation">#REF!</definedName>
    <definedName name="tax1M">#REF!</definedName>
    <definedName name="tax1Y">#REF!</definedName>
    <definedName name="tax2M">#REF!</definedName>
    <definedName name="tax2Y">#REF!</definedName>
    <definedName name="tax3M">#REF!</definedName>
    <definedName name="tax3Y">#REF!</definedName>
    <definedName name="tax4M">#REF!</definedName>
    <definedName name="tax4Y">#REF!</definedName>
    <definedName name="TAXA">#REF!</definedName>
    <definedName name="TAXAUD">#REF!</definedName>
    <definedName name="TaxAudAdd">#REF!</definedName>
    <definedName name="TaxAuditDate">#REF!</definedName>
    <definedName name="taxcomp">#REF!</definedName>
    <definedName name="TAXCOMP1">#REF!</definedName>
    <definedName name="TAXCOMPMAR03" localSheetId="7">{#N/A,#N/A,FALSE,"4"}</definedName>
    <definedName name="TAXCOMPMAR03" localSheetId="10" hidden="1">{#N/A,#N/A,FALSE,"4"}</definedName>
    <definedName name="TAXCOMPMAR03" localSheetId="0" hidden="1">{#N/A,#N/A,FALSE,"4"}</definedName>
    <definedName name="TAXCOMPMAR03" localSheetId="9" hidden="1">{#N/A,#N/A,FALSE,"4"}</definedName>
    <definedName name="TAXCOMPMAR03" localSheetId="11" hidden="1">{#N/A,#N/A,FALSE,"4"}</definedName>
    <definedName name="TAXCOMPMAR03" hidden="1">{#N/A,#N/A,FALSE,"4"}</definedName>
    <definedName name="TAXCOMPMAR03_1" localSheetId="7">{#N/A,#N/A,FALSE,"4"}</definedName>
    <definedName name="TAXCOMPMAR03_1" localSheetId="10" hidden="1">{#N/A,#N/A,FALSE,"4"}</definedName>
    <definedName name="TAXCOMPMAR03_1" localSheetId="0" hidden="1">{#N/A,#N/A,FALSE,"4"}</definedName>
    <definedName name="TAXCOMPMAR03_1" localSheetId="9" hidden="1">{#N/A,#N/A,FALSE,"4"}</definedName>
    <definedName name="TAXCOMPMAR03_1" localSheetId="11" hidden="1">{#N/A,#N/A,FALSE,"4"}</definedName>
    <definedName name="TAXCOMPMAR03_1" hidden="1">{#N/A,#N/A,FALSE,"4"}</definedName>
    <definedName name="TAXCOMPMAR03_2" localSheetId="7">{#N/A,#N/A,FALSE,"4"}</definedName>
    <definedName name="TAXCOMPMAR03_2" localSheetId="10" hidden="1">{#N/A,#N/A,FALSE,"4"}</definedName>
    <definedName name="TAXCOMPMAR03_2" localSheetId="0" hidden="1">{#N/A,#N/A,FALSE,"4"}</definedName>
    <definedName name="TAXCOMPMAR03_2" localSheetId="9" hidden="1">{#N/A,#N/A,FALSE,"4"}</definedName>
    <definedName name="TAXCOMPMAR03_2" localSheetId="11" hidden="1">{#N/A,#N/A,FALSE,"4"}</definedName>
    <definedName name="TAXCOMPMAR03_2" hidden="1">{#N/A,#N/A,FALSE,"4"}</definedName>
    <definedName name="taxdepr">#REF!</definedName>
    <definedName name="taxliab">#REF!</definedName>
    <definedName name="TAXRNG">#REF!</definedName>
    <definedName name="TaxTV">10%</definedName>
    <definedName name="TaxXL">5%</definedName>
    <definedName name="TAYOMA">#REF!</definedName>
    <definedName name="TB">#REF!</definedName>
    <definedName name="TBA">#REF!</definedName>
    <definedName name="TBData1">#REF!</definedName>
    <definedName name="TBData2">#REF!</definedName>
    <definedName name="TBData3">#REF!</definedName>
    <definedName name="TBData4">#REF!</definedName>
    <definedName name="TBDataFill1">#REF!</definedName>
    <definedName name="TBDataFill2">#REF!</definedName>
    <definedName name="TBDataFill3">#REF!</definedName>
    <definedName name="TBDataFill4">#REF!</definedName>
    <definedName name="tbgujab">#REF!</definedName>
    <definedName name="tbl_ProdInfo">#REF!</definedName>
    <definedName name="TBMONTHLY">#REF!</definedName>
    <definedName name="TBTable">#REF!</definedName>
    <definedName name="TBWD">#REF!</definedName>
    <definedName name="tc">#REF!</definedName>
    <definedName name="TCodeNo">#REF!</definedName>
    <definedName name="td">#REF!</definedName>
    <definedName name="tdia">#REF!</definedName>
    <definedName name="tds">#REF!</definedName>
    <definedName name="TDS_ANN1">#REF!</definedName>
    <definedName name="TDS_ANN2_3">#REF!</definedName>
    <definedName name="TDS_asset">#REF!</definedName>
    <definedName name="TDSCERTICATES">#REF!</definedName>
    <definedName name="tdt">#REF!</definedName>
    <definedName name="te">#REF!</definedName>
    <definedName name="TEC">#REF!</definedName>
    <definedName name="tech" localSheetId="7">{#N/A,#N/A,TRUE,"ADVANCE SUMM.";#N/A,#N/A,TRUE,"KEITH";#N/A,#N/A,TRUE,"WES"}</definedName>
    <definedName name="tech" localSheetId="10" hidden="1">{#N/A,#N/A,TRUE,"ADVANCE SUMM.";#N/A,#N/A,TRUE,"KEITH";#N/A,#N/A,TRUE,"WES"}</definedName>
    <definedName name="tech" localSheetId="0" hidden="1">{#N/A,#N/A,TRUE,"ADVANCE SUMM.";#N/A,#N/A,TRUE,"KEITH";#N/A,#N/A,TRUE,"WES"}</definedName>
    <definedName name="tech" localSheetId="9" hidden="1">{#N/A,#N/A,TRUE,"ADVANCE SUMM.";#N/A,#N/A,TRUE,"KEITH";#N/A,#N/A,TRUE,"WES"}</definedName>
    <definedName name="tech" localSheetId="11" hidden="1">{#N/A,#N/A,TRUE,"ADVANCE SUMM.";#N/A,#N/A,TRUE,"KEITH";#N/A,#N/A,TRUE,"WES"}</definedName>
    <definedName name="tech" hidden="1">{#N/A,#N/A,TRUE,"ADVANCE SUMM.";#N/A,#N/A,TRUE,"KEITH";#N/A,#N/A,TRUE,"WES"}</definedName>
    <definedName name="TED">#REF!</definedName>
    <definedName name="TEL00">#REF!</definedName>
    <definedName name="Telephone">#REF!</definedName>
    <definedName name="TELEVISION___VCP_VCR">#REF!</definedName>
    <definedName name="TELEX00">#REF!</definedName>
    <definedName name="TELEX95">#REF!</definedName>
    <definedName name="TELEX96">#REF!</definedName>
    <definedName name="TELEX97">#REF!</definedName>
    <definedName name="TELEX98">#REF!</definedName>
    <definedName name="TELEX99">#REF!</definedName>
    <definedName name="TELEXPS">#REF!</definedName>
    <definedName name="TELEXPS2">#REF!</definedName>
    <definedName name="TEMP">#REF!</definedName>
    <definedName name="TEMP1">#REF!</definedName>
    <definedName name="temp2">#REF!</definedName>
    <definedName name="temp3">#REF!</definedName>
    <definedName name="TEMPLATENUMBER1">#REF!</definedName>
    <definedName name="TemplatePrintArea">#REF!</definedName>
    <definedName name="TEMPLATESTYLE1">#REF!</definedName>
    <definedName name="TEMPLATETYPE1">#REF!</definedName>
    <definedName name="TEMPOR">#REF!</definedName>
    <definedName name="TempTotal">#REF!</definedName>
    <definedName name="TEN">#REF!</definedName>
    <definedName name="TERFEN">#REF!</definedName>
    <definedName name="TERFEN_AL">#REF!</definedName>
    <definedName name="Terminberechnung">IF(#REF!="","",IF(TEXT(#REF!+(#REF!-#REF!),"ttt")="So",#REF!+(#REF!-#REF!)+1,IF(TEXT(#REF!+(#REF!-#REF!),"ttt")="Sa",#REF!+(#REF!-#REF!)+2,#REF!+(#REF!-#REF!))))</definedName>
    <definedName name="TERMLOAN">#REF!</definedName>
    <definedName name="terms">#REF!</definedName>
    <definedName name="TERRYTOWEL">#REF!</definedName>
    <definedName name="tesg4">#REF!</definedName>
    <definedName name="test">#REF!</definedName>
    <definedName name="test.xls">#REF!</definedName>
    <definedName name="TEST0">#REF!</definedName>
    <definedName name="TEST1">#REF!</definedName>
    <definedName name="test1.xls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44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HKEY">#REF!</definedName>
    <definedName name="testing">#REF!</definedName>
    <definedName name="TESTKEYS">#REF!</definedName>
    <definedName name="TestRow">#REF!</definedName>
    <definedName name="TestSource">#REF!</definedName>
    <definedName name="TestTarget">#REF!</definedName>
    <definedName name="TESTVKEY">#REF!</definedName>
    <definedName name="TestX">#REF!</definedName>
    <definedName name="tête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6</definedName>
    <definedName name="TEXTURISING">#REF!</definedName>
    <definedName name="tg_ae_ex">#REF!</definedName>
    <definedName name="tg_ae_mh">#REF!</definedName>
    <definedName name="tg_ae_mi">#REF!</definedName>
    <definedName name="tg_ae_mlf">#REF!</definedName>
    <definedName name="tg_as_ex">#REF!</definedName>
    <definedName name="tg_as_mh">#REF!</definedName>
    <definedName name="tg_as_mi">#REF!</definedName>
    <definedName name="tg_as_mlf">#REF!</definedName>
    <definedName name="tg_brm_ae_ex">#REF!</definedName>
    <definedName name="tg_brm_ae_mh">#REF!</definedName>
    <definedName name="tg_brm_ae_mi">#REF!</definedName>
    <definedName name="tg_brm_ae_mlf">#REF!</definedName>
    <definedName name="tg_brm_as_ex">#REF!</definedName>
    <definedName name="tg_brm_as_mh">#REF!</definedName>
    <definedName name="tg_brm_as_mi">#REF!</definedName>
    <definedName name="tg_brm_as_mlf">#REF!</definedName>
    <definedName name="tg_brm_enc_ex">#REF!</definedName>
    <definedName name="tg_brm_enc_mh">#REF!</definedName>
    <definedName name="tg_brm_enc_mi">#REF!</definedName>
    <definedName name="tg_brm_enc_mlf">#REF!</definedName>
    <definedName name="tg_brm_prom_ex">#REF!</definedName>
    <definedName name="tg_brm_prom_mh">#REF!</definedName>
    <definedName name="tg_brm_prom_mi">#REF!</definedName>
    <definedName name="tg_brm_prom_mlf">#REF!</definedName>
    <definedName name="tg_enc_ex">#REF!</definedName>
    <definedName name="tg_enc_mh">#REF!</definedName>
    <definedName name="tg_enc_mi">#REF!</definedName>
    <definedName name="tg_enc_mlf">#REF!</definedName>
    <definedName name="tg_prom_ex">#REF!</definedName>
    <definedName name="tg_prom_mh">#REF!</definedName>
    <definedName name="tg_prom_mi">#REF!</definedName>
    <definedName name="tg_prom_mlf">#REF!</definedName>
    <definedName name="th">#REF!</definedName>
    <definedName name="THAI_PLASTIC_in_KUSD">#REF!</definedName>
    <definedName name="thdt">#REF!</definedName>
    <definedName name="therapywise">#REF!</definedName>
    <definedName name="thirtyday">#REF!</definedName>
    <definedName name="THIS_FILE">#REF!</definedName>
    <definedName name="THOUSAND">#REF!</definedName>
    <definedName name="threerev">#REF!</definedName>
    <definedName name="Threshold">#REF!</definedName>
    <definedName name="Threshold_1">#REF!</definedName>
    <definedName name="Threshold1">#REF!</definedName>
    <definedName name="thue">6</definedName>
    <definedName name="Tien">#REF!</definedName>
    <definedName name="Tigr_Exhibit0a7cb471_b617_4d87_b13b_65ec99b13a89">#REF!</definedName>
    <definedName name="Tigr_Exhibit0d1db3b1_bd5b_4e25_a84b_61fb9a5dc2df">#REF!</definedName>
    <definedName name="Tigr_Exhibit12702ec4_4fe2_4f30_b310_03e382b19c31">#REF!</definedName>
    <definedName name="Tigr_Exhibit16f0b067_18e1_4b91_af58_50d1ccd2c068">#REF!</definedName>
    <definedName name="Tigr_Exhibit18148549_93d9_460a_8094_25e5cbfee999">#REF!</definedName>
    <definedName name="Tigr_Exhibit1fd4fee5_6688_4506_afa6_99b06a788bab">#REF!</definedName>
    <definedName name="Tigr_Exhibit245e9960_19c8_4808_a70b_75fdf07212a3">#REF!</definedName>
    <definedName name="Tigr_Exhibit33221ef8_90ca_4299_a810_e68e24394cc3">#REF!</definedName>
    <definedName name="Tigr_Exhibit44ae1ee2_0d16_43a2_aa3b_235d4e841682">#REF!</definedName>
    <definedName name="Tigr_Exhibit46ffe5ef_a99a_43c1_843b_d00aa14ceed5">#REF!</definedName>
    <definedName name="Tigr_Exhibit5bd26021_df29_404f_8d5f_c2e6d99ddbbf">#REF!</definedName>
    <definedName name="Tigr_Exhibit65f667bc_586d_4789_993c_3547417b965c">#REF!</definedName>
    <definedName name="Tigr_Exhibit6765910b_ce04_47a7_ac1b_d3239cffdec8">#REF!</definedName>
    <definedName name="Tigr_Exhibit69f3a19c_6a28_4c16_bbc5_4c17ddc27e12">#REF!</definedName>
    <definedName name="Tigr_Exhibit6a8ecc63_dee3_45e4_b78c_b18c285a33df">#REF!</definedName>
    <definedName name="Tigr_Exhibit6c43a7ef_d535_48fd_8366_924c8e89a0df">#REF!</definedName>
    <definedName name="Tigr_Exhibit70b63e7c_603e_482f_83bf_06a99198c9f0">#REF!</definedName>
    <definedName name="Tigr_Exhibit727fa523_02f5_440a_938a_89aeeb507a7a">#REF!</definedName>
    <definedName name="Tigr_Exhibit761fe820_9fe0_495d_a0f3_581f0dac559a">#REF!</definedName>
    <definedName name="Tigr_Exhibit7d516c65_40f7_4c69_b5b0_2abd7fd38e4a">#REF!</definedName>
    <definedName name="Tigr_Exhibit7e7f6429_b442_46a4_86e0_569c44d9945f">#REF!</definedName>
    <definedName name="Tigr_Exhibit81e20106_5ed7_497f_a01d_f9a0a190d9ad">#REF!</definedName>
    <definedName name="Tigr_Exhibit839f1a9e_e496_4ca6_8d51_387a38c29cba">#REF!</definedName>
    <definedName name="Tigr_Exhibit95e82775_dbba_41ad_b742_8c93978443ab">#REF!</definedName>
    <definedName name="Tigr_Exhibit966295f3_0a3e_4578_89ed_1509d8f54874">#REF!</definedName>
    <definedName name="Tigr_Exhibit9b2f7f81_110c_4b0f_b5ee_cc38dcb7403c">#REF!</definedName>
    <definedName name="Tigr_Exhibit9e1c5918_96f4_413e_8a5e_f8157bdd9e14">#REF!</definedName>
    <definedName name="Tigr_Exhibita10dcdf0_87ab_4661_b72b_77e51cde7d22">#REF!</definedName>
    <definedName name="Tigr_Exhibita61f70b5_b1a5_47c8_b37c_b0003b2db5fa">#REF!</definedName>
    <definedName name="Tigr_Exhibitabc24b58_4ff7_4cfb_8228_0e32fbc824d5">#REF!</definedName>
    <definedName name="Tigr_Exhibitad77293b_60e8_4039_825b_0387afd9d422">#REF!</definedName>
    <definedName name="Tigr_Exhibitb5b7bc99_cafb_41fc_a1dc_25af387eb43b">#REF!</definedName>
    <definedName name="Tigr_Exhibitbfcfedb2_d33c_4909_853e_ce2910d3563f">#REF!</definedName>
    <definedName name="Tigr_Exhibitca149985_9034_48f9_bb09_b87ad9c3d44e">#REF!</definedName>
    <definedName name="Tigr_Exhibitcc94038d_3ac9_43ea_b972_1cdc91072631">#REF!</definedName>
    <definedName name="Tigr_Exhibite07f0acc_92f8_400b_bad4_84e56dea171b">#REF!</definedName>
    <definedName name="Tigr_Exhibite1792956_846d_4514_bba6_984e836e32de">#REF!</definedName>
    <definedName name="Tigr_Exhibitf1995bf3_7c57_46fc_945c_1ef576e6e1ec">#REF!</definedName>
    <definedName name="Tigr_Exhibitf565e68e_b513_45d8_ae40_7e2650e2f2c7">#REF!</definedName>
    <definedName name="Tigr_Exhibitf5e4399a_63b3_40b1_a1ea_446209ffdc16">#REF!</definedName>
    <definedName name="Tigr_Exhibitf86caf51_8148_4bf2_a40a_eaeb2b697868">#REF!</definedName>
    <definedName name="Tigr_Exhibitfa0a547a_2d38_4f0f_bb16_da64f6d79a71">#REF!</definedName>
    <definedName name="Tim_lan_xuat_hien">#REF!</definedName>
    <definedName name="tim_xuat_hien">#REF!</definedName>
    <definedName name="TInv">#REF!</definedName>
    <definedName name="TInvRng">#REF!</definedName>
    <definedName name="title">#REF!</definedName>
    <definedName name="Title1">#REF!</definedName>
    <definedName name="Title2">#REF!</definedName>
    <definedName name="TL_2">#REF!</definedName>
    <definedName name="TL_3">#REF!</definedName>
    <definedName name="tld">#REF!</definedName>
    <definedName name="tly">#REF!</definedName>
    <definedName name="TM_PA">#REF!</definedName>
    <definedName name="TMTable">#REF!</definedName>
    <definedName name="tn">#REF!</definedName>
    <definedName name="TNW_L">#REF!</definedName>
    <definedName name="TNW_L1">#REF!</definedName>
    <definedName name="To">#REF!</definedName>
    <definedName name="today">#REF!</definedName>
    <definedName name="Toggle1">#REF!</definedName>
    <definedName name="ToggleCheckSum">#REF!</definedName>
    <definedName name="tol">#REF!</definedName>
    <definedName name="TOL_L">#REF!</definedName>
    <definedName name="Tolerance">#REF!</definedName>
    <definedName name="Tong">#REF!</definedName>
    <definedName name="tongcong">#REF!</definedName>
    <definedName name="toolg2">#REF!</definedName>
    <definedName name="Tooling_Operation_Description">#REF!</definedName>
    <definedName name="topl">#REF!</definedName>
    <definedName name="topn">#REF!</definedName>
    <definedName name="TopRow">#REF!</definedName>
    <definedName name="TopRowYr2">#REF!</definedName>
    <definedName name="TopRowYr3">#REF!</definedName>
    <definedName name="TOT">#REF!</definedName>
    <definedName name="Tot_knw_Xfoot">#REF!</definedName>
    <definedName name="Tot_lik_Xfoot">#REF!</definedName>
    <definedName name="Total">#REF!</definedName>
    <definedName name="TOTAL_C2">#REF!</definedName>
    <definedName name="Total_Circuit_2003" localSheetId="7">{"'Apr-00'!$B$4:$AD$44"}</definedName>
    <definedName name="Total_Circuit_2003" localSheetId="10" hidden="1">{"'Apr-00'!$B$4:$AD$44"}</definedName>
    <definedName name="Total_Circuit_2003" localSheetId="0" hidden="1">{"'Apr-00'!$B$4:$AD$44"}</definedName>
    <definedName name="Total_Circuit_2003" localSheetId="9" hidden="1">{"'Apr-00'!$B$4:$AD$44"}</definedName>
    <definedName name="Total_Circuit_2003" localSheetId="11" hidden="1">{"'Apr-00'!$B$4:$AD$44"}</definedName>
    <definedName name="Total_Circuit_2003" hidden="1">{"'Apr-00'!$B$4:$AD$44"}</definedName>
    <definedName name="Total_Data_Customers">#REF!</definedName>
    <definedName name="Total_income_rounded_off_as_per_section_288A_of_the_Act">"main_2"</definedName>
    <definedName name="Total_Interconnect_Expense">#REF!</definedName>
    <definedName name="Total_Interest">#REF!</definedName>
    <definedName name="Total_Large_Company_Voice_Customers">#REF!</definedName>
    <definedName name="Total_Medium_Company_Voice_Customers">#REF!</definedName>
    <definedName name="Total_Pay">#REF!</definedName>
    <definedName name="Total_Payment" localSheetId="7">Scheduled_Payment+Extra_Payment</definedName>
    <definedName name="Total_Payment" localSheetId="10">Scheduled_Payment+Extra_Payment</definedName>
    <definedName name="Total_Payment" localSheetId="0">Scheduled_Payment+Extra_Payment</definedName>
    <definedName name="Total_Payment" localSheetId="8">Scheduled_Payment+Extra_Payment</definedName>
    <definedName name="Total_Payment" localSheetId="9">Scheduled_Payment+Extra_Payment</definedName>
    <definedName name="Total_Payment" localSheetId="11">Scheduled_Payment+Extra_Payment</definedName>
    <definedName name="Total_Payment" localSheetId="4">Scheduled_Payment+Extra_Payment</definedName>
    <definedName name="Total_Payment">Scheduled_Payment+Extra_Payment</definedName>
    <definedName name="Total_Residential_Voice_Customers">#REF!</definedName>
    <definedName name="Total_Seg1_MBW">#REF!</definedName>
    <definedName name="Total_Seg2_MBW">#REF!</definedName>
    <definedName name="Total_Seg3_MBW">#REF!</definedName>
    <definedName name="Total_Seg4_MBW">#REF!</definedName>
    <definedName name="Total_Seg5_MBW">#REF!</definedName>
    <definedName name="Total_Seg6_MBW">#REF!</definedName>
    <definedName name="Total_Seg7_MBW">#REF!</definedName>
    <definedName name="Total_Seg8_MBW">#REF!</definedName>
    <definedName name="Total_Small_Company_Voice_Customers">#REF!</definedName>
    <definedName name="Total_Voice_Mkt">#REF!</definedName>
    <definedName name="TOTALINV">#REF!</definedName>
    <definedName name="TotalNoNodes">#REF!</definedName>
    <definedName name="TOTASS">#REF!</definedName>
    <definedName name="tp">#REF!</definedName>
    <definedName name="Tqty">#REF!</definedName>
    <definedName name="TqtyRng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fficForecastExportArea">#REF!</definedName>
    <definedName name="TrafType">#REF!</definedName>
    <definedName name="Trailing_Avg2">#REF!</definedName>
    <definedName name="TRANSMISSION__EQUIPMENT">#REF!</definedName>
    <definedName name="Travelling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Travelling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Travelling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Travelling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Travelling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Travelling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TRAVL">#REF!</definedName>
    <definedName name="Treas_System_Rates">#REF!</definedName>
    <definedName name="TrendCurrent">#REF!</definedName>
    <definedName name="TrendPY4_Sel1">#REF!</definedName>
    <definedName name="TrendRollFWD">#REF!</definedName>
    <definedName name="TrgtCodeName">#REF!</definedName>
    <definedName name="TRIA">#REF!</definedName>
    <definedName name="Trial" localSheetId="7">{#N/A,#N/A,FALSE,"PCPL9899"}</definedName>
    <definedName name="Trial" localSheetId="10" hidden="1">{#N/A,#N/A,FALSE,"PCPL9899"}</definedName>
    <definedName name="Trial" localSheetId="0" hidden="1">{#N/A,#N/A,FALSE,"PCPL9899"}</definedName>
    <definedName name="Trial" localSheetId="9" hidden="1">{#N/A,#N/A,FALSE,"PCPL9899"}</definedName>
    <definedName name="Trial" localSheetId="11" hidden="1">{#N/A,#N/A,FALSE,"PCPL9899"}</definedName>
    <definedName name="Trial" hidden="1">{#N/A,#N/A,FALSE,"PCPL9899"}</definedName>
    <definedName name="Trial_1" localSheetId="7">{#N/A,#N/A,FALSE,"PCPL9899"}</definedName>
    <definedName name="Trial_1" localSheetId="10" hidden="1">{#N/A,#N/A,FALSE,"PCPL9899"}</definedName>
    <definedName name="Trial_1" localSheetId="0" hidden="1">{#N/A,#N/A,FALSE,"PCPL9899"}</definedName>
    <definedName name="Trial_1" localSheetId="9" hidden="1">{#N/A,#N/A,FALSE,"PCPL9899"}</definedName>
    <definedName name="Trial_1" localSheetId="11" hidden="1">{#N/A,#N/A,FALSE,"PCPL9899"}</definedName>
    <definedName name="Trial_1" hidden="1">{#N/A,#N/A,FALSE,"PCPL9899"}</definedName>
    <definedName name="Trial_2" localSheetId="7">{#N/A,#N/A,FALSE,"PCPL9899"}</definedName>
    <definedName name="Trial_2" localSheetId="10" hidden="1">{#N/A,#N/A,FALSE,"PCPL9899"}</definedName>
    <definedName name="Trial_2" localSheetId="0" hidden="1">{#N/A,#N/A,FALSE,"PCPL9899"}</definedName>
    <definedName name="Trial_2" localSheetId="9" hidden="1">{#N/A,#N/A,FALSE,"PCPL9899"}</definedName>
    <definedName name="Trial_2" localSheetId="11" hidden="1">{#N/A,#N/A,FALSE,"PCPL9899"}</definedName>
    <definedName name="Trial_2" hidden="1">{#N/A,#N/A,FALSE,"PCPL9899"}</definedName>
    <definedName name="trt">#REF!</definedName>
    <definedName name="TRTR">#REF!</definedName>
    <definedName name="Tru">#REF!</definedName>
    <definedName name="Try" localSheetId="7">{#N/A,#N/A,FALSE,"PCPL9899"}</definedName>
    <definedName name="Try" localSheetId="10" hidden="1">{#N/A,#N/A,FALSE,"PCPL9899"}</definedName>
    <definedName name="Try" localSheetId="0" hidden="1">{#N/A,#N/A,FALSE,"PCPL9899"}</definedName>
    <definedName name="Try" localSheetId="9" hidden="1">{#N/A,#N/A,FALSE,"PCPL9899"}</definedName>
    <definedName name="Try" localSheetId="11" hidden="1">{#N/A,#N/A,FALSE,"PCPL9899"}</definedName>
    <definedName name="Try" hidden="1">{#N/A,#N/A,FALSE,"PCPL9899"}</definedName>
    <definedName name="Try_1" localSheetId="7">{#N/A,#N/A,FALSE,"PCPL9899"}</definedName>
    <definedName name="Try_1" localSheetId="10" hidden="1">{#N/A,#N/A,FALSE,"PCPL9899"}</definedName>
    <definedName name="Try_1" localSheetId="0" hidden="1">{#N/A,#N/A,FALSE,"PCPL9899"}</definedName>
    <definedName name="Try_1" localSheetId="9" hidden="1">{#N/A,#N/A,FALSE,"PCPL9899"}</definedName>
    <definedName name="Try_1" localSheetId="11" hidden="1">{#N/A,#N/A,FALSE,"PCPL9899"}</definedName>
    <definedName name="Try_1" hidden="1">{#N/A,#N/A,FALSE,"PCPL9899"}</definedName>
    <definedName name="Try_2" localSheetId="7">{#N/A,#N/A,FALSE,"PCPL9899"}</definedName>
    <definedName name="Try_2" localSheetId="10" hidden="1">{#N/A,#N/A,FALSE,"PCPL9899"}</definedName>
    <definedName name="Try_2" localSheetId="0" hidden="1">{#N/A,#N/A,FALSE,"PCPL9899"}</definedName>
    <definedName name="Try_2" localSheetId="9" hidden="1">{#N/A,#N/A,FALSE,"PCPL9899"}</definedName>
    <definedName name="Try_2" localSheetId="11" hidden="1">{#N/A,#N/A,FALSE,"PCPL9899"}</definedName>
    <definedName name="Try_2" hidden="1">{#N/A,#N/A,FALSE,"PCPL9899"}</definedName>
    <definedName name="tsd">#REF!</definedName>
    <definedName name="TSEL">#REF!</definedName>
    <definedName name="TSIJ">#REF!</definedName>
    <definedName name="tsmshares">#REF!</definedName>
    <definedName name="tt">#REF!</definedName>
    <definedName name="TT_Selling_rate">#REF!</definedName>
    <definedName name="tthi">#REF!</definedName>
    <definedName name="TTLB1">#REF!</definedName>
    <definedName name="TTLB2">#REF!</definedName>
    <definedName name="TTLB3">#REF!</definedName>
    <definedName name="ttt">#REF!</definedName>
    <definedName name="tttt">#REF!</definedName>
    <definedName name="ttttr">#REF!</definedName>
    <definedName name="ttttttt">#REF!</definedName>
    <definedName name="ttttttttttt" hidden="1">#REF!</definedName>
    <definedName name="ttttttttttttttt">#REF!</definedName>
    <definedName name="tttttttttttttttttttt">#REF!</definedName>
    <definedName name="Tubes_Prod">#REF!</definedName>
    <definedName name="tuedtue">#REF!</definedName>
    <definedName name="tv">#REF!,#REF!</definedName>
    <definedName name="two">#REF!</definedName>
    <definedName name="tworev">#REF!</definedName>
    <definedName name="ty_le">#REF!</definedName>
    <definedName name="ty_le_BTN">#REF!</definedName>
    <definedName name="Ty_le1">#REF!</definedName>
    <definedName name="type">#REF!</definedName>
    <definedName name="tyu" localSheetId="7">{"'Apr-00'!$B$4:$AD$44"}</definedName>
    <definedName name="tyu" localSheetId="10" hidden="1">{"'Apr-00'!$B$4:$AD$44"}</definedName>
    <definedName name="tyu" localSheetId="0" hidden="1">{"'Apr-00'!$B$4:$AD$44"}</definedName>
    <definedName name="tyu" localSheetId="9" hidden="1">{"'Apr-00'!$B$4:$AD$44"}</definedName>
    <definedName name="tyu" localSheetId="11" hidden="1">{"'Apr-00'!$B$4:$AD$44"}</definedName>
    <definedName name="tyu" hidden="1">{"'Apr-00'!$B$4:$AD$44"}</definedName>
    <definedName name="U">#REF!</definedName>
    <definedName name="U_1">#REF!</definedName>
    <definedName name="U30a57">#REF!</definedName>
    <definedName name="uiii">#REF!</definedName>
    <definedName name="UKRMrate">#REF!</definedName>
    <definedName name="Umsatzdiagramm" localSheetId="7">#REF!</definedName>
    <definedName name="Umsatzdiagramm">#N/A</definedName>
    <definedName name="UMTS" localSheetId="7">{"'Apr-00'!$B$4:$AD$44"}</definedName>
    <definedName name="UMTS" localSheetId="10" hidden="1">{"'Apr-00'!$B$4:$AD$44"}</definedName>
    <definedName name="UMTS" localSheetId="0" hidden="1">{"'Apr-00'!$B$4:$AD$44"}</definedName>
    <definedName name="UMTS" localSheetId="9" hidden="1">{"'Apr-00'!$B$4:$AD$44"}</definedName>
    <definedName name="UMTS" localSheetId="11" hidden="1">{"'Apr-00'!$B$4:$AD$44"}</definedName>
    <definedName name="UMTS" hidden="1">{"'Apr-00'!$B$4:$AD$44"}</definedName>
    <definedName name="unbilled_new1">#REF!</definedName>
    <definedName name="Uniform">#REF!</definedName>
    <definedName name="Unit">#REF!</definedName>
    <definedName name="unitwise">#REF!</definedName>
    <definedName name="unnamed">#REF!</definedName>
    <definedName name="unnamed_0">#REF!</definedName>
    <definedName name="unnamed_1">#REF!</definedName>
    <definedName name="unnamed_10">#REF!</definedName>
    <definedName name="unnamed_2">#REF!</definedName>
    <definedName name="unnamed_3">#REF!</definedName>
    <definedName name="unnamed_4">#REF!</definedName>
    <definedName name="unnamed_5">#REF!</definedName>
    <definedName name="unnamed_6">#REF!</definedName>
    <definedName name="unnamed_7">#REF!</definedName>
    <definedName name="unnamed_8">#REF!</definedName>
    <definedName name="unnamed_9">#REF!</definedName>
    <definedName name="unnamed_A">#REF!</definedName>
    <definedName name="unnamed_B">#REF!</definedName>
    <definedName name="unnamed_C">#REF!</definedName>
    <definedName name="unnamed_D">#REF!</definedName>
    <definedName name="unnamed_E">#REF!</definedName>
    <definedName name="unnamed_F">#REF!</definedName>
    <definedName name="unnamed_G">#REF!</definedName>
    <definedName name="unnamed_H">#REF!</definedName>
    <definedName name="unnamed_I">#REF!</definedName>
    <definedName name="unnamed_J">#REF!</definedName>
    <definedName name="unnamed_K">#REF!</definedName>
    <definedName name="unnamed_L">#REF!</definedName>
    <definedName name="unnamed_M">#REF!</definedName>
    <definedName name="unnamed_N">#REF!</definedName>
    <definedName name="unnamed_P">#REF!</definedName>
    <definedName name="unnamed_Q">#REF!</definedName>
    <definedName name="unnamed_R">#REF!</definedName>
    <definedName name="UNSEC_LOAN">#REF!</definedName>
    <definedName name="unsecuredloan">#REF!</definedName>
    <definedName name="UOM">#REF!</definedName>
    <definedName name="UPDATE">#REF!</definedName>
    <definedName name="UPDATE_ALL">#REF!</definedName>
    <definedName name="UPDATE_DIS">#REF!</definedName>
    <definedName name="UPDATE_IG">#REF!</definedName>
    <definedName name="UPDATE_THDP">#REF!</definedName>
    <definedName name="UPDATE_YTD_NOS">#REF!</definedName>
    <definedName name="Updated">#REF!</definedName>
    <definedName name="updateddate">#REF!</definedName>
    <definedName name="us" localSheetId="7">{#N/A,#N/A,TRUE,"ADVANCE SUMM.";#N/A,#N/A,TRUE,"KEITH";#N/A,#N/A,TRUE,"WES"}</definedName>
    <definedName name="us" localSheetId="10" hidden="1">{#N/A,#N/A,TRUE,"ADVANCE SUMM.";#N/A,#N/A,TRUE,"KEITH";#N/A,#N/A,TRUE,"WES"}</definedName>
    <definedName name="us" localSheetId="0" hidden="1">{#N/A,#N/A,TRUE,"ADVANCE SUMM.";#N/A,#N/A,TRUE,"KEITH";#N/A,#N/A,TRUE,"WES"}</definedName>
    <definedName name="us" localSheetId="9" hidden="1">{#N/A,#N/A,TRUE,"ADVANCE SUMM.";#N/A,#N/A,TRUE,"KEITH";#N/A,#N/A,TRUE,"WES"}</definedName>
    <definedName name="us" localSheetId="11" hidden="1">{#N/A,#N/A,TRUE,"ADVANCE SUMM.";#N/A,#N/A,TRUE,"KEITH";#N/A,#N/A,TRUE,"WES"}</definedName>
    <definedName name="us" hidden="1">{#N/A,#N/A,TRUE,"ADVANCE SUMM.";#N/A,#N/A,TRUE,"KEITH";#N/A,#N/A,TRUE,"WES"}</definedName>
    <definedName name="US___USA">#REF!</definedName>
    <definedName name="US_inflation">#REF!</definedName>
    <definedName name="US_Inflation_04_to_29">#REF!</definedName>
    <definedName name="US_working_days">#REF!</definedName>
    <definedName name="UsageStart">#REF!</definedName>
    <definedName name="USD">#REF!</definedName>
    <definedName name="USD.A">#REF!</definedName>
    <definedName name="USD.E">#REF!</definedName>
    <definedName name="USD_B">#REF!</definedName>
    <definedName name="USD_BOOK">#REF!</definedName>
    <definedName name="USD_EX_SUMM">#REF!</definedName>
    <definedName name="usd_fedai">#REF!</definedName>
    <definedName name="UserFirstName">#REF!</definedName>
    <definedName name="UserName">#REF!</definedName>
    <definedName name="USL_L">#REF!</definedName>
    <definedName name="USL_L1">#REF!</definedName>
    <definedName name="usoft">#REF!,#REF!,#REF!</definedName>
    <definedName name="USRMrate">#REF!</definedName>
    <definedName name="USS">#REF!</definedName>
    <definedName name="UTIL00">#REF!</definedName>
    <definedName name="UTIL95">#REF!</definedName>
    <definedName name="UTIL96">#REF!</definedName>
    <definedName name="UTIL97">#REF!</definedName>
    <definedName name="UTIL98">#REF!</definedName>
    <definedName name="UTIL99">#REF!</definedName>
    <definedName name="Utilization">#REF!</definedName>
    <definedName name="uu">#REF!</definedName>
    <definedName name="uuuuuuuuu" hidden="1">#REF!</definedName>
    <definedName name="uuuuuuuuuu">#REF!</definedName>
    <definedName name="uuuuuuuuuuuuuuu" hidden="1">#REF!</definedName>
    <definedName name="uuuuuuuuuuuuuuuu">#REF!</definedName>
    <definedName name="uuuuuuuuuuuuuuuuuuu">#REF!</definedName>
    <definedName name="V">#REF!</definedName>
    <definedName name="V_1">#REF!</definedName>
    <definedName name="vacvat">#REF!</definedName>
    <definedName name="vacvat1">#REF!</definedName>
    <definedName name="Valid_BG">#REF!</definedName>
    <definedName name="Valid_Dates">#REF!</definedName>
    <definedName name="Valid_Months">#REF!</definedName>
    <definedName name="Valid_Years">#REF!</definedName>
    <definedName name="ValidInputs">#REF!</definedName>
    <definedName name="valuation">#REF!,#REF!</definedName>
    <definedName name="Value_Added_Services">#REF!</definedName>
    <definedName name="Value_entered" localSheetId="7">#REF!</definedName>
    <definedName name="Value_entered">#N/A</definedName>
    <definedName name="Values_Entered" localSheetId="7">IF(Loan_Amount*Interest_Rate*Loan_Years*Loan_Start&gt;0,1,0)</definedName>
    <definedName name="Values_Entered" localSheetId="10">IF(Loan_Amount*Interest_Rate*Loan_Years*Loan_Start&gt;0,1,0)</definedName>
    <definedName name="Values_Entered" localSheetId="0">IF(Loan_Amount*Interest_Rate*Loan_Years*Loan_Start&gt;0,1,0)</definedName>
    <definedName name="Values_Entered" localSheetId="9">IF(Loan_Amount*Interest_Rate*Loan_Years*Loan_Start&gt;0,1,0)</definedName>
    <definedName name="Values_Entered" localSheetId="11">IF(Loan_Amount*Interest_Rate*Loan_Years*Loan_Start&gt;0,1,0)</definedName>
    <definedName name="Values_Entered">IF(Loan_Amount*Interest_Rate*Loan_Years*Loan_Start&gt;0,1,0)</definedName>
    <definedName name="Varexp">#REF!</definedName>
    <definedName name="Variant">#REF!</definedName>
    <definedName name="VARIINST">#REF!</definedName>
    <definedName name="VARIPURC">#REF!</definedName>
    <definedName name="VAS_Revenue_Per_Minute">#REF!</definedName>
    <definedName name="vat">#REF!</definedName>
    <definedName name="VBC">#REF!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dfgwfwef" hidden="1">#REF!</definedName>
    <definedName name="vdfvrfrw3" hidden="1">#REF!</definedName>
    <definedName name="vdfvtg56">#REF!</definedName>
    <definedName name="ve">#REF!</definedName>
    <definedName name="VEEDER_ROOT_COMPANY">#REF!</definedName>
    <definedName name="veh">#REF!</definedName>
    <definedName name="vehexps">#REF!</definedName>
    <definedName name="vehicles">#REF!</definedName>
    <definedName name="VEN" hidden="1">#REF!</definedName>
    <definedName name="vendas_ano">#REF!</definedName>
    <definedName name="vendas_mes">#REF!</definedName>
    <definedName name="Version">#REF!</definedName>
    <definedName name="vfdfrgr" hidden="1">#REF!</definedName>
    <definedName name="vg" localSheetId="7">{#N/A,#N/A,FALSE,"One Pager";#N/A,#N/A,FALSE,"Technical"}</definedName>
    <definedName name="vg" localSheetId="10" hidden="1">{#N/A,#N/A,FALSE,"One Pager";#N/A,#N/A,FALSE,"Technical"}</definedName>
    <definedName name="vg" localSheetId="0" hidden="1">{#N/A,#N/A,FALSE,"One Pager";#N/A,#N/A,FALSE,"Technical"}</definedName>
    <definedName name="vg" localSheetId="9" hidden="1">{#N/A,#N/A,FALSE,"One Pager";#N/A,#N/A,FALSE,"Technical"}</definedName>
    <definedName name="vg" localSheetId="11" hidden="1">{#N/A,#N/A,FALSE,"One Pager";#N/A,#N/A,FALSE,"Technical"}</definedName>
    <definedName name="vg" hidden="1">{#N/A,#N/A,FALSE,"One Pager";#N/A,#N/A,FALSE,"Technical"}</definedName>
    <definedName name="VI" hidden="1">#REF!</definedName>
    <definedName name="VICA">#REF!</definedName>
    <definedName name="victor">#REF!</definedName>
    <definedName name="viet">#REF!</definedName>
    <definedName name="vijay" hidden="1">#REF!</definedName>
    <definedName name="vikas">#REF!</definedName>
    <definedName name="VIMA">#REF!</definedName>
    <definedName name="VIPEN">#REF!</definedName>
    <definedName name="VIPEN1">#REF!</definedName>
    <definedName name="vipen2">#REF!</definedName>
    <definedName name="vishnu" localSheetId="7">{#N/A,#N/A,FALSE,"One Pager";#N/A,#N/A,FALSE,"Technical"}</definedName>
    <definedName name="vishnu" localSheetId="10" hidden="1">{#N/A,#N/A,FALSE,"One Pager";#N/A,#N/A,FALSE,"Technical"}</definedName>
    <definedName name="vishnu" localSheetId="0" hidden="1">{#N/A,#N/A,FALSE,"One Pager";#N/A,#N/A,FALSE,"Technical"}</definedName>
    <definedName name="vishnu" localSheetId="9" hidden="1">{#N/A,#N/A,FALSE,"One Pager";#N/A,#N/A,FALSE,"Technical"}</definedName>
    <definedName name="vishnu" localSheetId="11" hidden="1">{#N/A,#N/A,FALSE,"One Pager";#N/A,#N/A,FALSE,"Technical"}</definedName>
    <definedName name="vishnu" hidden="1">{#N/A,#N/A,FALSE,"One Pager";#N/A,#N/A,FALSE,"Technical"}</definedName>
    <definedName name="VISTA_NN">#REF!</definedName>
    <definedName name="vital5">#REF!</definedName>
    <definedName name="vjvjjv">#REF!</definedName>
    <definedName name="vk" localSheetId="7">{#N/A,#N/A,FALSE,"One Pager";#N/A,#N/A,FALSE,"Technical"}</definedName>
    <definedName name="vk" localSheetId="10" hidden="1">{#N/A,#N/A,FALSE,"One Pager";#N/A,#N/A,FALSE,"Technical"}</definedName>
    <definedName name="vk" localSheetId="0" hidden="1">{#N/A,#N/A,FALSE,"One Pager";#N/A,#N/A,FALSE,"Technical"}</definedName>
    <definedName name="vk" localSheetId="9" hidden="1">{#N/A,#N/A,FALSE,"One Pager";#N/A,#N/A,FALSE,"Technical"}</definedName>
    <definedName name="vk" localSheetId="11" hidden="1">{#N/A,#N/A,FALSE,"One Pager";#N/A,#N/A,FALSE,"Technical"}</definedName>
    <definedName name="vk" hidden="1">{#N/A,#N/A,FALSE,"One Pager";#N/A,#N/A,FALSE,"Technical"}</definedName>
    <definedName name="VLSI">#REF!</definedName>
    <definedName name="VLSIsum">#REF!</definedName>
    <definedName name="vnbvnvnbv">#N/A</definedName>
    <definedName name="Voice">#REF!</definedName>
    <definedName name="Voice_Monthly_Rental_Fee">#REF!</definedName>
    <definedName name="Voice_New_Con_Fee">#REF!</definedName>
    <definedName name="VOICE00">#REF!</definedName>
    <definedName name="VOICE95">#REF!</definedName>
    <definedName name="VOICE96">#REF!</definedName>
    <definedName name="VOICE97">#REF!</definedName>
    <definedName name="VOICE98">#REF!</definedName>
    <definedName name="VOICE99">#REF!</definedName>
    <definedName name="VPMI00">#REF!</definedName>
    <definedName name="VPMI95">#REF!</definedName>
    <definedName name="VPMI96">#REF!</definedName>
    <definedName name="VPMI97">#REF!</definedName>
    <definedName name="VPMI98">#REF!</definedName>
    <definedName name="VPMI99">#REF!</definedName>
    <definedName name="VPS">#REF!</definedName>
    <definedName name="VRSC_VIEW_SITE_ANALYSIS">#REF!</definedName>
    <definedName name="VS">#REF!</definedName>
    <definedName name="VT_PA">#REF!</definedName>
    <definedName name="vtu">#REF!</definedName>
    <definedName name="vvvv4" hidden="1">#REF!</definedName>
    <definedName name="vvvvvvvvvvv" hidden="1">#REF!</definedName>
    <definedName name="w">#REF!</definedName>
    <definedName name="W_1">#REF!</definedName>
    <definedName name="wa">#REF!</definedName>
    <definedName name="wacc">#REF!</definedName>
    <definedName name="wacc2">#REF!</definedName>
    <definedName name="warrants">#REF!</definedName>
    <definedName name="WATER_COOLER">#REF!</definedName>
    <definedName name="waterway">#REF!</definedName>
    <definedName name="wb">#REF!</definedName>
    <definedName name="WCAP">#REF!</definedName>
    <definedName name="WCPlan">#REF!</definedName>
    <definedName name="WD" localSheetId="7">{#N/A,#N/A,FALSE,"CIF APR'03-SEP'03 (2)"}</definedName>
    <definedName name="WD" localSheetId="10" hidden="1">{#N/A,#N/A,FALSE,"CIF APR'03-SEP'03 (2)"}</definedName>
    <definedName name="WD" localSheetId="0" hidden="1">{#N/A,#N/A,FALSE,"CIF APR'03-SEP'03 (2)"}</definedName>
    <definedName name="WD" localSheetId="9" hidden="1">{#N/A,#N/A,FALSE,"CIF APR'03-SEP'03 (2)"}</definedName>
    <definedName name="WD" localSheetId="11" hidden="1">{#N/A,#N/A,FALSE,"CIF APR'03-SEP'03 (2)"}</definedName>
    <definedName name="WD" hidden="1">{#N/A,#N/A,FALSE,"CIF APR'03-SEP'03 (2)"}</definedName>
    <definedName name="WD_1" localSheetId="7">{#N/A,#N/A,FALSE,"CIF APR'03-SEP'03 (2)"}</definedName>
    <definedName name="WD_1" localSheetId="10" hidden="1">{#N/A,#N/A,FALSE,"CIF APR'03-SEP'03 (2)"}</definedName>
    <definedName name="WD_1" localSheetId="0" hidden="1">{#N/A,#N/A,FALSE,"CIF APR'03-SEP'03 (2)"}</definedName>
    <definedName name="WD_1" localSheetId="9" hidden="1">{#N/A,#N/A,FALSE,"CIF APR'03-SEP'03 (2)"}</definedName>
    <definedName name="WD_1" localSheetId="11" hidden="1">{#N/A,#N/A,FALSE,"CIF APR'03-SEP'03 (2)"}</definedName>
    <definedName name="WD_1" hidden="1">{#N/A,#N/A,FALSE,"CIF APR'03-SEP'03 (2)"}</definedName>
    <definedName name="WD_2" localSheetId="7">{#N/A,#N/A,FALSE,"CIF APR'03-SEP'03 (2)"}</definedName>
    <definedName name="WD_2" localSheetId="10" hidden="1">{#N/A,#N/A,FALSE,"CIF APR'03-SEP'03 (2)"}</definedName>
    <definedName name="WD_2" localSheetId="0" hidden="1">{#N/A,#N/A,FALSE,"CIF APR'03-SEP'03 (2)"}</definedName>
    <definedName name="WD_2" localSheetId="9" hidden="1">{#N/A,#N/A,FALSE,"CIF APR'03-SEP'03 (2)"}</definedName>
    <definedName name="WD_2" localSheetId="11" hidden="1">{#N/A,#N/A,FALSE,"CIF APR'03-SEP'03 (2)"}</definedName>
    <definedName name="WD_2" hidden="1">{#N/A,#N/A,FALSE,"CIF APR'03-SEP'03 (2)"}</definedName>
    <definedName name="WDCtlDays">#REF!</definedName>
    <definedName name="WDHolDays">#REF!</definedName>
    <definedName name="WDPeriod1Holiday">#REF!</definedName>
    <definedName name="WDPeriod1Workday">#REF!</definedName>
    <definedName name="WDPeriod2Holiday">#REF!</definedName>
    <definedName name="WDPeriod2Workday">#REF!</definedName>
    <definedName name="WDStdDays">#REF!</definedName>
    <definedName name="WDV">#REF!</definedName>
    <definedName name="WDV_Group_Co_Act_Closing">#REF!</definedName>
    <definedName name="WDV_Group_Co_Act_Opening">#REF!</definedName>
    <definedName name="WDV_Group_IT_Act_Closing">#REF!</definedName>
    <definedName name="WDV_Group_IT_Act_Opening">#REF!</definedName>
    <definedName name="we">#REF!</definedName>
    <definedName name="wealth_tax">#REF!</definedName>
    <definedName name="wef">#N/A</definedName>
    <definedName name="welfare">#REF!</definedName>
    <definedName name="wen">#REF!</definedName>
    <definedName name="wer">#REF!</definedName>
    <definedName name="werer">#REF!</definedName>
    <definedName name="werwe">#REF!</definedName>
    <definedName name="werwer" localSheetId="7">#REF!</definedName>
    <definedName name="werwer">#N/A</definedName>
    <definedName name="WEW">#REF!</definedName>
    <definedName name="wgeer" localSheetId="7">{"'Sheet1'!$D$45","'Sheet1'!$A$1:$H$36"}</definedName>
    <definedName name="wgeer" localSheetId="10">{"'Sheet1'!$D$45","'Sheet1'!$A$1:$H$36"}</definedName>
    <definedName name="wgeer" localSheetId="0">{"'Sheet1'!$D$45","'Sheet1'!$A$1:$H$36"}</definedName>
    <definedName name="wgeer" localSheetId="9">{"'Sheet1'!$D$45","'Sheet1'!$A$1:$H$36"}</definedName>
    <definedName name="wgeer" localSheetId="11">{"'Sheet1'!$D$45","'Sheet1'!$A$1:$H$36"}</definedName>
    <definedName name="wgeer">{"'Sheet1'!$D$45","'Sheet1'!$A$1:$H$36"}</definedName>
    <definedName name="WGJDFHJ">#REF!</definedName>
    <definedName name="what">#REF!</definedName>
    <definedName name="whi">#REF!</definedName>
    <definedName name="whyshy" localSheetId="7">#REF!</definedName>
    <definedName name="whyshy">#N/A</definedName>
    <definedName name="Width">2</definedName>
    <definedName name="win" localSheetId="7">{"'Sample Status'!$A$1:$J$21"}</definedName>
    <definedName name="win" localSheetId="10" hidden="1">{"'Sample Status'!$A$1:$J$21"}</definedName>
    <definedName name="win" localSheetId="0" hidden="1">{"'Sample Status'!$A$1:$J$21"}</definedName>
    <definedName name="win" localSheetId="9" hidden="1">{"'Sample Status'!$A$1:$J$21"}</definedName>
    <definedName name="win" localSheetId="11" hidden="1">{"'Sample Status'!$A$1:$J$21"}</definedName>
    <definedName name="win" hidden="1">{"'Sample Status'!$A$1:$J$21"}</definedName>
    <definedName name="win_1" localSheetId="7">{"'Sample Status'!$A$1:$J$21"}</definedName>
    <definedName name="win_1" localSheetId="10" hidden="1">{"'Sample Status'!$A$1:$J$21"}</definedName>
    <definedName name="win_1" localSheetId="0" hidden="1">{"'Sample Status'!$A$1:$J$21"}</definedName>
    <definedName name="win_1" localSheetId="9" hidden="1">{"'Sample Status'!$A$1:$J$21"}</definedName>
    <definedName name="win_1" localSheetId="11" hidden="1">{"'Sample Status'!$A$1:$J$21"}</definedName>
    <definedName name="win_1" hidden="1">{"'Sample Status'!$A$1:$J$21"}</definedName>
    <definedName name="win_2" localSheetId="7">{"'Sample Status'!$A$1:$J$21"}</definedName>
    <definedName name="win_2" localSheetId="10" hidden="1">{"'Sample Status'!$A$1:$J$21"}</definedName>
    <definedName name="win_2" localSheetId="0" hidden="1">{"'Sample Status'!$A$1:$J$21"}</definedName>
    <definedName name="win_2" localSheetId="9" hidden="1">{"'Sample Status'!$A$1:$J$21"}</definedName>
    <definedName name="win_2" localSheetId="11" hidden="1">{"'Sample Status'!$A$1:$J$21"}</definedName>
    <definedName name="win_2" hidden="1">{"'Sample Status'!$A$1:$J$21"}</definedName>
    <definedName name="WIP">#REF!</definedName>
    <definedName name="Wk_Days">#REF!</definedName>
    <definedName name="WKSUBB">#REF!</definedName>
    <definedName name="WKSUBG">#REF!</definedName>
    <definedName name="WKSUBP">#REF!</definedName>
    <definedName name="WKSUBS">#REF!</definedName>
    <definedName name="WON00">#REF!</definedName>
    <definedName name="WORDS">#REF!</definedName>
    <definedName name="WorkCap">#REF!</definedName>
    <definedName name="workcap1">#REF!</definedName>
    <definedName name="workcap2">#REF!</definedName>
    <definedName name="workexmw_pa">#REF!</definedName>
    <definedName name="Working">#REF!</definedName>
    <definedName name="WorkingCostCentre">#REF!</definedName>
    <definedName name="WORKINGSALL">#REF!</definedName>
    <definedName name="workmodel">#REF!,#REF!,#REF!,#REF!</definedName>
    <definedName name="WorksheetNames">#REF!</definedName>
    <definedName name="workshop">#REF!</definedName>
    <definedName name="WPICRATE">#REF!</definedName>
    <definedName name="WPRMrate">#REF!</definedName>
    <definedName name="wr">#REF!</definedName>
    <definedName name="wre">#REF!</definedName>
    <definedName name="wrn.1._.BALANCE._.SHEET." localSheetId="7">{"Balance sheet 31 3 2000",#N/A,FALSE,"BS-lacs"}</definedName>
    <definedName name="wrn.1._.BALANCE._.SHEET." localSheetId="10" hidden="1">{"Balance sheet 31 3 2000",#N/A,FALSE,"BS-lacs"}</definedName>
    <definedName name="wrn.1._.BALANCE._.SHEET." localSheetId="0" hidden="1">{"Balance sheet 31 3 2000",#N/A,FALSE,"BS-lacs"}</definedName>
    <definedName name="wrn.1._.BALANCE._.SHEET." localSheetId="9" hidden="1">{"Balance sheet 31 3 2000",#N/A,FALSE,"BS-lacs"}</definedName>
    <definedName name="wrn.1._.BALANCE._.SHEET." localSheetId="11" hidden="1">{"Balance sheet 31 3 2000",#N/A,FALSE,"BS-lacs"}</definedName>
    <definedName name="wrn.1._.BALANCE._.SHEET." hidden="1">{"Balance sheet 31 3 2000",#N/A,FALSE,"BS-lacs"}</definedName>
    <definedName name="wrn.1._.BALANCE._.SHEET._1" localSheetId="7">{"Balance sheet 31 3 2000",#N/A,FALSE,"BS-lacs"}</definedName>
    <definedName name="wrn.1._.BALANCE._.SHEET._1" localSheetId="10" hidden="1">{"Balance sheet 31 3 2000",#N/A,FALSE,"BS-lacs"}</definedName>
    <definedName name="wrn.1._.BALANCE._.SHEET._1" localSheetId="0" hidden="1">{"Balance sheet 31 3 2000",#N/A,FALSE,"BS-lacs"}</definedName>
    <definedName name="wrn.1._.BALANCE._.SHEET._1" localSheetId="9" hidden="1">{"Balance sheet 31 3 2000",#N/A,FALSE,"BS-lacs"}</definedName>
    <definedName name="wrn.1._.BALANCE._.SHEET._1" localSheetId="11" hidden="1">{"Balance sheet 31 3 2000",#N/A,FALSE,"BS-lacs"}</definedName>
    <definedName name="wrn.1._.BALANCE._.SHEET._1" hidden="1">{"Balance sheet 31 3 2000",#N/A,FALSE,"BS-lacs"}</definedName>
    <definedName name="wrn.1._.BALANCE._.SHEET._2" localSheetId="7">{"Balance sheet 31 3 2000",#N/A,FALSE,"BS-lacs"}</definedName>
    <definedName name="wrn.1._.BALANCE._.SHEET._2" localSheetId="10" hidden="1">{"Balance sheet 31 3 2000",#N/A,FALSE,"BS-lacs"}</definedName>
    <definedName name="wrn.1._.BALANCE._.SHEET._2" localSheetId="0" hidden="1">{"Balance sheet 31 3 2000",#N/A,FALSE,"BS-lacs"}</definedName>
    <definedName name="wrn.1._.BALANCE._.SHEET._2" localSheetId="9" hidden="1">{"Balance sheet 31 3 2000",#N/A,FALSE,"BS-lacs"}</definedName>
    <definedName name="wrn.1._.BALANCE._.SHEET._2" localSheetId="11" hidden="1">{"Balance sheet 31 3 2000",#N/A,FALSE,"BS-lacs"}</definedName>
    <definedName name="wrn.1._.BALANCE._.SHEET._2" hidden="1">{"Balance sheet 31 3 2000",#N/A,FALSE,"BS-lacs"}</definedName>
    <definedName name="wrn.1998._.Budget.">#REF!</definedName>
    <definedName name="wrn.1999._.Budget.">#REF!</definedName>
    <definedName name="wrn.2._.pagers.">{"Cover",#N/A,FALSE,"Cover";"Summary",#N/A,FALSE,"Summarpage"}</definedName>
    <definedName name="wrn.2._.PROFIT._.AND._.LOSS._.31.03.2000." localSheetId="7">{"profit and loss 31 3 2000",#N/A,FALSE,"P&amp;L-lacs"}</definedName>
    <definedName name="wrn.2._.PROFIT._.AND._.LOSS._.31.03.2000." localSheetId="10" hidden="1">{"profit and loss 31 3 2000",#N/A,FALSE,"P&amp;L-lacs"}</definedName>
    <definedName name="wrn.2._.PROFIT._.AND._.LOSS._.31.03.2000." localSheetId="0" hidden="1">{"profit and loss 31 3 2000",#N/A,FALSE,"P&amp;L-lacs"}</definedName>
    <definedName name="wrn.2._.PROFIT._.AND._.LOSS._.31.03.2000." localSheetId="9" hidden="1">{"profit and loss 31 3 2000",#N/A,FALSE,"P&amp;L-lacs"}</definedName>
    <definedName name="wrn.2._.PROFIT._.AND._.LOSS._.31.03.2000." localSheetId="11" hidden="1">{"profit and loss 31 3 2000",#N/A,FALSE,"P&amp;L-lacs"}</definedName>
    <definedName name="wrn.2._.PROFIT._.AND._.LOSS._.31.03.2000." hidden="1">{"profit and loss 31 3 2000",#N/A,FALSE,"P&amp;L-lacs"}</definedName>
    <definedName name="wrn.2._.PROFIT._.AND._.LOSS._.31.03.2000._1" localSheetId="7">{"profit and loss 31 3 2000",#N/A,FALSE,"P&amp;L-lacs"}</definedName>
    <definedName name="wrn.2._.PROFIT._.AND._.LOSS._.31.03.2000._1" localSheetId="10" hidden="1">{"profit and loss 31 3 2000",#N/A,FALSE,"P&amp;L-lacs"}</definedName>
    <definedName name="wrn.2._.PROFIT._.AND._.LOSS._.31.03.2000._1" localSheetId="0" hidden="1">{"profit and loss 31 3 2000",#N/A,FALSE,"P&amp;L-lacs"}</definedName>
    <definedName name="wrn.2._.PROFIT._.AND._.LOSS._.31.03.2000._1" localSheetId="9" hidden="1">{"profit and loss 31 3 2000",#N/A,FALSE,"P&amp;L-lacs"}</definedName>
    <definedName name="wrn.2._.PROFIT._.AND._.LOSS._.31.03.2000._1" localSheetId="11" hidden="1">{"profit and loss 31 3 2000",#N/A,FALSE,"P&amp;L-lacs"}</definedName>
    <definedName name="wrn.2._.PROFIT._.AND._.LOSS._.31.03.2000._1" hidden="1">{"profit and loss 31 3 2000",#N/A,FALSE,"P&amp;L-lacs"}</definedName>
    <definedName name="wrn.2._.PROFIT._.AND._.LOSS._.31.03.2000._2" localSheetId="7">{"profit and loss 31 3 2000",#N/A,FALSE,"P&amp;L-lacs"}</definedName>
    <definedName name="wrn.2._.PROFIT._.AND._.LOSS._.31.03.2000._2" localSheetId="10" hidden="1">{"profit and loss 31 3 2000",#N/A,FALSE,"P&amp;L-lacs"}</definedName>
    <definedName name="wrn.2._.PROFIT._.AND._.LOSS._.31.03.2000._2" localSheetId="0" hidden="1">{"profit and loss 31 3 2000",#N/A,FALSE,"P&amp;L-lacs"}</definedName>
    <definedName name="wrn.2._.PROFIT._.AND._.LOSS._.31.03.2000._2" localSheetId="9" hidden="1">{"profit and loss 31 3 2000",#N/A,FALSE,"P&amp;L-lacs"}</definedName>
    <definedName name="wrn.2._.PROFIT._.AND._.LOSS._.31.03.2000._2" localSheetId="11" hidden="1">{"profit and loss 31 3 2000",#N/A,FALSE,"P&amp;L-lacs"}</definedName>
    <definedName name="wrn.2._.PROFIT._.AND._.LOSS._.31.03.2000._2" hidden="1">{"profit and loss 31 3 2000",#N/A,FALSE,"P&amp;L-lacs"}</definedName>
    <definedName name="wrn.2003._.Detail._.in._.Dollars.">#REF!</definedName>
    <definedName name="wrn.2003._.Detail._.per._.pax.">#REF!</definedName>
    <definedName name="wrn.2003._.RM._.Reports.">#REF!</definedName>
    <definedName name="wrn.2004._.Detail._.in._.Dollars.">#REF!</definedName>
    <definedName name="wrn.2004._.Detail._.per._.pax.">#REF!</definedName>
    <definedName name="wrn.2004._.RM._.Reports.">#REF!</definedName>
    <definedName name="wrn.96._.Plan.">#REF!</definedName>
    <definedName name="wrn.96_.Plan1.">#REF!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_VALUATION.">#REF!</definedName>
    <definedName name="wrn.ACCOUNTS._.REC._.ADV." localSheetId="7">{#N/A,#N/A,TRUE,"ADVANCE SUMM.";#N/A,#N/A,TRUE,"KEITH";#N/A,#N/A,TRUE,"WES"}</definedName>
    <definedName name="wrn.ACCOUNTS._.REC._.ADV." localSheetId="10" hidden="1">{#N/A,#N/A,TRUE,"ADVANCE SUMM.";#N/A,#N/A,TRUE,"KEITH";#N/A,#N/A,TRUE,"WES"}</definedName>
    <definedName name="wrn.ACCOUNTS._.REC._.ADV." localSheetId="0" hidden="1">{#N/A,#N/A,TRUE,"ADVANCE SUMM.";#N/A,#N/A,TRUE,"KEITH";#N/A,#N/A,TRUE,"WES"}</definedName>
    <definedName name="wrn.ACCOUNTS._.REC._.ADV." localSheetId="9" hidden="1">{#N/A,#N/A,TRUE,"ADVANCE SUMM.";#N/A,#N/A,TRUE,"KEITH";#N/A,#N/A,TRUE,"WES"}</definedName>
    <definedName name="wrn.ACCOUNTS._.REC._.ADV." localSheetId="11" hidden="1">{#N/A,#N/A,TRUE,"ADVANCE SUMM.";#N/A,#N/A,TRUE,"KEITH";#N/A,#N/A,TRUE,"WES"}</definedName>
    <definedName name="wrn.ACCOUNTS._.REC._.ADV." hidden="1">{#N/A,#N/A,TRUE,"ADVANCE SUMM.";#N/A,#N/A,TRUE,"KEITH";#N/A,#N/A,TRUE,"WES"}</definedName>
    <definedName name="wrn.Accr_Dil.">#REF!</definedName>
    <definedName name="WRN.ACCT" localSheetId="7">{#N/A,#N/A,TRUE,"ADVANCE SUMM.";#N/A,#N/A,TRUE,"KEITH";#N/A,#N/A,TRUE,"WES"}</definedName>
    <definedName name="WRN.ACCT" localSheetId="10" hidden="1">{#N/A,#N/A,TRUE,"ADVANCE SUMM.";#N/A,#N/A,TRUE,"KEITH";#N/A,#N/A,TRUE,"WES"}</definedName>
    <definedName name="WRN.ACCT" localSheetId="0" hidden="1">{#N/A,#N/A,TRUE,"ADVANCE SUMM.";#N/A,#N/A,TRUE,"KEITH";#N/A,#N/A,TRUE,"WES"}</definedName>
    <definedName name="WRN.ACCT" localSheetId="9" hidden="1">{#N/A,#N/A,TRUE,"ADVANCE SUMM.";#N/A,#N/A,TRUE,"KEITH";#N/A,#N/A,TRUE,"WES"}</definedName>
    <definedName name="WRN.ACCT" localSheetId="11" hidden="1">{#N/A,#N/A,TRUE,"ADVANCE SUMM.";#N/A,#N/A,TRUE,"KEITH";#N/A,#N/A,TRUE,"WES"}</definedName>
    <definedName name="WRN.ACCT" hidden="1">{#N/A,#N/A,TRUE,"ADVANCE SUMM.";#N/A,#N/A,TRUE,"KEITH";#N/A,#N/A,TRUE,"WES"}</definedName>
    <definedName name="wrn.AEA.">#REF!</definedName>
    <definedName name="wrn.Aging._.and._.Trend._.Analysis." localSheetId="7">{#N/A,#N/A,FALSE,"Aging Summary";#N/A,#N/A,FALSE,"Ratio Analysis";#N/A,#N/A,FALSE,"Test 120 Day Accts";#N/A,#N/A,FALSE,"Tickmarks"}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7">{#N/A,#N/A,FALSE,"Aging Summary";#N/A,#N/A,FALSE,"Ratio Analysis";#N/A,#N/A,FALSE,"Test 120 Day Accts";#N/A,#N/A,FALSE,"Tickmarks"}</definedName>
    <definedName name="wrn.Aging._.and._.Trend._.Analysis._1" localSheetId="10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localSheetId="9" hidden="1">{#N/A,#N/A,FALSE,"Aging Summary";#N/A,#N/A,FALSE,"Ratio Analysis";#N/A,#N/A,FALSE,"Test 120 Day Accts";#N/A,#N/A,FALSE,"Tickmarks"}</definedName>
    <definedName name="wrn.Aging._.and._.Trend._.Analysis._1" localSheetId="11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localSheetId="7">{#N/A,#N/A,FALSE,"Aging Summary";#N/A,#N/A,FALSE,"Ratio Analysis";#N/A,#N/A,FALSE,"Test 120 Day Accts";#N/A,#N/A,FALSE,"Tickmarks"}</definedName>
    <definedName name="wrn.Aging._.and._.Trend._.Analysis._2" localSheetId="10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localSheetId="9" hidden="1">{#N/A,#N/A,FALSE,"Aging Summary";#N/A,#N/A,FALSE,"Ratio Analysis";#N/A,#N/A,FALSE,"Test 120 Day Accts";#N/A,#N/A,FALSE,"Tickmarks"}</definedName>
    <definedName name="wrn.Aging._.and._.Trend._.Analysis._2" localSheetId="1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1" localSheetId="7">{#N/A,#N/A,FALSE,"Aging Summary";#N/A,#N/A,FALSE,"Ratio Analysis";#N/A,#N/A,FALSE,"Test 120 Day Accts";#N/A,#N/A,FALSE,"Tickmarks"}</definedName>
    <definedName name="wrn.Aging._.and._.Trend._.Analysis.1" localSheetId="10" hidden="1">{#N/A,#N/A,FALSE,"Aging Summary";#N/A,#N/A,FALSE,"Ratio Analysis";#N/A,#N/A,FALSE,"Test 120 Day Accts";#N/A,#N/A,FALSE,"Tickmarks"}</definedName>
    <definedName name="wrn.Aging._.and._.Trend._.Analysis.1" localSheetId="0" hidden="1">{#N/A,#N/A,FALSE,"Aging Summary";#N/A,#N/A,FALSE,"Ratio Analysis";#N/A,#N/A,FALSE,"Test 120 Day Accts";#N/A,#N/A,FALSE,"Tickmarks"}</definedName>
    <definedName name="wrn.Aging._.and._.Trend._.Analysis.1" localSheetId="9" hidden="1">{#N/A,#N/A,FALSE,"Aging Summary";#N/A,#N/A,FALSE,"Ratio Analysis";#N/A,#N/A,FALSE,"Test 120 Day Accts";#N/A,#N/A,FALSE,"Tickmarks"}</definedName>
    <definedName name="wrn.Aging._.and._.Trend._.Analysis.1" localSheetId="11" hidden="1">{#N/A,#N/A,FALSE,"Aging Summary";#N/A,#N/A,FALSE,"Ratio Analysis";#N/A,#N/A,FALSE,"Test 120 Day Accts";#N/A,#N/A,FALSE,"Tickmarks"}</definedName>
    <definedName name="wrn.Aging._.and._.Trend._.Analysis.1" hidden="1">{#N/A,#N/A,FALSE,"Aging Summary";#N/A,#N/A,FALSE,"Ratio Analysis";#N/A,#N/A,FALSE,"Test 120 Day Accts";#N/A,#N/A,FALSE,"Tickmarks"}</definedName>
    <definedName name="wrn.Aging._.and._.Trend._.Analysis.1_1" localSheetId="7">{#N/A,#N/A,FALSE,"Aging Summary";#N/A,#N/A,FALSE,"Ratio Analysis";#N/A,#N/A,FALSE,"Test 120 Day Accts";#N/A,#N/A,FALSE,"Tickmarks"}</definedName>
    <definedName name="wrn.Aging._.and._.Trend._.Analysis.1_1" localSheetId="10" hidden="1">{#N/A,#N/A,FALSE,"Aging Summary";#N/A,#N/A,FALSE,"Ratio Analysis";#N/A,#N/A,FALSE,"Test 120 Day Accts";#N/A,#N/A,FALSE,"Tickmarks"}</definedName>
    <definedName name="wrn.Aging._.and._.Trend._.Analysis.1_1" localSheetId="0" hidden="1">{#N/A,#N/A,FALSE,"Aging Summary";#N/A,#N/A,FALSE,"Ratio Analysis";#N/A,#N/A,FALSE,"Test 120 Day Accts";#N/A,#N/A,FALSE,"Tickmarks"}</definedName>
    <definedName name="wrn.Aging._.and._.Trend._.Analysis.1_1" localSheetId="9" hidden="1">{#N/A,#N/A,FALSE,"Aging Summary";#N/A,#N/A,FALSE,"Ratio Analysis";#N/A,#N/A,FALSE,"Test 120 Day Accts";#N/A,#N/A,FALSE,"Tickmarks"}</definedName>
    <definedName name="wrn.Aging._.and._.Trend._.Analysis.1_1" localSheetId="11" hidden="1">{#N/A,#N/A,FALSE,"Aging Summary";#N/A,#N/A,FALSE,"Ratio Analysis";#N/A,#N/A,FALSE,"Test 120 Day Accts";#N/A,#N/A,FALSE,"Tickmarks"}</definedName>
    <definedName name="wrn.Aging._.and._.Trend._.Analysis.1_1" hidden="1">{#N/A,#N/A,FALSE,"Aging Summary";#N/A,#N/A,FALSE,"Ratio Analysis";#N/A,#N/A,FALSE,"Test 120 Day Accts";#N/A,#N/A,FALSE,"Tickmarks"}</definedName>
    <definedName name="wrn.Aging._.and._.Trend._.Analysis.1_2" localSheetId="7">{#N/A,#N/A,FALSE,"Aging Summary";#N/A,#N/A,FALSE,"Ratio Analysis";#N/A,#N/A,FALSE,"Test 120 Day Accts";#N/A,#N/A,FALSE,"Tickmarks"}</definedName>
    <definedName name="wrn.Aging._.and._.Trend._.Analysis.1_2" localSheetId="10" hidden="1">{#N/A,#N/A,FALSE,"Aging Summary";#N/A,#N/A,FALSE,"Ratio Analysis";#N/A,#N/A,FALSE,"Test 120 Day Accts";#N/A,#N/A,FALSE,"Tickmarks"}</definedName>
    <definedName name="wrn.Aging._.and._.Trend._.Analysis.1_2" localSheetId="0" hidden="1">{#N/A,#N/A,FALSE,"Aging Summary";#N/A,#N/A,FALSE,"Ratio Analysis";#N/A,#N/A,FALSE,"Test 120 Day Accts";#N/A,#N/A,FALSE,"Tickmarks"}</definedName>
    <definedName name="wrn.Aging._.and._.Trend._.Analysis.1_2" localSheetId="9" hidden="1">{#N/A,#N/A,FALSE,"Aging Summary";#N/A,#N/A,FALSE,"Ratio Analysis";#N/A,#N/A,FALSE,"Test 120 Day Accts";#N/A,#N/A,FALSE,"Tickmarks"}</definedName>
    <definedName name="wrn.Aging._.and._.Trend._.Analysis.1_2" localSheetId="11" hidden="1">{#N/A,#N/A,FALSE,"Aging Summary";#N/A,#N/A,FALSE,"Ratio Analysis";#N/A,#N/A,FALSE,"Test 120 Day Accts";#N/A,#N/A,FALSE,"Tickmarks"}</definedName>
    <definedName name="wrn.Aging._.and._.Trend._.Analysis.1_2" hidden="1">{#N/A,#N/A,FALSE,"Aging Summary";#N/A,#N/A,FALSE,"Ratio Analysis";#N/A,#N/A,FALSE,"Test 120 Day Accts";#N/A,#N/A,FALSE,"Tickmarks"}</definedName>
    <definedName name="wrn.all." localSheetId="7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9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1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gulp._.sheets.">#REF!</definedName>
    <definedName name="wrn.all._.input.">#REF!</definedName>
    <definedName name="wrn.All._.Pages.">#REF!</definedName>
    <definedName name="wrn.All._.Reports." localSheetId="7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localSheetId="10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localSheetId="0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localSheetId="9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localSheetId="11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SHEETS.">#REF!</definedName>
    <definedName name="wrn.all._1" localSheetId="7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" localSheetId="9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" localSheetId="1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7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9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1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1" localSheetId="7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_Models.">#REF!</definedName>
    <definedName name="wrn.All_Sheets.">#REF!</definedName>
    <definedName name="wrn.ALLbutPREMIUM.">#REF!</definedName>
    <definedName name="wrn.AllModels.">#REF!</definedName>
    <definedName name="wrn.allpages.">{#N/A,#N/A,TRUE,"Historicals";#N/A,#N/A,TRUE,"Charts";#N/A,#N/A,TRUE,"Forecasts"}</definedName>
    <definedName name="wrn.allsheets." localSheetId="7">{#N/A,#N/A,TRUE,"plavinas";#N/A,#N/A,TRUE,"GOSTINI";#N/A,#N/A,TRUE,"KARZERS"}</definedName>
    <definedName name="wrn.allsheets." localSheetId="10" hidden="1">{#N/A,#N/A,TRUE,"plavinas";#N/A,#N/A,TRUE,"GOSTINI";#N/A,#N/A,TRUE,"KARZERS"}</definedName>
    <definedName name="wrn.allsheets." localSheetId="0" hidden="1">{#N/A,#N/A,TRUE,"plavinas";#N/A,#N/A,TRUE,"GOSTINI";#N/A,#N/A,TRUE,"KARZERS"}</definedName>
    <definedName name="wrn.allsheets." localSheetId="9" hidden="1">{#N/A,#N/A,TRUE,"plavinas";#N/A,#N/A,TRUE,"GOSTINI";#N/A,#N/A,TRUE,"KARZERS"}</definedName>
    <definedName name="wrn.allsheets." localSheetId="11" hidden="1">{#N/A,#N/A,TRUE,"plavinas";#N/A,#N/A,TRUE,"GOSTINI";#N/A,#N/A,TRUE,"KARZERS"}</definedName>
    <definedName name="wrn.allsheets." hidden="1">{#N/A,#N/A,TRUE,"plavinas";#N/A,#N/A,TRUE,"GOSTINI";#N/A,#N/A,TRUE,"KARZERS"}</definedName>
    <definedName name="wrn.asg.">#REF!</definedName>
    <definedName name="wrn.Balance._.Sheet._.Set." localSheetId="7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Set." localSheetId="10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Set." localSheetId="0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Set." localSheetId="9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Set." localSheetId="11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SHT." localSheetId="7">{#N/A,#N/A,FALSE,"PCPL9899"}</definedName>
    <definedName name="wrn.BALSHT." localSheetId="10" hidden="1">{#N/A,#N/A,FALSE,"PCPL9899"}</definedName>
    <definedName name="wrn.BALSHT." localSheetId="0" hidden="1">{#N/A,#N/A,FALSE,"PCPL9899"}</definedName>
    <definedName name="wrn.BALSHT." localSheetId="9" hidden="1">{#N/A,#N/A,FALSE,"PCPL9899"}</definedName>
    <definedName name="wrn.BALSHT." localSheetId="11" hidden="1">{#N/A,#N/A,FALSE,"PCPL9899"}</definedName>
    <definedName name="wrn.BALSHT." hidden="1">{#N/A,#N/A,FALSE,"PCPL9899"}</definedName>
    <definedName name="wrn.BALSHT._1" localSheetId="7">{#N/A,#N/A,FALSE,"PCPL9899"}</definedName>
    <definedName name="wrn.BALSHT._1" localSheetId="10" hidden="1">{#N/A,#N/A,FALSE,"PCPL9899"}</definedName>
    <definedName name="wrn.BALSHT._1" localSheetId="0" hidden="1">{#N/A,#N/A,FALSE,"PCPL9899"}</definedName>
    <definedName name="wrn.BALSHT._1" localSheetId="9" hidden="1">{#N/A,#N/A,FALSE,"PCPL9899"}</definedName>
    <definedName name="wrn.BALSHT._1" localSheetId="11" hidden="1">{#N/A,#N/A,FALSE,"PCPL9899"}</definedName>
    <definedName name="wrn.BALSHT._1" hidden="1">{#N/A,#N/A,FALSE,"PCPL9899"}</definedName>
    <definedName name="wrn.BALSHT._2" localSheetId="7">{#N/A,#N/A,FALSE,"PCPL9899"}</definedName>
    <definedName name="wrn.BALSHT._2" localSheetId="10" hidden="1">{#N/A,#N/A,FALSE,"PCPL9899"}</definedName>
    <definedName name="wrn.BALSHT._2" localSheetId="0" hidden="1">{#N/A,#N/A,FALSE,"PCPL9899"}</definedName>
    <definedName name="wrn.BALSHT._2" localSheetId="9" hidden="1">{#N/A,#N/A,FALSE,"PCPL9899"}</definedName>
    <definedName name="wrn.BALSHT._2" localSheetId="11" hidden="1">{#N/A,#N/A,FALSE,"PCPL9899"}</definedName>
    <definedName name="wrn.BALSHT._2" hidden="1">{#N/A,#N/A,FALSE,"PCPL9899"}</definedName>
    <definedName name="wrn.Bank._.of._.America.">#REF!</definedName>
    <definedName name="wrn.basics.">#REF!</definedName>
    <definedName name="wrn.BGEN.">#REF!</definedName>
    <definedName name="wrn.BID.">#REF!</definedName>
    <definedName name="wrn.BKD.">#REF!</definedName>
    <definedName name="wrn.Book.">#REF!</definedName>
    <definedName name="wrn.BS." localSheetId="7">{#N/A,#N/A,FALSE,"PCPL9899"}</definedName>
    <definedName name="wrn.BS." localSheetId="10" hidden="1">{#N/A,#N/A,FALSE,"PCPL9899"}</definedName>
    <definedName name="wrn.BS." localSheetId="0" hidden="1">{#N/A,#N/A,FALSE,"PCPL9899"}</definedName>
    <definedName name="wrn.BS." localSheetId="9" hidden="1">{#N/A,#N/A,FALSE,"PCPL9899"}</definedName>
    <definedName name="wrn.BS." localSheetId="11" hidden="1">{#N/A,#N/A,FALSE,"PCPL9899"}</definedName>
    <definedName name="wrn.BS." hidden="1">{#N/A,#N/A,FALSE,"PCPL9899"}</definedName>
    <definedName name="wrn.BS._1" localSheetId="7">{#N/A,#N/A,FALSE,"PCPL9899"}</definedName>
    <definedName name="wrn.BS._1" localSheetId="10" hidden="1">{#N/A,#N/A,FALSE,"PCPL9899"}</definedName>
    <definedName name="wrn.BS._1" localSheetId="0" hidden="1">{#N/A,#N/A,FALSE,"PCPL9899"}</definedName>
    <definedName name="wrn.BS._1" localSheetId="9" hidden="1">{#N/A,#N/A,FALSE,"PCPL9899"}</definedName>
    <definedName name="wrn.BS._1" localSheetId="11" hidden="1">{#N/A,#N/A,FALSE,"PCPL9899"}</definedName>
    <definedName name="wrn.BS._1" hidden="1">{#N/A,#N/A,FALSE,"PCPL9899"}</definedName>
    <definedName name="wrn.BS._2" localSheetId="7">{#N/A,#N/A,FALSE,"PCPL9899"}</definedName>
    <definedName name="wrn.BS._2" localSheetId="10" hidden="1">{#N/A,#N/A,FALSE,"PCPL9899"}</definedName>
    <definedName name="wrn.BS._2" localSheetId="0" hidden="1">{#N/A,#N/A,FALSE,"PCPL9899"}</definedName>
    <definedName name="wrn.BS._2" localSheetId="9" hidden="1">{#N/A,#N/A,FALSE,"PCPL9899"}</definedName>
    <definedName name="wrn.BS._2" localSheetId="11" hidden="1">{#N/A,#N/A,FALSE,"PCPL9899"}</definedName>
    <definedName name="wrn.BS._2" hidden="1">{#N/A,#N/A,FALSE,"PCPL9899"}</definedName>
    <definedName name="wrn.BSAnnualModel.">#REF!</definedName>
    <definedName name="wrn.BUDGET.">#REF!</definedName>
    <definedName name="wrn.budgetb.">#REF!</definedName>
    <definedName name="wrn.bullshit1.">#REF!</definedName>
    <definedName name="wrn.Capital._.Plan._.Report.">#REF!</definedName>
    <definedName name="wrn.CFSModel.">#REF!</definedName>
    <definedName name="wrn.CHART.">{"CHART",#N/A,FALSE,"Arch Communications"}</definedName>
    <definedName name="wrn.Charts._.18._.pages." localSheetId="7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wrn.Charts._.18._.pages." localSheetId="10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wrn.Charts._.18._.pages." localSheetId="0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wrn.Charts._.18._.pages." localSheetId="9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wrn.Charts._.18._.pages." localSheetId="11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wrn.Charts._.18._.pages." hidden="1">{#N/A,#N/A,TRUE,"P&amp;L OL";#N/A,#N/A,TRUE,"P&amp;L Trend";#N/A,#N/A,TRUE,"P&amp;L by Acct";#N/A,#N/A,TRUE,"Global Rev";#N/A,#N/A,TRUE,"Americas Rev";#N/A,#N/A,TRUE,"EMEA Rev";#N/A,#N/A,TRUE,"Asia Rev";#N/A,#N/A,TRUE,"OCNIS_Var  Q4-Q2";#N/A,#N/A,TRUE,"OCNIS_Var Q4";#N/A,#N/A,TRUE,"SG&amp;A";#N/A,#N/A,TRUE,"R&amp;D";#N/A,#N/A,TRUE,"Other";#N/A,#N/A,TRUE,"Global P&amp;L by Portfolio ";#N/A,#N/A,TRUE,"P&amp;L by Region";#N/A,#N/A,TRUE,"Spending Q4 OL";#N/A,#N/A,TRUE,"Spending Q1 OL";#N/A,#N/A,TRUE,"Spending Q2 OL";#N/A,#N/A,TRUE,"ES Prime"}</definedName>
    <definedName name="wrn.Charts._.OLD._.Targets." localSheetId="7">{#N/A,#N/A,TRUE,"Target Summary";#N/A,#N/A,TRUE,"Q401 Target Model (P&amp;L)";#N/A,#N/A,TRUE,"Q102 Target Model (P&amp;L)";#N/A,#N/A,TRUE,"Q202 Target Model (P&amp;L)";#N/A,#N/A,TRUE,"Prime Spending Targets"}</definedName>
    <definedName name="wrn.Charts._.OLD._.Targets." localSheetId="10" hidden="1">{#N/A,#N/A,TRUE,"Target Summary";#N/A,#N/A,TRUE,"Q401 Target Model (P&amp;L)";#N/A,#N/A,TRUE,"Q102 Target Model (P&amp;L)";#N/A,#N/A,TRUE,"Q202 Target Model (P&amp;L)";#N/A,#N/A,TRUE,"Prime Spending Targets"}</definedName>
    <definedName name="wrn.Charts._.OLD._.Targets." localSheetId="0" hidden="1">{#N/A,#N/A,TRUE,"Target Summary";#N/A,#N/A,TRUE,"Q401 Target Model (P&amp;L)";#N/A,#N/A,TRUE,"Q102 Target Model (P&amp;L)";#N/A,#N/A,TRUE,"Q202 Target Model (P&amp;L)";#N/A,#N/A,TRUE,"Prime Spending Targets"}</definedName>
    <definedName name="wrn.Charts._.OLD._.Targets." localSheetId="9" hidden="1">{#N/A,#N/A,TRUE,"Target Summary";#N/A,#N/A,TRUE,"Q401 Target Model (P&amp;L)";#N/A,#N/A,TRUE,"Q102 Target Model (P&amp;L)";#N/A,#N/A,TRUE,"Q202 Target Model (P&amp;L)";#N/A,#N/A,TRUE,"Prime Spending Targets"}</definedName>
    <definedName name="wrn.Charts._.OLD._.Targets." localSheetId="11" hidden="1">{#N/A,#N/A,TRUE,"Target Summary";#N/A,#N/A,TRUE,"Q401 Target Model (P&amp;L)";#N/A,#N/A,TRUE,"Q102 Target Model (P&amp;L)";#N/A,#N/A,TRUE,"Q202 Target Model (P&amp;L)";#N/A,#N/A,TRUE,"Prime Spending Targets"}</definedName>
    <definedName name="wrn.Charts._.OLD._.Targets." hidden="1">{#N/A,#N/A,TRUE,"Target Summary";#N/A,#N/A,TRUE,"Q401 Target Model (P&amp;L)";#N/A,#N/A,TRUE,"Q102 Target Model (P&amp;L)";#N/A,#N/A,TRUE,"Q202 Target Model (P&amp;L)";#N/A,#N/A,TRUE,"Prime Spending Targets"}</definedName>
    <definedName name="wrn.Charts._.Targets." localSheetId="7">{#N/A,#N/A,TRUE,"Q102 Target";#N/A,#N/A,TRUE,"Q202 Target";#N/A,#N/A,TRUE,"Global Rev Growth";#N/A,#N/A,TRUE,"Americas Rev Growth";#N/A,#N/A,TRUE,"EMEA Rev Growth";#N/A,#N/A,TRUE,"Asia Rev Growth";#N/A,#N/A,TRUE,"Global Rev Trend";#N/A,#N/A,TRUE,"Americas Rev Trend";#N/A,#N/A,TRUE,"EMEA Rev Trend";#N/A,#N/A,TRUE,"Asia Rev Trend";#N/A,#N/A,TRUE,"BN Trend";#N/A,#N/A,TRUE,"P&amp;L Detail - BN";#N/A,#N/A,TRUE,"Qtr Change - BN";#N/A,#N/A,TRUE,"BN Q102 Targets by Prime";#N/A,#N/A,TRUE,"BN Q202 Targets by Prime";#N/A,#N/A,TRUE,"BN Prime Targets";#N/A,#N/A,TRUE,"LPS Trend";#N/A,#N/A,TRUE,"P&amp;L Detail - LPS";#N/A,#N/A,TRUE,"Qtr Change - LPS";#N/A,#N/A,TRUE,"LPS Q102 Targets by Prime";#N/A,#N/A,TRUE,"LPS Q202 Targets by Prime";#N/A,#N/A,TRUE,"LPS Prime Targets";#N/A,#N/A,TRUE,"PORT Trend";#N/A,#N/A,TRUE,"P&amp;L Detail - PORT";#N/A,#N/A,TRUE,"Qtr Change - PORT";#N/A,#N/A,TRUE,"PORT Q102 Targets by Prime";#N/A,#N/A,TRUE,"PORT Q202 Targets by Prime";#N/A,#N/A,TRUE,"PORT Prime Targets";#N/A,#N/A,TRUE,"SERV Trend";#N/A,#N/A,TRUE,"P&amp;L Detail - SERV";#N/A,#N/A,TRUE,"Qtr Change - SERV";#N/A,#N/A,TRUE,"SERV Q102 Targets by Prime";#N/A,#N/A,TRUE,"SERV Q202 Targets by Prime";#N/A,#N/A,TRUE,"SERV Prime Targets"}</definedName>
    <definedName name="wrn.Charts._.Targets." localSheetId="10" hidden="1">{#N/A,#N/A,TRUE,"Q102 Target";#N/A,#N/A,TRUE,"Q202 Target";#N/A,#N/A,TRUE,"Global Rev Growth";#N/A,#N/A,TRUE,"Americas Rev Growth";#N/A,#N/A,TRUE,"EMEA Rev Growth";#N/A,#N/A,TRUE,"Asia Rev Growth";#N/A,#N/A,TRUE,"Global Rev Trend";#N/A,#N/A,TRUE,"Americas Rev Trend";#N/A,#N/A,TRUE,"EMEA Rev Trend";#N/A,#N/A,TRUE,"Asia Rev Trend";#N/A,#N/A,TRUE,"BN Trend";#N/A,#N/A,TRUE,"P&amp;L Detail - BN";#N/A,#N/A,TRUE,"Qtr Change - BN";#N/A,#N/A,TRUE,"BN Q102 Targets by Prime";#N/A,#N/A,TRUE,"BN Q202 Targets by Prime";#N/A,#N/A,TRUE,"BN Prime Targets";#N/A,#N/A,TRUE,"LPS Trend";#N/A,#N/A,TRUE,"P&amp;L Detail - LPS";#N/A,#N/A,TRUE,"Qtr Change - LPS";#N/A,#N/A,TRUE,"LPS Q102 Targets by Prime";#N/A,#N/A,TRUE,"LPS Q202 Targets by Prime";#N/A,#N/A,TRUE,"LPS Prime Targets";#N/A,#N/A,TRUE,"PORT Trend";#N/A,#N/A,TRUE,"P&amp;L Detail - PORT";#N/A,#N/A,TRUE,"Qtr Change - PORT";#N/A,#N/A,TRUE,"PORT Q102 Targets by Prime";#N/A,#N/A,TRUE,"PORT Q202 Targets by Prime";#N/A,#N/A,TRUE,"PORT Prime Targets";#N/A,#N/A,TRUE,"SERV Trend";#N/A,#N/A,TRUE,"P&amp;L Detail - SERV";#N/A,#N/A,TRUE,"Qtr Change - SERV";#N/A,#N/A,TRUE,"SERV Q102 Targets by Prime";#N/A,#N/A,TRUE,"SERV Q202 Targets by Prime";#N/A,#N/A,TRUE,"SERV Prime Targets"}</definedName>
    <definedName name="wrn.Charts._.Targets." localSheetId="0" hidden="1">{#N/A,#N/A,TRUE,"Q102 Target";#N/A,#N/A,TRUE,"Q202 Target";#N/A,#N/A,TRUE,"Global Rev Growth";#N/A,#N/A,TRUE,"Americas Rev Growth";#N/A,#N/A,TRUE,"EMEA Rev Growth";#N/A,#N/A,TRUE,"Asia Rev Growth";#N/A,#N/A,TRUE,"Global Rev Trend";#N/A,#N/A,TRUE,"Americas Rev Trend";#N/A,#N/A,TRUE,"EMEA Rev Trend";#N/A,#N/A,TRUE,"Asia Rev Trend";#N/A,#N/A,TRUE,"BN Trend";#N/A,#N/A,TRUE,"P&amp;L Detail - BN";#N/A,#N/A,TRUE,"Qtr Change - BN";#N/A,#N/A,TRUE,"BN Q102 Targets by Prime";#N/A,#N/A,TRUE,"BN Q202 Targets by Prime";#N/A,#N/A,TRUE,"BN Prime Targets";#N/A,#N/A,TRUE,"LPS Trend";#N/A,#N/A,TRUE,"P&amp;L Detail - LPS";#N/A,#N/A,TRUE,"Qtr Change - LPS";#N/A,#N/A,TRUE,"LPS Q102 Targets by Prime";#N/A,#N/A,TRUE,"LPS Q202 Targets by Prime";#N/A,#N/A,TRUE,"LPS Prime Targets";#N/A,#N/A,TRUE,"PORT Trend";#N/A,#N/A,TRUE,"P&amp;L Detail - PORT";#N/A,#N/A,TRUE,"Qtr Change - PORT";#N/A,#N/A,TRUE,"PORT Q102 Targets by Prime";#N/A,#N/A,TRUE,"PORT Q202 Targets by Prime";#N/A,#N/A,TRUE,"PORT Prime Targets";#N/A,#N/A,TRUE,"SERV Trend";#N/A,#N/A,TRUE,"P&amp;L Detail - SERV";#N/A,#N/A,TRUE,"Qtr Change - SERV";#N/A,#N/A,TRUE,"SERV Q102 Targets by Prime";#N/A,#N/A,TRUE,"SERV Q202 Targets by Prime";#N/A,#N/A,TRUE,"SERV Prime Targets"}</definedName>
    <definedName name="wrn.Charts._.Targets." localSheetId="9" hidden="1">{#N/A,#N/A,TRUE,"Q102 Target";#N/A,#N/A,TRUE,"Q202 Target";#N/A,#N/A,TRUE,"Global Rev Growth";#N/A,#N/A,TRUE,"Americas Rev Growth";#N/A,#N/A,TRUE,"EMEA Rev Growth";#N/A,#N/A,TRUE,"Asia Rev Growth";#N/A,#N/A,TRUE,"Global Rev Trend";#N/A,#N/A,TRUE,"Americas Rev Trend";#N/A,#N/A,TRUE,"EMEA Rev Trend";#N/A,#N/A,TRUE,"Asia Rev Trend";#N/A,#N/A,TRUE,"BN Trend";#N/A,#N/A,TRUE,"P&amp;L Detail - BN";#N/A,#N/A,TRUE,"Qtr Change - BN";#N/A,#N/A,TRUE,"BN Q102 Targets by Prime";#N/A,#N/A,TRUE,"BN Q202 Targets by Prime";#N/A,#N/A,TRUE,"BN Prime Targets";#N/A,#N/A,TRUE,"LPS Trend";#N/A,#N/A,TRUE,"P&amp;L Detail - LPS";#N/A,#N/A,TRUE,"Qtr Change - LPS";#N/A,#N/A,TRUE,"LPS Q102 Targets by Prime";#N/A,#N/A,TRUE,"LPS Q202 Targets by Prime";#N/A,#N/A,TRUE,"LPS Prime Targets";#N/A,#N/A,TRUE,"PORT Trend";#N/A,#N/A,TRUE,"P&amp;L Detail - PORT";#N/A,#N/A,TRUE,"Qtr Change - PORT";#N/A,#N/A,TRUE,"PORT Q102 Targets by Prime";#N/A,#N/A,TRUE,"PORT Q202 Targets by Prime";#N/A,#N/A,TRUE,"PORT Prime Targets";#N/A,#N/A,TRUE,"SERV Trend";#N/A,#N/A,TRUE,"P&amp;L Detail - SERV";#N/A,#N/A,TRUE,"Qtr Change - SERV";#N/A,#N/A,TRUE,"SERV Q102 Targets by Prime";#N/A,#N/A,TRUE,"SERV Q202 Targets by Prime";#N/A,#N/A,TRUE,"SERV Prime Targets"}</definedName>
    <definedName name="wrn.Charts._.Targets." localSheetId="11" hidden="1">{#N/A,#N/A,TRUE,"Q102 Target";#N/A,#N/A,TRUE,"Q202 Target";#N/A,#N/A,TRUE,"Global Rev Growth";#N/A,#N/A,TRUE,"Americas Rev Growth";#N/A,#N/A,TRUE,"EMEA Rev Growth";#N/A,#N/A,TRUE,"Asia Rev Growth";#N/A,#N/A,TRUE,"Global Rev Trend";#N/A,#N/A,TRUE,"Americas Rev Trend";#N/A,#N/A,TRUE,"EMEA Rev Trend";#N/A,#N/A,TRUE,"Asia Rev Trend";#N/A,#N/A,TRUE,"BN Trend";#N/A,#N/A,TRUE,"P&amp;L Detail - BN";#N/A,#N/A,TRUE,"Qtr Change - BN";#N/A,#N/A,TRUE,"BN Q102 Targets by Prime";#N/A,#N/A,TRUE,"BN Q202 Targets by Prime";#N/A,#N/A,TRUE,"BN Prime Targets";#N/A,#N/A,TRUE,"LPS Trend";#N/A,#N/A,TRUE,"P&amp;L Detail - LPS";#N/A,#N/A,TRUE,"Qtr Change - LPS";#N/A,#N/A,TRUE,"LPS Q102 Targets by Prime";#N/A,#N/A,TRUE,"LPS Q202 Targets by Prime";#N/A,#N/A,TRUE,"LPS Prime Targets";#N/A,#N/A,TRUE,"PORT Trend";#N/A,#N/A,TRUE,"P&amp;L Detail - PORT";#N/A,#N/A,TRUE,"Qtr Change - PORT";#N/A,#N/A,TRUE,"PORT Q102 Targets by Prime";#N/A,#N/A,TRUE,"PORT Q202 Targets by Prime";#N/A,#N/A,TRUE,"PORT Prime Targets";#N/A,#N/A,TRUE,"SERV Trend";#N/A,#N/A,TRUE,"P&amp;L Detail - SERV";#N/A,#N/A,TRUE,"Qtr Change - SERV";#N/A,#N/A,TRUE,"SERV Q102 Targets by Prime";#N/A,#N/A,TRUE,"SERV Q202 Targets by Prime";#N/A,#N/A,TRUE,"SERV Prime Targets"}</definedName>
    <definedName name="wrn.Charts._.Targets." hidden="1">{#N/A,#N/A,TRUE,"Q102 Target";#N/A,#N/A,TRUE,"Q202 Target";#N/A,#N/A,TRUE,"Global Rev Growth";#N/A,#N/A,TRUE,"Americas Rev Growth";#N/A,#N/A,TRUE,"EMEA Rev Growth";#N/A,#N/A,TRUE,"Asia Rev Growth";#N/A,#N/A,TRUE,"Global Rev Trend";#N/A,#N/A,TRUE,"Americas Rev Trend";#N/A,#N/A,TRUE,"EMEA Rev Trend";#N/A,#N/A,TRUE,"Asia Rev Trend";#N/A,#N/A,TRUE,"BN Trend";#N/A,#N/A,TRUE,"P&amp;L Detail - BN";#N/A,#N/A,TRUE,"Qtr Change - BN";#N/A,#N/A,TRUE,"BN Q102 Targets by Prime";#N/A,#N/A,TRUE,"BN Q202 Targets by Prime";#N/A,#N/A,TRUE,"BN Prime Targets";#N/A,#N/A,TRUE,"LPS Trend";#N/A,#N/A,TRUE,"P&amp;L Detail - LPS";#N/A,#N/A,TRUE,"Qtr Change - LPS";#N/A,#N/A,TRUE,"LPS Q102 Targets by Prime";#N/A,#N/A,TRUE,"LPS Q202 Targets by Prime";#N/A,#N/A,TRUE,"LPS Prime Targets";#N/A,#N/A,TRUE,"PORT Trend";#N/A,#N/A,TRUE,"P&amp;L Detail - PORT";#N/A,#N/A,TRUE,"Qtr Change - PORT";#N/A,#N/A,TRUE,"PORT Q102 Targets by Prime";#N/A,#N/A,TRUE,"PORT Q202 Targets by Prime";#N/A,#N/A,TRUE,"PORT Prime Targets";#N/A,#N/A,TRUE,"SERV Trend";#N/A,#N/A,TRUE,"P&amp;L Detail - SERV";#N/A,#N/A,TRUE,"Qtr Change - SERV";#N/A,#N/A,TRUE,"SERV Q102 Targets by Prime";#N/A,#N/A,TRUE,"SERV Q202 Targets by Prime";#N/A,#N/A,TRUE,"SERV Prime Targets"}</definedName>
    <definedName name="wrn.client.">#REF!</definedName>
    <definedName name="wrn.Client3.">#REF!</definedName>
    <definedName name="wrn.client4.">#REF!</definedName>
    <definedName name="wrn.clientcopy.">#REF!</definedName>
    <definedName name="wrn.clientcopy1.">#REF!</definedName>
    <definedName name="wrn.clientcopy2.">#REF!</definedName>
    <definedName name="wrn.clientcopy3.">#REF!</definedName>
    <definedName name="wrn.cns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BINED.">#REF!</definedName>
    <definedName name="wrn.Complete.">#REF!</definedName>
    <definedName name="wrn.Complete._.Set.">#REF!</definedName>
    <definedName name="wrn.Computation._.3CD._.Details." localSheetId="7">{"Computation Tax",#N/A,FALSE,"43B";"Dep I.Tax",#N/A,FALSE,"43B";"I Tax Losses",#N/A,FALSE,"43B";"Annex-III 3CD",#N/A,FALSE,"43B";"Cash Payments",#N/A,FALSE,"43B";"43B",#N/A,FALSE,"43B"}</definedName>
    <definedName name="wrn.Computation._.3CD._.Details." localSheetId="10" hidden="1">{"Computation Tax",#N/A,FALSE,"43B";"Dep I.Tax",#N/A,FALSE,"43B";"I Tax Losses",#N/A,FALSE,"43B";"Annex-III 3CD",#N/A,FALSE,"43B";"Cash Payments",#N/A,FALSE,"43B";"43B",#N/A,FALSE,"43B"}</definedName>
    <definedName name="wrn.Computation._.3CD._.Details." localSheetId="0" hidden="1">{"Computation Tax",#N/A,FALSE,"43B";"Dep I.Tax",#N/A,FALSE,"43B";"I Tax Losses",#N/A,FALSE,"43B";"Annex-III 3CD",#N/A,FALSE,"43B";"Cash Payments",#N/A,FALSE,"43B";"43B",#N/A,FALSE,"43B"}</definedName>
    <definedName name="wrn.Computation._.3CD._.Details." localSheetId="9" hidden="1">{"Computation Tax",#N/A,FALSE,"43B";"Dep I.Tax",#N/A,FALSE,"43B";"I Tax Losses",#N/A,FALSE,"43B";"Annex-III 3CD",#N/A,FALSE,"43B";"Cash Payments",#N/A,FALSE,"43B";"43B",#N/A,FALSE,"43B"}</definedName>
    <definedName name="wrn.Computation._.3CD._.Details." localSheetId="11" hidden="1">{"Computation Tax",#N/A,FALSE,"43B";"Dep I.Tax",#N/A,FALSE,"43B";"I Tax Losses",#N/A,FALSE,"43B";"Annex-III 3CD",#N/A,FALSE,"43B";"Cash Payments",#N/A,FALSE,"43B";"43B",#N/A,FALSE,"43B"}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TRACT._.WIP._.1997.">#REF!</definedName>
    <definedName name="wrn.dcf.">#REF!</definedName>
    <definedName name="wrn.DCF._.Valuation.">#REF!</definedName>
    <definedName name="wrn.Development._.Hours.">#REF!</definedName>
    <definedName name="wrn.DG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jall.">#REF!</definedName>
    <definedName name="wrn.Drawing._.and._.Homo.result.">#REF!</definedName>
    <definedName name="wrn.Earnings._.Model.">#REF!</definedName>
    <definedName name="wrn.ebitda.">#REF!</definedName>
    <definedName name="wrn.ebitda2">#REF!</definedName>
    <definedName name="wrn.ecpall.">#REF!</definedName>
    <definedName name="wrn.Everything.">#REF!</definedName>
    <definedName name="wrn.F97._.Plan._.D362." localSheetId="7">{#N/A,#N/A,FALSE,"Expenses";#N/A,#N/A,FALSE,"Payroll";#N/A,#N/A,FALSE,"Travel"}</definedName>
    <definedName name="wrn.F97._.Plan._.D362." localSheetId="10" hidden="1">{#N/A,#N/A,FALSE,"Expenses";#N/A,#N/A,FALSE,"Payroll";#N/A,#N/A,FALSE,"Travel"}</definedName>
    <definedName name="wrn.F97._.Plan._.D362." localSheetId="0" hidden="1">{#N/A,#N/A,FALSE,"Expenses";#N/A,#N/A,FALSE,"Payroll";#N/A,#N/A,FALSE,"Travel"}</definedName>
    <definedName name="wrn.F97._.Plan._.D362." localSheetId="9" hidden="1">{#N/A,#N/A,FALSE,"Expenses";#N/A,#N/A,FALSE,"Payroll";#N/A,#N/A,FALSE,"Travel"}</definedName>
    <definedName name="wrn.F97._.Plan._.D362." localSheetId="11" hidden="1">{#N/A,#N/A,FALSE,"Expenses";#N/A,#N/A,FALSE,"Payroll";#N/A,#N/A,FALSE,"Travel"}</definedName>
    <definedName name="wrn.F97._.Plan._.D362." hidden="1">{#N/A,#N/A,FALSE,"Expenses";#N/A,#N/A,FALSE,"Payroll";#N/A,#N/A,FALSE,"Travel"}</definedName>
    <definedName name="wrn.fc." localSheetId="7">{"letter",#N/A,FALSE,"Letter";"amort",#N/A,FALSE,"Amort"}</definedName>
    <definedName name="wrn.fc." localSheetId="10" hidden="1">{"letter",#N/A,FALSE,"Letter";"amort",#N/A,FALSE,"Amort"}</definedName>
    <definedName name="wrn.fc." localSheetId="0" hidden="1">{"letter",#N/A,FALSE,"Letter";"amort",#N/A,FALSE,"Amort"}</definedName>
    <definedName name="wrn.fc." localSheetId="9" hidden="1">{"letter",#N/A,FALSE,"Letter";"amort",#N/A,FALSE,"Amort"}</definedName>
    <definedName name="wrn.fc." localSheetId="11" hidden="1">{"letter",#N/A,FALSE,"Letter";"amort",#N/A,FALSE,"Amort"}</definedName>
    <definedName name="wrn.fc." hidden="1">{"letter",#N/A,FALSE,"Letter";"amort",#N/A,FALSE,"Amort"}</definedName>
    <definedName name="wrn.FCB.">#REF!</definedName>
    <definedName name="wrn.fcb2">#REF!</definedName>
    <definedName name="wrn.fcopy2">#REF!</definedName>
    <definedName name="wrn.filecopy.">#REF!</definedName>
    <definedName name="wrn.filecopy1.">#REF!</definedName>
    <definedName name="wrn.filecopy2.">#REF!</definedName>
    <definedName name="wrn.Filter.">#REF!</definedName>
    <definedName name="wrn.fin">#REF!</definedName>
    <definedName name="wrn.FIN97.">#REF!</definedName>
    <definedName name="wrn.Financial.">#REF!</definedName>
    <definedName name="wrn.Financials.">#REF!</definedName>
    <definedName name="wrn.first2.">#REF!</definedName>
    <definedName name="wrn.first3.">#REF!</definedName>
    <definedName name="wrn.first4.">#REF!</definedName>
    <definedName name="wrn.Fixed._.Assets." localSheetId="7">{"Sch c",#N/A,FALSE,"Accounts"}</definedName>
    <definedName name="wrn.Fixed._.Assets." localSheetId="10" hidden="1">{"Sch c",#N/A,FALSE,"Accounts"}</definedName>
    <definedName name="wrn.Fixed._.Assets." localSheetId="0" hidden="1">{"Sch c",#N/A,FALSE,"Accounts"}</definedName>
    <definedName name="wrn.Fixed._.Assets." localSheetId="9" hidden="1">{"Sch c",#N/A,FALSE,"Accounts"}</definedName>
    <definedName name="wrn.Fixed._.Assets." localSheetId="11" hidden="1">{"Sch c",#N/A,FALSE,"Accounts"}</definedName>
    <definedName name="wrn.Fixed._.Assets." hidden="1">{"Sch c",#N/A,FALSE,"Accounts"}</definedName>
    <definedName name="wrn.Fixed._.Assets._1" localSheetId="7">{"Sch c",#N/A,FALSE,"Accounts"}</definedName>
    <definedName name="wrn.Fixed._.Assets._1" localSheetId="10" hidden="1">{"Sch c",#N/A,FALSE,"Accounts"}</definedName>
    <definedName name="wrn.Fixed._.Assets._1" localSheetId="0" hidden="1">{"Sch c",#N/A,FALSE,"Accounts"}</definedName>
    <definedName name="wrn.Fixed._.Assets._1" localSheetId="9" hidden="1">{"Sch c",#N/A,FALSE,"Accounts"}</definedName>
    <definedName name="wrn.Fixed._.Assets._1" localSheetId="11" hidden="1">{"Sch c",#N/A,FALSE,"Accounts"}</definedName>
    <definedName name="wrn.Fixed._.Assets._1" hidden="1">{"Sch c",#N/A,FALSE,"Accounts"}</definedName>
    <definedName name="wrn.Fixed._.Assets._2" localSheetId="7">{"Sch c",#N/A,FALSE,"Accounts"}</definedName>
    <definedName name="wrn.Fixed._.Assets._2" localSheetId="10" hidden="1">{"Sch c",#N/A,FALSE,"Accounts"}</definedName>
    <definedName name="wrn.Fixed._.Assets._2" localSheetId="0" hidden="1">{"Sch c",#N/A,FALSE,"Accounts"}</definedName>
    <definedName name="wrn.Fixed._.Assets._2" localSheetId="9" hidden="1">{"Sch c",#N/A,FALSE,"Accounts"}</definedName>
    <definedName name="wrn.Fixed._.Assets._2" localSheetId="11" hidden="1">{"Sch c",#N/A,FALSE,"Accounts"}</definedName>
    <definedName name="wrn.Fixed._.Assets._2" hidden="1">{"Sch c",#N/A,FALSE,"Accounts"}</definedName>
    <definedName name="wrn.FORM1." localSheetId="7">{#N/A,#N/A,FALSE,"COMP"}</definedName>
    <definedName name="wrn.FORM1." localSheetId="10" hidden="1">{#N/A,#N/A,FALSE,"COMP"}</definedName>
    <definedName name="wrn.FORM1." localSheetId="0" hidden="1">{#N/A,#N/A,FALSE,"COMP"}</definedName>
    <definedName name="wrn.FORM1." localSheetId="9" hidden="1">{#N/A,#N/A,FALSE,"COMP"}</definedName>
    <definedName name="wrn.FORM1." localSheetId="11" hidden="1">{#N/A,#N/A,FALSE,"COMP"}</definedName>
    <definedName name="wrn.FORM1." hidden="1">{#N/A,#N/A,FALSE,"COMP"}</definedName>
    <definedName name="wrn.Freq_Res.">{#N/A,#N/A,TRUE,"FR_HC";#N/A,#N/A,TRUE,"FR_REST";#N/A,#N/A,TRUE,"FR_RETA";#N/A,#N/A,TRUE,"FR_TECSOF";#N/A,#N/A,TRUE,"FR_NETTEC";#N/A,#N/A,TRUE,"FR_CLISER"}</definedName>
    <definedName name="wrn.FTS.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._.Set." localSheetId="7">{"Bsheet",#N/A,FALSE,"Bsheet";"Schedule",#N/A,FALSE,"Bsheet";"Notes",#N/A,FALSE,"Bsheet";"Abstract",#N/A,FALSE,"Bsheet";"Details",#N/A,FALSE,"Bsheet";"Stores",#N/A,FALSE,"Bsheet";"Stocks",#N/A,FALSE,"Bsheet";"Computation",#N/A,FALSE,"Bsheet";"Losses",#N/A,FALSE,"Losses"}</definedName>
    <definedName name="wrn.Ful._.Set." localSheetId="10" hidden="1">{"Bsheet",#N/A,FALSE,"Bsheet";"Schedule",#N/A,FALSE,"Bsheet";"Notes",#N/A,FALSE,"Bsheet";"Abstract",#N/A,FALSE,"Bsheet";"Details",#N/A,FALSE,"Bsheet";"Stores",#N/A,FALSE,"Bsheet";"Stocks",#N/A,FALSE,"Bsheet";"Computation",#N/A,FALSE,"Bsheet";"Losses",#N/A,FALSE,"Losses"}</definedName>
    <definedName name="wrn.Ful._.Set." localSheetId="0" hidden="1">{"Bsheet",#N/A,FALSE,"Bsheet";"Schedule",#N/A,FALSE,"Bsheet";"Notes",#N/A,FALSE,"Bsheet";"Abstract",#N/A,FALSE,"Bsheet";"Details",#N/A,FALSE,"Bsheet";"Stores",#N/A,FALSE,"Bsheet";"Stocks",#N/A,FALSE,"Bsheet";"Computation",#N/A,FALSE,"Bsheet";"Losses",#N/A,FALSE,"Losses"}</definedName>
    <definedName name="wrn.Ful._.Set." localSheetId="9" hidden="1">{"Bsheet",#N/A,FALSE,"Bsheet";"Schedule",#N/A,FALSE,"Bsheet";"Notes",#N/A,FALSE,"Bsheet";"Abstract",#N/A,FALSE,"Bsheet";"Details",#N/A,FALSE,"Bsheet";"Stores",#N/A,FALSE,"Bsheet";"Stocks",#N/A,FALSE,"Bsheet";"Computation",#N/A,FALSE,"Bsheet";"Losses",#N/A,FALSE,"Losses"}</definedName>
    <definedName name="wrn.Ful._.Set." localSheetId="11" hidden="1">{"Bsheet",#N/A,FALSE,"Bsheet";"Schedule",#N/A,FALSE,"Bsheet";"Notes",#N/A,FALSE,"Bsheet";"Abstract",#N/A,FALSE,"Bsheet";"Details",#N/A,FALSE,"Bsheet";"Stores",#N/A,FALSE,"Bsheet";"Stocks",#N/A,FALSE,"Bsheet";"Computation",#N/A,FALSE,"Bsheet";"Losses",#N/A,FALSE,"Losses"}</definedName>
    <definedName name="wrn.Ful._.Set." hidden="1">{"Bsheet",#N/A,FALSE,"Bsheet";"Schedule",#N/A,FALSE,"Bsheet";"Notes",#N/A,FALSE,"Bsheet";"Abstract",#N/A,FALSE,"Bsheet";"Details",#N/A,FALSE,"Bsheet";"Stores",#N/A,FALSE,"Bsheet";"Stocks",#N/A,FALSE,"Bsheet";"Computation",#N/A,FALSE,"Bsheet";"Losses",#N/A,FALSE,"Losses"}</definedName>
    <definedName name="wrn.Full._.Financials." localSheetId="7">{#N/A,#N/A,TRUE,"Financials";#N/A,#N/A,TRUE,"Operating Statistics";#N/A,#N/A,TRUE,"Capex &amp; Depreciation";#N/A,#N/A,TRUE,"Debt"}</definedName>
    <definedName name="wrn.Full._.Financials." localSheetId="10" hidden="1">{#N/A,#N/A,TRUE,"Financials";#N/A,#N/A,TRUE,"Operating Statistics";#N/A,#N/A,TRUE,"Capex &amp; Depreciation";#N/A,#N/A,TRUE,"Debt"}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localSheetId="9" hidden="1">{#N/A,#N/A,TRUE,"Financials";#N/A,#N/A,TRUE,"Operating Statistics";#N/A,#N/A,TRUE,"Capex &amp; Depreciation";#N/A,#N/A,TRUE,"Debt"}</definedName>
    <definedName name="wrn.Full._.Financials." localSheetId="11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Full._.Model.">#REF!</definedName>
    <definedName name="wrn.Full._.report.">#REF!</definedName>
    <definedName name="wrn.Full._.set." localSheetId="7">{"Bsheet",#N/A,FALSE,"Bsheet";"P&amp;L",#N/A,FALSE,"Bsheet";"Trading",#N/A,FALSE,"Bsheet";"Schedule",#N/A,FALSE,"Bsheet";"Details",#N/A,FALSE,"Bsheet";"AnnexureII",#N/A,FALSE,"Bsheet"}</definedName>
    <definedName name="wrn.Full._.set." localSheetId="10" hidden="1">{"Bsheet",#N/A,FALSE,"Bsheet";"P&amp;L",#N/A,FALSE,"Bsheet";"Trading",#N/A,FALSE,"Bsheet";"Schedule",#N/A,FALSE,"Bsheet";"Details",#N/A,FALSE,"Bsheet";"AnnexureII",#N/A,FALSE,"Bsheet"}</definedName>
    <definedName name="wrn.Full._.set." localSheetId="0" hidden="1">{"Bsheet",#N/A,FALSE,"Bsheet";"P&amp;L",#N/A,FALSE,"Bsheet";"Trading",#N/A,FALSE,"Bsheet";"Schedule",#N/A,FALSE,"Bsheet";"Details",#N/A,FALSE,"Bsheet";"AnnexureII",#N/A,FALSE,"Bsheet"}</definedName>
    <definedName name="wrn.Full._.set." localSheetId="9" hidden="1">{"Bsheet",#N/A,FALSE,"Bsheet";"P&amp;L",#N/A,FALSE,"Bsheet";"Trading",#N/A,FALSE,"Bsheet";"Schedule",#N/A,FALSE,"Bsheet";"Details",#N/A,FALSE,"Bsheet";"AnnexureII",#N/A,FALSE,"Bsheet"}</definedName>
    <definedName name="wrn.Full._.set." localSheetId="11" hidden="1">{"Bsheet",#N/A,FALSE,"Bsheet";"P&amp;L",#N/A,FALSE,"Bsheet";"Trading",#N/A,FALSE,"Bsheet";"Schedule",#N/A,FALSE,"Bsheet";"Details",#N/A,FALSE,"Bsheet";"AnnexureII",#N/A,FALSE,"Bsheet"}</definedName>
    <definedName name="wrn.Full._.set." hidden="1">{"Bsheet",#N/A,FALSE,"Bsheet";"P&amp;L",#N/A,FALSE,"Bsheet";"Trading",#N/A,FALSE,"Bsheet";"Schedule",#N/A,FALSE,"Bsheet";"Details",#N/A,FALSE,"Bsheet";"AnnexureII",#N/A,FALSE,"Bsheet"}</definedName>
    <definedName name="wrn.Full._.view." localSheetId="7">{"Full view",#N/A,FALSE,"Market view";"Full view",#N/A,FALSE,"Market view"}</definedName>
    <definedName name="wrn.Full._.view." localSheetId="10" hidden="1">{"Full view",#N/A,FALSE,"Market view";"Full view",#N/A,FALSE,"Market view"}</definedName>
    <definedName name="wrn.Full._.view." localSheetId="0" hidden="1">{"Full view",#N/A,FALSE,"Market view";"Full view",#N/A,FALSE,"Market view"}</definedName>
    <definedName name="wrn.Full._.view." localSheetId="9" hidden="1">{"Full view",#N/A,FALSE,"Market view";"Full view",#N/A,FALSE,"Market view"}</definedName>
    <definedName name="wrn.Full._.view." localSheetId="11" hidden="1">{"Full view",#N/A,FALSE,"Market view";"Full view",#N/A,FALSE,"Market view"}</definedName>
    <definedName name="wrn.Full._.view." hidden="1">{"Full view",#N/A,FALSE,"Market view";"Full view",#N/A,FALSE,"Market view"}</definedName>
    <definedName name="wrn.Full._.Workbook._.Report.">#REF!</definedName>
    <definedName name="wrn.full.fin.1" localSheetId="7">{#N/A,#N/A,TRUE,"Financials";#N/A,#N/A,TRUE,"Operating Statistics";#N/A,#N/A,TRUE,"Capex &amp; Depreciation";#N/A,#N/A,TRUE,"Debt"}</definedName>
    <definedName name="wrn.full.fin.1" localSheetId="10" hidden="1">{#N/A,#N/A,TRUE,"Financials";#N/A,#N/A,TRUE,"Operating Statistics";#N/A,#N/A,TRUE,"Capex &amp; Depreciation";#N/A,#N/A,TRUE,"Debt"}</definedName>
    <definedName name="wrn.full.fin.1" localSheetId="0" hidden="1">{#N/A,#N/A,TRUE,"Financials";#N/A,#N/A,TRUE,"Operating Statistics";#N/A,#N/A,TRUE,"Capex &amp; Depreciation";#N/A,#N/A,TRUE,"Debt"}</definedName>
    <definedName name="wrn.full.fin.1" localSheetId="9" hidden="1">{#N/A,#N/A,TRUE,"Financials";#N/A,#N/A,TRUE,"Operating Statistics";#N/A,#N/A,TRUE,"Capex &amp; Depreciation";#N/A,#N/A,TRUE,"Debt"}</definedName>
    <definedName name="wrn.full.fin.1" localSheetId="11" hidden="1">{#N/A,#N/A,TRUE,"Financials";#N/A,#N/A,TRUE,"Operating Statistics";#N/A,#N/A,TRUE,"Capex &amp; Depreciation";#N/A,#N/A,TRUE,"Debt"}</definedName>
    <definedName name="wrn.full.fin.1" hidden="1">{#N/A,#N/A,TRUE,"Financials";#N/A,#N/A,TRUE,"Operating Statistics";#N/A,#N/A,TRUE,"Capex &amp; Depreciation";#N/A,#N/A,TRUE,"Debt"}</definedName>
    <definedName name="wrn.FUZ_REP.">{"FUZ_INC_A",#N/A,FALSE,"NOBE";"FUZ_INC_Q",#N/A,FALSE,"NOBE";"FUZ_BAL_A",#N/A,FALSE,"NOBE";"FUZ_CASH_A",#N/A,FALSE,"NOBE";"FUZ_PROD_A",#N/A,FALSE,"NOBE"}</definedName>
    <definedName name="wrn.fuz_report.">{"fuz_inc_a",#N/A,FALSE,"BKS";"fuz_inc_q",#N/A,FALSE,"BKS";"fuz_bal_a",#N/A,FALSE,"BKS";"fuz_cash_a",#N/A,FALSE,"BKS";"fuz_prod_a",#N/A,FALSE,"BKS";"fuz_div_a",#N/A,FALSE,"BKS";"fuz_div2_a",#N/A,FALSE,"BKS"}</definedName>
    <definedName name="wrn.GCIall.">#REF!</definedName>
    <definedName name="wrn.GEER_report.">{#N/A,#N/A,FALSE,"Table_Ass.";#N/A,#N/A,FALSE,"# of cust";#N/A,#N/A,FALSE,"Res_Report";#N/A,#N/A,FALSE,"Income Statement";"Qtr Cust",#N/A,FALSE,"Qtrly Proj"}</definedName>
    <definedName name="wrn.GRAPHS.">#REF!</definedName>
    <definedName name="wrn.gth.">{#N/A,#N/A,FALSE,"Title Page";#N/A,#N/A,FALSE,"Summary Sheet"}</definedName>
    <definedName name="wrn.Headcount._.by._.month." localSheetId="7">{"Headsm Eng",#N/A,FALSE,"Eng";"Headsm Mkt",#N/A,FALSE,"Mkt";"Headsm Sales",#N/A,FALSE,"Sales";"headsm service",#N/A,FALSE,"Serv";"Headsm Mfg",#N/A,FALSE,"Mfg";"Headsm General",#N/A,FALSE,"G&amp;A"}</definedName>
    <definedName name="wrn.Headcount._.by._.month." localSheetId="10" hidden="1">{"Headsm Eng",#N/A,FALSE,"Eng";"Headsm Mkt",#N/A,FALSE,"Mkt";"Headsm Sales",#N/A,FALSE,"Sales";"headsm service",#N/A,FALSE,"Serv";"Headsm Mfg",#N/A,FALSE,"Mfg";"Headsm General",#N/A,FALSE,"G&amp;A"}</definedName>
    <definedName name="wrn.Headcount._.by._.month." localSheetId="0" hidden="1">{"Headsm Eng",#N/A,FALSE,"Eng";"Headsm Mkt",#N/A,FALSE,"Mkt";"Headsm Sales",#N/A,FALSE,"Sales";"headsm service",#N/A,FALSE,"Serv";"Headsm Mfg",#N/A,FALSE,"Mfg";"Headsm General",#N/A,FALSE,"G&amp;A"}</definedName>
    <definedName name="wrn.Headcount._.by._.month." localSheetId="9" hidden="1">{"Headsm Eng",#N/A,FALSE,"Eng";"Headsm Mkt",#N/A,FALSE,"Mkt";"Headsm Sales",#N/A,FALSE,"Sales";"headsm service",#N/A,FALSE,"Serv";"Headsm Mfg",#N/A,FALSE,"Mfg";"Headsm General",#N/A,FALSE,"G&amp;A"}</definedName>
    <definedName name="wrn.Headcount._.by._.month." localSheetId="11" hidden="1">{"Headsm Eng",#N/A,FALSE,"Eng";"Headsm Mkt",#N/A,FALSE,"Mkt";"Headsm Sales",#N/A,FALSE,"Sales";"headsm service",#N/A,FALSE,"Serv";"Headsm Mfg",#N/A,FALSE,"Mfg";"Headsm General",#N/A,FALSE,"G&amp;A"}</definedName>
    <definedName name="wrn.Headcount._.by._.month." hidden="1">{"Headsm Eng",#N/A,FALSE,"Eng";"Headsm Mkt",#N/A,FALSE,"Mkt";"Headsm Sales",#N/A,FALSE,"Sales";"headsm service",#N/A,FALSE,"Serv";"Headsm Mfg",#N/A,FALSE,"Mfg";"Headsm General",#N/A,FALSE,"G&amp;A"}</definedName>
    <definedName name="wrn.Headcount._.by._.quarter." localSheetId="7">{"Headcount by Quarter",#N/A,FALSE,"Exp";"Headsq Eng",#N/A,FALSE,"Eng";"Headsq Mkt",#N/A,FALSE,"Mkt";"Headsq Sales",#N/A,FALSE,"Sales";"Headsq Mfg",#N/A,FALSE,"Mfg";"headsq service",#N/A,FALSE,"Serv";"Headsq General",#N/A,FALSE,"G&amp;A"}</definedName>
    <definedName name="wrn.Headcount._.by._.quarter." localSheetId="10" hidden="1">{"Headcount by Quarter",#N/A,FALSE,"Exp";"Headsq Eng",#N/A,FALSE,"Eng";"Headsq Mkt",#N/A,FALSE,"Mkt";"Headsq Sales",#N/A,FALSE,"Sales";"Headsq Mfg",#N/A,FALSE,"Mfg";"headsq service",#N/A,FALSE,"Serv";"Headsq General",#N/A,FALSE,"G&amp;A"}</definedName>
    <definedName name="wrn.Headcount._.by._.quarter." localSheetId="0" hidden="1">{"Headcount by Quarter",#N/A,FALSE,"Exp";"Headsq Eng",#N/A,FALSE,"Eng";"Headsq Mkt",#N/A,FALSE,"Mkt";"Headsq Sales",#N/A,FALSE,"Sales";"Headsq Mfg",#N/A,FALSE,"Mfg";"headsq service",#N/A,FALSE,"Serv";"Headsq General",#N/A,FALSE,"G&amp;A"}</definedName>
    <definedName name="wrn.Headcount._.by._.quarter." localSheetId="9" hidden="1">{"Headcount by Quarter",#N/A,FALSE,"Exp";"Headsq Eng",#N/A,FALSE,"Eng";"Headsq Mkt",#N/A,FALSE,"Mkt";"Headsq Sales",#N/A,FALSE,"Sales";"Headsq Mfg",#N/A,FALSE,"Mfg";"headsq service",#N/A,FALSE,"Serv";"Headsq General",#N/A,FALSE,"G&amp;A"}</definedName>
    <definedName name="wrn.Headcount._.by._.quarter." localSheetId="11" hidden="1">{"Headcount by Quarter",#N/A,FALSE,"Exp";"Headsq Eng",#N/A,FALSE,"Eng";"Headsq Mkt",#N/A,FALSE,"Mkt";"Headsq Sales",#N/A,FALSE,"Sales";"Headsq Mfg",#N/A,FALSE,"Mfg";"headsq service",#N/A,FALSE,"Serv";"Headsq General",#N/A,FALSE,"G&amp;A"}</definedName>
    <definedName name="wrn.Headcount._.by._.quarter." hidden="1">{"Headcount by Quarter",#N/A,FALSE,"Exp";"Headsq Eng",#N/A,FALSE,"Eng";"Headsq Mkt",#N/A,FALSE,"Mkt";"Headsq Sales",#N/A,FALSE,"Sales";"Headsq Mfg",#N/A,FALSE,"Mfg";"headsq service",#N/A,FALSE,"Serv";"Headsq General",#N/A,FALSE,"G&amp;A"}</definedName>
    <definedName name="wrn.HEAT.">#REF!</definedName>
    <definedName name="wrn.Hydraulic.">#REF!</definedName>
    <definedName name="wrn.Hydraulic2.">#REF!</definedName>
    <definedName name="wrn.IDPH.">#REF!</definedName>
    <definedName name="wrn.imprim.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1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1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1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1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1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2" localSheetId="7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2" localSheetId="1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2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2" localSheetId="9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2" localSheetId="1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_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>#REF!</definedName>
    <definedName name="wrn.Industry.xls.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._.Print._.Area.">#REF!</definedName>
    <definedName name="wrn.ipovalue.">#REF!</definedName>
    <definedName name="wrn.ISAnnualModel.">#REF!</definedName>
    <definedName name="wrn.ISCG._.model.">#REF!</definedName>
    <definedName name="wrn.ISQtrModel.">#REF!</definedName>
    <definedName name="wrn.IVTI_Rep.">{#N/A,#N/A,FALSE,"Title Page";#N/A,#N/A,FALSE,"Summary Sheet";#N/A,#N/A,FALSE,"Fiscal Year Income Statement";#N/A,#N/A,FALSE,"Valuation Summary";#N/A,#N/A,FALSE,"Comps with IVT";#N/A,#N/A,FALSE,"Comps without IVT"}</definedName>
    <definedName name="wrn.jerrys_copy.">#REF!</definedName>
    <definedName name="wrn.K3._.Annual.">#REF!</definedName>
    <definedName name="wrn.K3._.Quarterly.">#REF!</definedName>
    <definedName name="wrn.kriall.">#REF!</definedName>
    <definedName name="wrn.Maine.">#REF!</definedName>
    <definedName name="wrn.Maine2.">#REF!</definedName>
    <definedName name="wrn.MDS1.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2" localSheetId="7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2" localSheetId="1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2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2" localSheetId="9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2" localSheetId="1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DI.">#REF!</definedName>
    <definedName name="wrn.merge.">#REF!</definedName>
    <definedName name="wrn.mhpall.">#REF!</definedName>
    <definedName name="wrn.mikes_copy.">#REF!</definedName>
    <definedName name="wrn.MOBIL.">{"quarter",#N/A,FALSE,"MOB"}</definedName>
    <definedName name="wrn.model.">#REF!</definedName>
    <definedName name="wrn.Month._.Report._.Package." localSheetId="7">{#N/A,#N/A,FALSE,"Global Wls Trend";#N/A,#N/A,FALSE,"Region Trend";#N/A,#N/A,FALSE,"PBU Trend"}</definedName>
    <definedName name="wrn.Month._.Report._.Package." localSheetId="10" hidden="1">{#N/A,#N/A,FALSE,"Global Wls Trend";#N/A,#N/A,FALSE,"Region Trend";#N/A,#N/A,FALSE,"PBU Trend"}</definedName>
    <definedName name="wrn.Month._.Report._.Package." localSheetId="0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11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Expense._.Detail._.All." localSheetId="7">{"Expensem All",#N/A,FALSE,"Exp";"Expensem Eng",#N/A,FALSE,"Eng";"Exp by Eng Proj by Month",#N/A,FALSE,"Eng";"Expensem Mkt",#N/A,FALSE,"Mkt";"Expensem Sales",#N/A,FALSE,"Sales";"Expensem Mfg",#N/A,FALSE,"Mfg";"Expensem Serv",#N/A,FALSE,"Serv";"Expensem General",#N/A,FALSE,"G&amp;A"}</definedName>
    <definedName name="wrn.Monthly._.Expense._.Detail._.All." localSheetId="10" hidden="1">{"Expensem All",#N/A,FALSE,"Exp";"Expensem Eng",#N/A,FALSE,"Eng";"Exp by Eng Proj by Month",#N/A,FALSE,"Eng";"Expensem Mkt",#N/A,FALSE,"Mkt";"Expensem Sales",#N/A,FALSE,"Sales";"Expensem Mfg",#N/A,FALSE,"Mfg";"Expensem Serv",#N/A,FALSE,"Serv";"Expensem General",#N/A,FALSE,"G&amp;A"}</definedName>
    <definedName name="wrn.Monthly._.Expense._.Detail._.All." localSheetId="0" hidden="1">{"Expensem All",#N/A,FALSE,"Exp";"Expensem Eng",#N/A,FALSE,"Eng";"Exp by Eng Proj by Month",#N/A,FALSE,"Eng";"Expensem Mkt",#N/A,FALSE,"Mkt";"Expensem Sales",#N/A,FALSE,"Sales";"Expensem Mfg",#N/A,FALSE,"Mfg";"Expensem Serv",#N/A,FALSE,"Serv";"Expensem General",#N/A,FALSE,"G&amp;A"}</definedName>
    <definedName name="wrn.Monthly._.Expense._.Detail._.All." localSheetId="9" hidden="1">{"Expensem All",#N/A,FALSE,"Exp";"Expensem Eng",#N/A,FALSE,"Eng";"Exp by Eng Proj by Month",#N/A,FALSE,"Eng";"Expensem Mkt",#N/A,FALSE,"Mkt";"Expensem Sales",#N/A,FALSE,"Sales";"Expensem Mfg",#N/A,FALSE,"Mfg";"Expensem Serv",#N/A,FALSE,"Serv";"Expensem General",#N/A,FALSE,"G&amp;A"}</definedName>
    <definedName name="wrn.Monthly._.Expense._.Detail._.All." localSheetId="11" hidden="1">{"Expensem All",#N/A,FALSE,"Exp";"Expensem Eng",#N/A,FALSE,"Eng";"Exp by Eng Proj by Month",#N/A,FALSE,"Eng";"Expensem Mkt",#N/A,FALSE,"Mkt";"Expensem Sales",#N/A,FALSE,"Sales";"Expensem Mfg",#N/A,FALSE,"Mfg";"Expensem Serv",#N/A,FALSE,"Serv";"Expensem General",#N/A,FALSE,"G&amp;A"}</definedName>
    <definedName name="wrn.Monthly._.Expense._.Detail._.All." hidden="1">{"Expensem All",#N/A,FALSE,"Exp";"Expensem Eng",#N/A,FALSE,"Eng";"Exp by Eng Proj by Month",#N/A,FALSE,"Eng";"Expensem Mkt",#N/A,FALSE,"Mkt";"Expensem Sales",#N/A,FALSE,"Sales";"Expensem Mfg",#N/A,FALSE,"Mfg";"Expensem Serv",#N/A,FALSE,"Serv";"Expensem General",#N/A,FALSE,"G&amp;A"}</definedName>
    <definedName name="wrn.Monthly._.Report._.Package." localSheetId="7">{#N/A,#N/A,FALSE,"Global by BU";#N/A,#N/A,FALSE,"U.S. by BU";#N/A,#N/A,FALSE,"Canada by BU";#N/A,#N/A,FALSE,"Europe by BU";#N/A,#N/A,FALSE,"Asia by BU";#N/A,#N/A,FALSE,"Cala by BU"}</definedName>
    <definedName name="wrn.Monthly._.Report._.Package." localSheetId="1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1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nEW." localSheetId="7">{#N/A,#N/A,FALSE,"Percentages (2)";#N/A,#N/A,FALSE,"Percentages";#N/A,#N/A,FALSE,"QCMPR95"}</definedName>
    <definedName name="wrn.nEW." localSheetId="10" hidden="1">{#N/A,#N/A,FALSE,"Percentages (2)";#N/A,#N/A,FALSE,"Percentages";#N/A,#N/A,FALSE,"QCMPR95"}</definedName>
    <definedName name="wrn.nEW." localSheetId="0" hidden="1">{#N/A,#N/A,FALSE,"Percentages (2)";#N/A,#N/A,FALSE,"Percentages";#N/A,#N/A,FALSE,"QCMPR95"}</definedName>
    <definedName name="wrn.nEW." localSheetId="9" hidden="1">{#N/A,#N/A,FALSE,"Percentages (2)";#N/A,#N/A,FALSE,"Percentages";#N/A,#N/A,FALSE,"QCMPR95"}</definedName>
    <definedName name="wrn.nEW." localSheetId="11" hidden="1">{#N/A,#N/A,FALSE,"Percentages (2)";#N/A,#N/A,FALSE,"Percentages";#N/A,#N/A,FALSE,"QCMPR95"}</definedName>
    <definedName name="wrn.nEW." hidden="1">{#N/A,#N/A,FALSE,"Percentages (2)";#N/A,#N/A,FALSE,"Percentages";#N/A,#N/A,FALSE,"QCMPR95"}</definedName>
    <definedName name="wrn.newest.">#REF!</definedName>
    <definedName name="wrn.no.1." localSheetId="7">{#N/A,#N/A,FALSE,"Const";#N/A,#N/A,FALSE,"P&amp;L";#N/A,#N/A,FALSE,"Sale"}</definedName>
    <definedName name="wrn.no.1." localSheetId="10" hidden="1">{#N/A,#N/A,FALSE,"Const";#N/A,#N/A,FALSE,"P&amp;L";#N/A,#N/A,FALSE,"Sale"}</definedName>
    <definedName name="wrn.no.1." localSheetId="0" hidden="1">{#N/A,#N/A,FALSE,"Const";#N/A,#N/A,FALSE,"P&amp;L";#N/A,#N/A,FALSE,"Sale"}</definedName>
    <definedName name="wrn.no.1." localSheetId="9" hidden="1">{#N/A,#N/A,FALSE,"Const";#N/A,#N/A,FALSE,"P&amp;L";#N/A,#N/A,FALSE,"Sale"}</definedName>
    <definedName name="wrn.no.1." localSheetId="11" hidden="1">{#N/A,#N/A,FALSE,"Const";#N/A,#N/A,FALSE,"P&amp;L";#N/A,#N/A,FALSE,"Sale"}</definedName>
    <definedName name="wrn.no.1." hidden="1">{#N/A,#N/A,FALSE,"Const";#N/A,#N/A,FALSE,"P&amp;L";#N/A,#N/A,FALSE,"Sale"}</definedName>
    <definedName name="wrn.notcomplete">#REF!</definedName>
    <definedName name="wrn.note._.on._.cif." localSheetId="7">{#N/A,#N/A,FALSE,"CIF APR'03-SEP'03 (2)"}</definedName>
    <definedName name="wrn.note._.on._.cif." localSheetId="10" hidden="1">{#N/A,#N/A,FALSE,"CIF APR'03-SEP'03 (2)"}</definedName>
    <definedName name="wrn.note._.on._.cif." localSheetId="0" hidden="1">{#N/A,#N/A,FALSE,"CIF APR'03-SEP'03 (2)"}</definedName>
    <definedName name="wrn.note._.on._.cif." localSheetId="9" hidden="1">{#N/A,#N/A,FALSE,"CIF APR'03-SEP'03 (2)"}</definedName>
    <definedName name="wrn.note._.on._.cif." localSheetId="11" hidden="1">{#N/A,#N/A,FALSE,"CIF APR'03-SEP'03 (2)"}</definedName>
    <definedName name="wrn.note._.on._.cif." hidden="1">{#N/A,#N/A,FALSE,"CIF APR'03-SEP'03 (2)"}</definedName>
    <definedName name="wrn.note._.on._.cif._1" localSheetId="7">{#N/A,#N/A,FALSE,"CIF APR'03-SEP'03 (2)"}</definedName>
    <definedName name="wrn.note._.on._.cif._1" localSheetId="10" hidden="1">{#N/A,#N/A,FALSE,"CIF APR'03-SEP'03 (2)"}</definedName>
    <definedName name="wrn.note._.on._.cif._1" localSheetId="0" hidden="1">{#N/A,#N/A,FALSE,"CIF APR'03-SEP'03 (2)"}</definedName>
    <definedName name="wrn.note._.on._.cif._1" localSheetId="9" hidden="1">{#N/A,#N/A,FALSE,"CIF APR'03-SEP'03 (2)"}</definedName>
    <definedName name="wrn.note._.on._.cif._1" localSheetId="11" hidden="1">{#N/A,#N/A,FALSE,"CIF APR'03-SEP'03 (2)"}</definedName>
    <definedName name="wrn.note._.on._.cif._1" hidden="1">{#N/A,#N/A,FALSE,"CIF APR'03-SEP'03 (2)"}</definedName>
    <definedName name="wrn.note._.on._.cif._2" localSheetId="7">{#N/A,#N/A,FALSE,"CIF APR'03-SEP'03 (2)"}</definedName>
    <definedName name="wrn.note._.on._.cif._2" localSheetId="10" hidden="1">{#N/A,#N/A,FALSE,"CIF APR'03-SEP'03 (2)"}</definedName>
    <definedName name="wrn.note._.on._.cif._2" localSheetId="0" hidden="1">{#N/A,#N/A,FALSE,"CIF APR'03-SEP'03 (2)"}</definedName>
    <definedName name="wrn.note._.on._.cif._2" localSheetId="9" hidden="1">{#N/A,#N/A,FALSE,"CIF APR'03-SEP'03 (2)"}</definedName>
    <definedName name="wrn.note._.on._.cif._2" localSheetId="11" hidden="1">{#N/A,#N/A,FALSE,"CIF APR'03-SEP'03 (2)"}</definedName>
    <definedName name="wrn.note._.on._.cif._2" hidden="1">{#N/A,#N/A,FALSE,"CIF APR'03-SEP'03 (2)"}</definedName>
    <definedName name="wrn.nytaann.">#REF!</definedName>
    <definedName name="wrn.One._.Pager._.plus._.Technicals." localSheetId="7">{#N/A,#N/A,FALSE,"One Pager";#N/A,#N/A,FALSE,"Technical"}</definedName>
    <definedName name="wrn.One._.Pager._.plus._.Technicals." localSheetId="10" hidden="1">{#N/A,#N/A,FALSE,"One Pager";#N/A,#N/A,FALSE,"Technical"}</definedName>
    <definedName name="wrn.One._.Pager._.plus._.Technicals." localSheetId="0" hidden="1">{#N/A,#N/A,FALSE,"One Pager";#N/A,#N/A,FALSE,"Technical"}</definedName>
    <definedName name="wrn.One._.Pager._.plus._.Technicals." localSheetId="9" hidden="1">{#N/A,#N/A,FALSE,"One Pager";#N/A,#N/A,FALSE,"Technical"}</definedName>
    <definedName name="wrn.One._.Pager._.plus._.Technicals." localSheetId="11" hidden="1">{#N/A,#N/A,FALSE,"One Pager";#N/A,#N/A,FALSE,"Technical"}</definedName>
    <definedName name="wrn.One._.Pager._.plus._.Technicals." hidden="1">{#N/A,#N/A,FALSE,"One Pager";#N/A,#N/A,FALSE,"Technical"}</definedName>
    <definedName name="wrn.ONTK.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vhd.">#REF!</definedName>
    <definedName name="wrn.ovhd1.">#REF!</definedName>
    <definedName name="wrn.packer._.1.">#REF!</definedName>
    <definedName name="wrn.PAGE._.1.">#REF!</definedName>
    <definedName name="wrn.PAGE._.2.">#REF!</definedName>
    <definedName name="wrn.PAGE._.3.">#REF!</definedName>
    <definedName name="wrn.Pages._.1._.to._.10." localSheetId="7">{"Page 1",#N/A,FALSE,"FAS109B";"Page 2",#N/A,FALSE,"FAS109B";"Page 3",#N/A,FALSE,"FAS109B";"Page 4",#N/A,FALSE,"FAS109B";"Page 5",#N/A,FALSE,"FAS109B";"Page 6",#N/A,FALSE,"FAS109B";"Page 7",#N/A,FALSE,"FAS109B";"Page 8",#N/A,FALSE,"FAS109B";"Page 9",#N/A,FALSE,"FAS109B";"Page 10",#N/A,FALSE,"FAS109B"}</definedName>
    <definedName name="wrn.Pages._.1._.to._.10." localSheetId="10" hidden="1">{"Page 1",#N/A,FALSE,"FAS109B";"Page 2",#N/A,FALSE,"FAS109B";"Page 3",#N/A,FALSE,"FAS109B";"Page 4",#N/A,FALSE,"FAS109B";"Page 5",#N/A,FALSE,"FAS109B";"Page 6",#N/A,FALSE,"FAS109B";"Page 7",#N/A,FALSE,"FAS109B";"Page 8",#N/A,FALSE,"FAS109B";"Page 9",#N/A,FALSE,"FAS109B";"Page 10",#N/A,FALSE,"FAS109B"}</definedName>
    <definedName name="wrn.Pages._.1._.to._.10." localSheetId="0" hidden="1">{"Page 1",#N/A,FALSE,"FAS109B";"Page 2",#N/A,FALSE,"FAS109B";"Page 3",#N/A,FALSE,"FAS109B";"Page 4",#N/A,FALSE,"FAS109B";"Page 5",#N/A,FALSE,"FAS109B";"Page 6",#N/A,FALSE,"FAS109B";"Page 7",#N/A,FALSE,"FAS109B";"Page 8",#N/A,FALSE,"FAS109B";"Page 9",#N/A,FALSE,"FAS109B";"Page 10",#N/A,FALSE,"FAS109B"}</definedName>
    <definedName name="wrn.Pages._.1._.to._.10." localSheetId="9" hidden="1">{"Page 1",#N/A,FALSE,"FAS109B";"Page 2",#N/A,FALSE,"FAS109B";"Page 3",#N/A,FALSE,"FAS109B";"Page 4",#N/A,FALSE,"FAS109B";"Page 5",#N/A,FALSE,"FAS109B";"Page 6",#N/A,FALSE,"FAS109B";"Page 7",#N/A,FALSE,"FAS109B";"Page 8",#N/A,FALSE,"FAS109B";"Page 9",#N/A,FALSE,"FAS109B";"Page 10",#N/A,FALSE,"FAS109B"}</definedName>
    <definedName name="wrn.Pages._.1._.to._.10." localSheetId="11" hidden="1">{"Page 1",#N/A,FALSE,"FAS109B";"Page 2",#N/A,FALSE,"FAS109B";"Page 3",#N/A,FALSE,"FAS109B";"Page 4",#N/A,FALSE,"FAS109B";"Page 5",#N/A,FALSE,"FAS109B";"Page 6",#N/A,FALSE,"FAS109B";"Page 7",#N/A,FALSE,"FAS109B";"Page 8",#N/A,FALSE,"FAS109B";"Page 9",#N/A,FALSE,"FAS109B";"Page 10",#N/A,FALSE,"FAS109B"}</definedName>
    <definedName name="wrn.Pages._.1._.to._.10." hidden="1">{"Page 1",#N/A,FALSE,"FAS109B";"Page 2",#N/A,FALSE,"FAS109B";"Page 3",#N/A,FALSE,"FAS109B";"Page 4",#N/A,FALSE,"FAS109B";"Page 5",#N/A,FALSE,"FAS109B";"Page 6",#N/A,FALSE,"FAS109B";"Page 7",#N/A,FALSE,"FAS109B";"Page 8",#N/A,FALSE,"FAS109B";"Page 9",#N/A,FALSE,"FAS109B";"Page 10",#N/A,FALSE,"FAS109B"}</definedName>
    <definedName name="wrn.Pages._.13._.to._.End." localSheetId="7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wrn.Pages._.13._.to._.End." localSheetId="10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wrn.Pages._.13._.to._.End." localSheetId="0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wrn.Pages._.13._.to._.End." localSheetId="9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wrn.Pages._.13._.to._.End." localSheetId="11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wrn.Pages._.13._.to._.End." hidden="1">{"Page 13",#N/A,FALSE,"FAS109B";"Page 14",#N/A,FALSE,"FAS109B";"Page 15",#N/A,FALSE,"FAS109B";"Page 16",#N/A,FALSE,"FAS109B";"Page 17",#N/A,FALSE,"FAS109B";"Page 18",#N/A,FALSE,"FAS109B";"Page 19",#N/A,FALSE,"FAS109B";"Page 20",#N/A,FALSE,"FAS109B";"Page 21",#N/A,FALSE,"FAS109B"}</definedName>
    <definedName name="wrn.Period._.1._.Financial._.Statements.">#REF!</definedName>
    <definedName name="wrn.Period._.10._.Financial._.Statements.">#REF!</definedName>
    <definedName name="wrn.Period._.11._.Financial._.Statements.">#REF!</definedName>
    <definedName name="wrn.Period._.12._.Financial._.Statements.">#REF!</definedName>
    <definedName name="wrn.Period._.2._.Financial._.Statements.">#REF!</definedName>
    <definedName name="wrn.Period._.3._.Financial._.Statements.">#REF!</definedName>
    <definedName name="wrn.Period._.4._.Financial._.Statements.">#REF!</definedName>
    <definedName name="wrn.Period._.5._.Financial._.Statements.">#REF!</definedName>
    <definedName name="wrn.Period._.6._.Financial._.Statements.">#REF!</definedName>
    <definedName name="wrn.Period._.7._.Financial._.Statements.">#REF!</definedName>
    <definedName name="wrn.Period._.8._.Financial._.Statements.">#REF!</definedName>
    <definedName name="wrn.Period._.9._.Financial._.Statements.">#REF!</definedName>
    <definedName name="wrn.PETC.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g1." localSheetId="7">{#N/A,#N/A,FALSE,"1"}</definedName>
    <definedName name="wrn.pg1." localSheetId="10" hidden="1">{#N/A,#N/A,FALSE,"1"}</definedName>
    <definedName name="wrn.pg1." localSheetId="0" hidden="1">{#N/A,#N/A,FALSE,"1"}</definedName>
    <definedName name="wrn.pg1." localSheetId="9" hidden="1">{#N/A,#N/A,FALSE,"1"}</definedName>
    <definedName name="wrn.pg1." localSheetId="11" hidden="1">{#N/A,#N/A,FALSE,"1"}</definedName>
    <definedName name="wrn.pg1." hidden="1">{#N/A,#N/A,FALSE,"1"}</definedName>
    <definedName name="wrn.pg1._1" localSheetId="7">{#N/A,#N/A,FALSE,"1"}</definedName>
    <definedName name="wrn.pg1._1" localSheetId="10" hidden="1">{#N/A,#N/A,FALSE,"1"}</definedName>
    <definedName name="wrn.pg1._1" localSheetId="0" hidden="1">{#N/A,#N/A,FALSE,"1"}</definedName>
    <definedName name="wrn.pg1._1" localSheetId="9" hidden="1">{#N/A,#N/A,FALSE,"1"}</definedName>
    <definedName name="wrn.pg1._1" localSheetId="11" hidden="1">{#N/A,#N/A,FALSE,"1"}</definedName>
    <definedName name="wrn.pg1._1" hidden="1">{#N/A,#N/A,FALSE,"1"}</definedName>
    <definedName name="wrn.pg1._2" localSheetId="7">{#N/A,#N/A,FALSE,"1"}</definedName>
    <definedName name="wrn.pg1._2" localSheetId="10" hidden="1">{#N/A,#N/A,FALSE,"1"}</definedName>
    <definedName name="wrn.pg1._2" localSheetId="0" hidden="1">{#N/A,#N/A,FALSE,"1"}</definedName>
    <definedName name="wrn.pg1._2" localSheetId="9" hidden="1">{#N/A,#N/A,FALSE,"1"}</definedName>
    <definedName name="wrn.pg1._2" localSheetId="11" hidden="1">{#N/A,#N/A,FALSE,"1"}</definedName>
    <definedName name="wrn.pg1._2" hidden="1">{#N/A,#N/A,FALSE,"1"}</definedName>
    <definedName name="wrn.pg10." localSheetId="7">{#N/A,#N/A,FALSE,"10"}</definedName>
    <definedName name="wrn.pg10." localSheetId="10" hidden="1">{#N/A,#N/A,FALSE,"10"}</definedName>
    <definedName name="wrn.pg10." localSheetId="0" hidden="1">{#N/A,#N/A,FALSE,"10"}</definedName>
    <definedName name="wrn.pg10." localSheetId="9" hidden="1">{#N/A,#N/A,FALSE,"10"}</definedName>
    <definedName name="wrn.pg10." localSheetId="11" hidden="1">{#N/A,#N/A,FALSE,"10"}</definedName>
    <definedName name="wrn.pg10." hidden="1">{#N/A,#N/A,FALSE,"10"}</definedName>
    <definedName name="wrn.pg10._1" localSheetId="7">{#N/A,#N/A,FALSE,"10"}</definedName>
    <definedName name="wrn.pg10._1" localSheetId="10" hidden="1">{#N/A,#N/A,FALSE,"10"}</definedName>
    <definedName name="wrn.pg10._1" localSheetId="0" hidden="1">{#N/A,#N/A,FALSE,"10"}</definedName>
    <definedName name="wrn.pg10._1" localSheetId="9" hidden="1">{#N/A,#N/A,FALSE,"10"}</definedName>
    <definedName name="wrn.pg10._1" localSheetId="11" hidden="1">{#N/A,#N/A,FALSE,"10"}</definedName>
    <definedName name="wrn.pg10._1" hidden="1">{#N/A,#N/A,FALSE,"10"}</definedName>
    <definedName name="wrn.pg10._2" localSheetId="7">{#N/A,#N/A,FALSE,"10"}</definedName>
    <definedName name="wrn.pg10._2" localSheetId="10" hidden="1">{#N/A,#N/A,FALSE,"10"}</definedName>
    <definedName name="wrn.pg10._2" localSheetId="0" hidden="1">{#N/A,#N/A,FALSE,"10"}</definedName>
    <definedName name="wrn.pg10._2" localSheetId="9" hidden="1">{#N/A,#N/A,FALSE,"10"}</definedName>
    <definedName name="wrn.pg10._2" localSheetId="11" hidden="1">{#N/A,#N/A,FALSE,"10"}</definedName>
    <definedName name="wrn.pg10._2" hidden="1">{#N/A,#N/A,FALSE,"10"}</definedName>
    <definedName name="wrn.pg11." localSheetId="7">{#N/A,#N/A,FALSE,"11"}</definedName>
    <definedName name="wrn.pg11." localSheetId="10" hidden="1">{#N/A,#N/A,FALSE,"11"}</definedName>
    <definedName name="wrn.pg11." localSheetId="0" hidden="1">{#N/A,#N/A,FALSE,"11"}</definedName>
    <definedName name="wrn.pg11." localSheetId="9" hidden="1">{#N/A,#N/A,FALSE,"11"}</definedName>
    <definedName name="wrn.pg11." localSheetId="11" hidden="1">{#N/A,#N/A,FALSE,"11"}</definedName>
    <definedName name="wrn.pg11." hidden="1">{#N/A,#N/A,FALSE,"11"}</definedName>
    <definedName name="wrn.pg11._1" localSheetId="7">{#N/A,#N/A,FALSE,"11"}</definedName>
    <definedName name="wrn.pg11._1" localSheetId="10" hidden="1">{#N/A,#N/A,FALSE,"11"}</definedName>
    <definedName name="wrn.pg11._1" localSheetId="0" hidden="1">{#N/A,#N/A,FALSE,"11"}</definedName>
    <definedName name="wrn.pg11._1" localSheetId="9" hidden="1">{#N/A,#N/A,FALSE,"11"}</definedName>
    <definedName name="wrn.pg11._1" localSheetId="11" hidden="1">{#N/A,#N/A,FALSE,"11"}</definedName>
    <definedName name="wrn.pg11._1" hidden="1">{#N/A,#N/A,FALSE,"11"}</definedName>
    <definedName name="wrn.pg11._2" localSheetId="7">{#N/A,#N/A,FALSE,"11"}</definedName>
    <definedName name="wrn.pg11._2" localSheetId="10" hidden="1">{#N/A,#N/A,FALSE,"11"}</definedName>
    <definedName name="wrn.pg11._2" localSheetId="0" hidden="1">{#N/A,#N/A,FALSE,"11"}</definedName>
    <definedName name="wrn.pg11._2" localSheetId="9" hidden="1">{#N/A,#N/A,FALSE,"11"}</definedName>
    <definedName name="wrn.pg11._2" localSheetId="11" hidden="1">{#N/A,#N/A,FALSE,"11"}</definedName>
    <definedName name="wrn.pg11._2" hidden="1">{#N/A,#N/A,FALSE,"11"}</definedName>
    <definedName name="wrn.pg12." localSheetId="7">{#N/A,#N/A,FALSE,"12"}</definedName>
    <definedName name="wrn.pg12." localSheetId="10" hidden="1">{#N/A,#N/A,FALSE,"12"}</definedName>
    <definedName name="wrn.pg12." localSheetId="0" hidden="1">{#N/A,#N/A,FALSE,"12"}</definedName>
    <definedName name="wrn.pg12." localSheetId="9" hidden="1">{#N/A,#N/A,FALSE,"12"}</definedName>
    <definedName name="wrn.pg12." localSheetId="11" hidden="1">{#N/A,#N/A,FALSE,"12"}</definedName>
    <definedName name="wrn.pg12." hidden="1">{#N/A,#N/A,FALSE,"12"}</definedName>
    <definedName name="wrn.pg12._1" localSheetId="7">{#N/A,#N/A,FALSE,"12"}</definedName>
    <definedName name="wrn.pg12._1" localSheetId="10" hidden="1">{#N/A,#N/A,FALSE,"12"}</definedName>
    <definedName name="wrn.pg12._1" localSheetId="0" hidden="1">{#N/A,#N/A,FALSE,"12"}</definedName>
    <definedName name="wrn.pg12._1" localSheetId="9" hidden="1">{#N/A,#N/A,FALSE,"12"}</definedName>
    <definedName name="wrn.pg12._1" localSheetId="11" hidden="1">{#N/A,#N/A,FALSE,"12"}</definedName>
    <definedName name="wrn.pg12._1" hidden="1">{#N/A,#N/A,FALSE,"12"}</definedName>
    <definedName name="wrn.pg12._2" localSheetId="7">{#N/A,#N/A,FALSE,"12"}</definedName>
    <definedName name="wrn.pg12._2" localSheetId="10" hidden="1">{#N/A,#N/A,FALSE,"12"}</definedName>
    <definedName name="wrn.pg12._2" localSheetId="0" hidden="1">{#N/A,#N/A,FALSE,"12"}</definedName>
    <definedName name="wrn.pg12._2" localSheetId="9" hidden="1">{#N/A,#N/A,FALSE,"12"}</definedName>
    <definedName name="wrn.pg12._2" localSheetId="11" hidden="1">{#N/A,#N/A,FALSE,"12"}</definedName>
    <definedName name="wrn.pg12._2" hidden="1">{#N/A,#N/A,FALSE,"12"}</definedName>
    <definedName name="wrn.pg13." localSheetId="7">{#N/A,#N/A,FALSE,"13"}</definedName>
    <definedName name="wrn.pg13." localSheetId="10" hidden="1">{#N/A,#N/A,FALSE,"13"}</definedName>
    <definedName name="wrn.pg13." localSheetId="0" hidden="1">{#N/A,#N/A,FALSE,"13"}</definedName>
    <definedName name="wrn.pg13." localSheetId="9" hidden="1">{#N/A,#N/A,FALSE,"13"}</definedName>
    <definedName name="wrn.pg13." localSheetId="11" hidden="1">{#N/A,#N/A,FALSE,"13"}</definedName>
    <definedName name="wrn.pg13." hidden="1">{#N/A,#N/A,FALSE,"13"}</definedName>
    <definedName name="wrn.pg13._1" localSheetId="7">{#N/A,#N/A,FALSE,"13"}</definedName>
    <definedName name="wrn.pg13._1" localSheetId="10" hidden="1">{#N/A,#N/A,FALSE,"13"}</definedName>
    <definedName name="wrn.pg13._1" localSheetId="0" hidden="1">{#N/A,#N/A,FALSE,"13"}</definedName>
    <definedName name="wrn.pg13._1" localSheetId="9" hidden="1">{#N/A,#N/A,FALSE,"13"}</definedName>
    <definedName name="wrn.pg13._1" localSheetId="11" hidden="1">{#N/A,#N/A,FALSE,"13"}</definedName>
    <definedName name="wrn.pg13._1" hidden="1">{#N/A,#N/A,FALSE,"13"}</definedName>
    <definedName name="wrn.pg13._2" localSheetId="7">{#N/A,#N/A,FALSE,"13"}</definedName>
    <definedName name="wrn.pg13._2" localSheetId="10" hidden="1">{#N/A,#N/A,FALSE,"13"}</definedName>
    <definedName name="wrn.pg13._2" localSheetId="0" hidden="1">{#N/A,#N/A,FALSE,"13"}</definedName>
    <definedName name="wrn.pg13._2" localSheetId="9" hidden="1">{#N/A,#N/A,FALSE,"13"}</definedName>
    <definedName name="wrn.pg13._2" localSheetId="11" hidden="1">{#N/A,#N/A,FALSE,"13"}</definedName>
    <definedName name="wrn.pg13._2" hidden="1">{#N/A,#N/A,FALSE,"13"}</definedName>
    <definedName name="wrn.pg14." localSheetId="7">{#N/A,#N/A,FALSE,"14"}</definedName>
    <definedName name="wrn.pg14." localSheetId="10" hidden="1">{#N/A,#N/A,FALSE,"14"}</definedName>
    <definedName name="wrn.pg14." localSheetId="0" hidden="1">{#N/A,#N/A,FALSE,"14"}</definedName>
    <definedName name="wrn.pg14." localSheetId="9" hidden="1">{#N/A,#N/A,FALSE,"14"}</definedName>
    <definedName name="wrn.pg14." localSheetId="11" hidden="1">{#N/A,#N/A,FALSE,"14"}</definedName>
    <definedName name="wrn.pg14." hidden="1">{#N/A,#N/A,FALSE,"14"}</definedName>
    <definedName name="wrn.pg14._1" localSheetId="7">{#N/A,#N/A,FALSE,"14"}</definedName>
    <definedName name="wrn.pg14._1" localSheetId="10" hidden="1">{#N/A,#N/A,FALSE,"14"}</definedName>
    <definedName name="wrn.pg14._1" localSheetId="0" hidden="1">{#N/A,#N/A,FALSE,"14"}</definedName>
    <definedName name="wrn.pg14._1" localSheetId="9" hidden="1">{#N/A,#N/A,FALSE,"14"}</definedName>
    <definedName name="wrn.pg14._1" localSheetId="11" hidden="1">{#N/A,#N/A,FALSE,"14"}</definedName>
    <definedName name="wrn.pg14._1" hidden="1">{#N/A,#N/A,FALSE,"14"}</definedName>
    <definedName name="wrn.pg14._2" localSheetId="7">{#N/A,#N/A,FALSE,"14"}</definedName>
    <definedName name="wrn.pg14._2" localSheetId="10" hidden="1">{#N/A,#N/A,FALSE,"14"}</definedName>
    <definedName name="wrn.pg14._2" localSheetId="0" hidden="1">{#N/A,#N/A,FALSE,"14"}</definedName>
    <definedName name="wrn.pg14._2" localSheetId="9" hidden="1">{#N/A,#N/A,FALSE,"14"}</definedName>
    <definedName name="wrn.pg14._2" localSheetId="11" hidden="1">{#N/A,#N/A,FALSE,"14"}</definedName>
    <definedName name="wrn.pg14._2" hidden="1">{#N/A,#N/A,FALSE,"14"}</definedName>
    <definedName name="wrn.pg15." localSheetId="7">{#N/A,#N/A,FALSE,"15"}</definedName>
    <definedName name="wrn.pg15." localSheetId="10" hidden="1">{#N/A,#N/A,FALSE,"15"}</definedName>
    <definedName name="wrn.pg15." localSheetId="0" hidden="1">{#N/A,#N/A,FALSE,"15"}</definedName>
    <definedName name="wrn.pg15." localSheetId="9" hidden="1">{#N/A,#N/A,FALSE,"15"}</definedName>
    <definedName name="wrn.pg15." localSheetId="11" hidden="1">{#N/A,#N/A,FALSE,"15"}</definedName>
    <definedName name="wrn.pg15." hidden="1">{#N/A,#N/A,FALSE,"15"}</definedName>
    <definedName name="wrn.pg15._1" localSheetId="7">{#N/A,#N/A,FALSE,"15"}</definedName>
    <definedName name="wrn.pg15._1" localSheetId="10" hidden="1">{#N/A,#N/A,FALSE,"15"}</definedName>
    <definedName name="wrn.pg15._1" localSheetId="0" hidden="1">{#N/A,#N/A,FALSE,"15"}</definedName>
    <definedName name="wrn.pg15._1" localSheetId="9" hidden="1">{#N/A,#N/A,FALSE,"15"}</definedName>
    <definedName name="wrn.pg15._1" localSheetId="11" hidden="1">{#N/A,#N/A,FALSE,"15"}</definedName>
    <definedName name="wrn.pg15._1" hidden="1">{#N/A,#N/A,FALSE,"15"}</definedName>
    <definedName name="wrn.pg15._2" localSheetId="7">{#N/A,#N/A,FALSE,"15"}</definedName>
    <definedName name="wrn.pg15._2" localSheetId="10" hidden="1">{#N/A,#N/A,FALSE,"15"}</definedName>
    <definedName name="wrn.pg15._2" localSheetId="0" hidden="1">{#N/A,#N/A,FALSE,"15"}</definedName>
    <definedName name="wrn.pg15._2" localSheetId="9" hidden="1">{#N/A,#N/A,FALSE,"15"}</definedName>
    <definedName name="wrn.pg15._2" localSheetId="11" hidden="1">{#N/A,#N/A,FALSE,"15"}</definedName>
    <definedName name="wrn.pg15._2" hidden="1">{#N/A,#N/A,FALSE,"15"}</definedName>
    <definedName name="wrn.pg16." localSheetId="7">{#N/A,#N/A,FALSE,"16"}</definedName>
    <definedName name="wrn.pg16." localSheetId="10" hidden="1">{#N/A,#N/A,FALSE,"16"}</definedName>
    <definedName name="wrn.pg16." localSheetId="0" hidden="1">{#N/A,#N/A,FALSE,"16"}</definedName>
    <definedName name="wrn.pg16." localSheetId="9" hidden="1">{#N/A,#N/A,FALSE,"16"}</definedName>
    <definedName name="wrn.pg16." localSheetId="11" hidden="1">{#N/A,#N/A,FALSE,"16"}</definedName>
    <definedName name="wrn.pg16." hidden="1">{#N/A,#N/A,FALSE,"16"}</definedName>
    <definedName name="wrn.pg16._1" localSheetId="7">{#N/A,#N/A,FALSE,"16"}</definedName>
    <definedName name="wrn.pg16._1" localSheetId="10" hidden="1">{#N/A,#N/A,FALSE,"16"}</definedName>
    <definedName name="wrn.pg16._1" localSheetId="0" hidden="1">{#N/A,#N/A,FALSE,"16"}</definedName>
    <definedName name="wrn.pg16._1" localSheetId="9" hidden="1">{#N/A,#N/A,FALSE,"16"}</definedName>
    <definedName name="wrn.pg16._1" localSheetId="11" hidden="1">{#N/A,#N/A,FALSE,"16"}</definedName>
    <definedName name="wrn.pg16._1" hidden="1">{#N/A,#N/A,FALSE,"16"}</definedName>
    <definedName name="wrn.pg16._2" localSheetId="7">{#N/A,#N/A,FALSE,"16"}</definedName>
    <definedName name="wrn.pg16._2" localSheetId="10" hidden="1">{#N/A,#N/A,FALSE,"16"}</definedName>
    <definedName name="wrn.pg16._2" localSheetId="0" hidden="1">{#N/A,#N/A,FALSE,"16"}</definedName>
    <definedName name="wrn.pg16._2" localSheetId="9" hidden="1">{#N/A,#N/A,FALSE,"16"}</definedName>
    <definedName name="wrn.pg16._2" localSheetId="11" hidden="1">{#N/A,#N/A,FALSE,"16"}</definedName>
    <definedName name="wrn.pg16._2" hidden="1">{#N/A,#N/A,FALSE,"16"}</definedName>
    <definedName name="wrn.pg17." localSheetId="7">{#N/A,#N/A,FALSE,"17"}</definedName>
    <definedName name="wrn.pg17." localSheetId="10" hidden="1">{#N/A,#N/A,FALSE,"17"}</definedName>
    <definedName name="wrn.pg17." localSheetId="0" hidden="1">{#N/A,#N/A,FALSE,"17"}</definedName>
    <definedName name="wrn.pg17." localSheetId="9" hidden="1">{#N/A,#N/A,FALSE,"17"}</definedName>
    <definedName name="wrn.pg17." localSheetId="11" hidden="1">{#N/A,#N/A,FALSE,"17"}</definedName>
    <definedName name="wrn.pg17." hidden="1">{#N/A,#N/A,FALSE,"17"}</definedName>
    <definedName name="wrn.pg17._1" localSheetId="7">{#N/A,#N/A,FALSE,"17"}</definedName>
    <definedName name="wrn.pg17._1" localSheetId="10" hidden="1">{#N/A,#N/A,FALSE,"17"}</definedName>
    <definedName name="wrn.pg17._1" localSheetId="0" hidden="1">{#N/A,#N/A,FALSE,"17"}</definedName>
    <definedName name="wrn.pg17._1" localSheetId="9" hidden="1">{#N/A,#N/A,FALSE,"17"}</definedName>
    <definedName name="wrn.pg17._1" localSheetId="11" hidden="1">{#N/A,#N/A,FALSE,"17"}</definedName>
    <definedName name="wrn.pg17._1" hidden="1">{#N/A,#N/A,FALSE,"17"}</definedName>
    <definedName name="wrn.pg17._2" localSheetId="7">{#N/A,#N/A,FALSE,"17"}</definedName>
    <definedName name="wrn.pg17._2" localSheetId="10" hidden="1">{#N/A,#N/A,FALSE,"17"}</definedName>
    <definedName name="wrn.pg17._2" localSheetId="0" hidden="1">{#N/A,#N/A,FALSE,"17"}</definedName>
    <definedName name="wrn.pg17._2" localSheetId="9" hidden="1">{#N/A,#N/A,FALSE,"17"}</definedName>
    <definedName name="wrn.pg17._2" localSheetId="11" hidden="1">{#N/A,#N/A,FALSE,"17"}</definedName>
    <definedName name="wrn.pg17._2" hidden="1">{#N/A,#N/A,FALSE,"17"}</definedName>
    <definedName name="wrn.pg18" localSheetId="7">{#N/A,#N/A,FALSE,"17"}</definedName>
    <definedName name="wrn.pg18" localSheetId="10" hidden="1">{#N/A,#N/A,FALSE,"17"}</definedName>
    <definedName name="wrn.pg18" localSheetId="0" hidden="1">{#N/A,#N/A,FALSE,"17"}</definedName>
    <definedName name="wrn.pg18" localSheetId="9" hidden="1">{#N/A,#N/A,FALSE,"17"}</definedName>
    <definedName name="wrn.pg18" localSheetId="11" hidden="1">{#N/A,#N/A,FALSE,"17"}</definedName>
    <definedName name="wrn.pg18" hidden="1">{#N/A,#N/A,FALSE,"17"}</definedName>
    <definedName name="wrn.pg18_1" localSheetId="7">{#N/A,#N/A,FALSE,"17"}</definedName>
    <definedName name="wrn.pg18_1" localSheetId="10" hidden="1">{#N/A,#N/A,FALSE,"17"}</definedName>
    <definedName name="wrn.pg18_1" localSheetId="0" hidden="1">{#N/A,#N/A,FALSE,"17"}</definedName>
    <definedName name="wrn.pg18_1" localSheetId="9" hidden="1">{#N/A,#N/A,FALSE,"17"}</definedName>
    <definedName name="wrn.pg18_1" localSheetId="11" hidden="1">{#N/A,#N/A,FALSE,"17"}</definedName>
    <definedName name="wrn.pg18_1" hidden="1">{#N/A,#N/A,FALSE,"17"}</definedName>
    <definedName name="wrn.pg18_2" localSheetId="7">{#N/A,#N/A,FALSE,"17"}</definedName>
    <definedName name="wrn.pg18_2" localSheetId="10" hidden="1">{#N/A,#N/A,FALSE,"17"}</definedName>
    <definedName name="wrn.pg18_2" localSheetId="0" hidden="1">{#N/A,#N/A,FALSE,"17"}</definedName>
    <definedName name="wrn.pg18_2" localSheetId="9" hidden="1">{#N/A,#N/A,FALSE,"17"}</definedName>
    <definedName name="wrn.pg18_2" localSheetId="11" hidden="1">{#N/A,#N/A,FALSE,"17"}</definedName>
    <definedName name="wrn.pg18_2" hidden="1">{#N/A,#N/A,FALSE,"17"}</definedName>
    <definedName name="wrn.pg2." localSheetId="7">{#N/A,#N/A,FALSE,"2"}</definedName>
    <definedName name="wrn.pg2." localSheetId="10" hidden="1">{#N/A,#N/A,FALSE,"2"}</definedName>
    <definedName name="wrn.pg2." localSheetId="0" hidden="1">{#N/A,#N/A,FALSE,"2"}</definedName>
    <definedName name="wrn.pg2." localSheetId="9" hidden="1">{#N/A,#N/A,FALSE,"2"}</definedName>
    <definedName name="wrn.pg2." localSheetId="11" hidden="1">{#N/A,#N/A,FALSE,"2"}</definedName>
    <definedName name="wrn.pg2." hidden="1">{#N/A,#N/A,FALSE,"2"}</definedName>
    <definedName name="wrn.pg2._1" localSheetId="7">{#N/A,#N/A,FALSE,"2"}</definedName>
    <definedName name="wrn.pg2._1" localSheetId="10" hidden="1">{#N/A,#N/A,FALSE,"2"}</definedName>
    <definedName name="wrn.pg2._1" localSheetId="0" hidden="1">{#N/A,#N/A,FALSE,"2"}</definedName>
    <definedName name="wrn.pg2._1" localSheetId="9" hidden="1">{#N/A,#N/A,FALSE,"2"}</definedName>
    <definedName name="wrn.pg2._1" localSheetId="11" hidden="1">{#N/A,#N/A,FALSE,"2"}</definedName>
    <definedName name="wrn.pg2._1" hidden="1">{#N/A,#N/A,FALSE,"2"}</definedName>
    <definedName name="wrn.pg2._2" localSheetId="7">{#N/A,#N/A,FALSE,"2"}</definedName>
    <definedName name="wrn.pg2._2" localSheetId="10" hidden="1">{#N/A,#N/A,FALSE,"2"}</definedName>
    <definedName name="wrn.pg2._2" localSheetId="0" hidden="1">{#N/A,#N/A,FALSE,"2"}</definedName>
    <definedName name="wrn.pg2._2" localSheetId="9" hidden="1">{#N/A,#N/A,FALSE,"2"}</definedName>
    <definedName name="wrn.pg2._2" localSheetId="11" hidden="1">{#N/A,#N/A,FALSE,"2"}</definedName>
    <definedName name="wrn.pg2._2" hidden="1">{#N/A,#N/A,FALSE,"2"}</definedName>
    <definedName name="wrn.pg3" localSheetId="7">{#N/A,#N/A,FALSE,"2"}</definedName>
    <definedName name="wrn.pg3" localSheetId="10" hidden="1">{#N/A,#N/A,FALSE,"2"}</definedName>
    <definedName name="wrn.pg3" localSheetId="0" hidden="1">{#N/A,#N/A,FALSE,"2"}</definedName>
    <definedName name="wrn.pg3" localSheetId="9" hidden="1">{#N/A,#N/A,FALSE,"2"}</definedName>
    <definedName name="wrn.pg3" localSheetId="11" hidden="1">{#N/A,#N/A,FALSE,"2"}</definedName>
    <definedName name="wrn.pg3" hidden="1">{#N/A,#N/A,FALSE,"2"}</definedName>
    <definedName name="wrn.pg3." localSheetId="7">{#N/A,#N/A,FALSE,"3"}</definedName>
    <definedName name="wrn.pg3." localSheetId="10" hidden="1">{#N/A,#N/A,FALSE,"3"}</definedName>
    <definedName name="wrn.pg3." localSheetId="0" hidden="1">{#N/A,#N/A,FALSE,"3"}</definedName>
    <definedName name="wrn.pg3." localSheetId="9" hidden="1">{#N/A,#N/A,FALSE,"3"}</definedName>
    <definedName name="wrn.pg3." localSheetId="11" hidden="1">{#N/A,#N/A,FALSE,"3"}</definedName>
    <definedName name="wrn.pg3." hidden="1">{#N/A,#N/A,FALSE,"3"}</definedName>
    <definedName name="wrn.pg3._1" localSheetId="7">{#N/A,#N/A,FALSE,"3"}</definedName>
    <definedName name="wrn.pg3._1" localSheetId="10" hidden="1">{#N/A,#N/A,FALSE,"3"}</definedName>
    <definedName name="wrn.pg3._1" localSheetId="0" hidden="1">{#N/A,#N/A,FALSE,"3"}</definedName>
    <definedName name="wrn.pg3._1" localSheetId="9" hidden="1">{#N/A,#N/A,FALSE,"3"}</definedName>
    <definedName name="wrn.pg3._1" localSheetId="11" hidden="1">{#N/A,#N/A,FALSE,"3"}</definedName>
    <definedName name="wrn.pg3._1" hidden="1">{#N/A,#N/A,FALSE,"3"}</definedName>
    <definedName name="wrn.pg3._2" localSheetId="7">{#N/A,#N/A,FALSE,"3"}</definedName>
    <definedName name="wrn.pg3._2" localSheetId="10" hidden="1">{#N/A,#N/A,FALSE,"3"}</definedName>
    <definedName name="wrn.pg3._2" localSheetId="0" hidden="1">{#N/A,#N/A,FALSE,"3"}</definedName>
    <definedName name="wrn.pg3._2" localSheetId="9" hidden="1">{#N/A,#N/A,FALSE,"3"}</definedName>
    <definedName name="wrn.pg3._2" localSheetId="11" hidden="1">{#N/A,#N/A,FALSE,"3"}</definedName>
    <definedName name="wrn.pg3._2" hidden="1">{#N/A,#N/A,FALSE,"3"}</definedName>
    <definedName name="wrn.pg3_1" localSheetId="7">{#N/A,#N/A,FALSE,"2"}</definedName>
    <definedName name="wrn.pg3_1" localSheetId="10" hidden="1">{#N/A,#N/A,FALSE,"2"}</definedName>
    <definedName name="wrn.pg3_1" localSheetId="0" hidden="1">{#N/A,#N/A,FALSE,"2"}</definedName>
    <definedName name="wrn.pg3_1" localSheetId="9" hidden="1">{#N/A,#N/A,FALSE,"2"}</definedName>
    <definedName name="wrn.pg3_1" localSheetId="11" hidden="1">{#N/A,#N/A,FALSE,"2"}</definedName>
    <definedName name="wrn.pg3_1" hidden="1">{#N/A,#N/A,FALSE,"2"}</definedName>
    <definedName name="wrn.pg3_2" localSheetId="7">{#N/A,#N/A,FALSE,"2"}</definedName>
    <definedName name="wrn.pg3_2" localSheetId="10" hidden="1">{#N/A,#N/A,FALSE,"2"}</definedName>
    <definedName name="wrn.pg3_2" localSheetId="0" hidden="1">{#N/A,#N/A,FALSE,"2"}</definedName>
    <definedName name="wrn.pg3_2" localSheetId="9" hidden="1">{#N/A,#N/A,FALSE,"2"}</definedName>
    <definedName name="wrn.pg3_2" localSheetId="11" hidden="1">{#N/A,#N/A,FALSE,"2"}</definedName>
    <definedName name="wrn.pg3_2" hidden="1">{#N/A,#N/A,FALSE,"2"}</definedName>
    <definedName name="wrn.pg4." localSheetId="7">{#N/A,#N/A,FALSE,"4"}</definedName>
    <definedName name="wrn.pg4." localSheetId="10" hidden="1">{#N/A,#N/A,FALSE,"4"}</definedName>
    <definedName name="wrn.pg4." localSheetId="0" hidden="1">{#N/A,#N/A,FALSE,"4"}</definedName>
    <definedName name="wrn.pg4." localSheetId="9" hidden="1">{#N/A,#N/A,FALSE,"4"}</definedName>
    <definedName name="wrn.pg4." localSheetId="11" hidden="1">{#N/A,#N/A,FALSE,"4"}</definedName>
    <definedName name="wrn.pg4." hidden="1">{#N/A,#N/A,FALSE,"4"}</definedName>
    <definedName name="wrn.pg4._1" localSheetId="7">{#N/A,#N/A,FALSE,"4"}</definedName>
    <definedName name="wrn.pg4._1" localSheetId="10" hidden="1">{#N/A,#N/A,FALSE,"4"}</definedName>
    <definedName name="wrn.pg4._1" localSheetId="0" hidden="1">{#N/A,#N/A,FALSE,"4"}</definedName>
    <definedName name="wrn.pg4._1" localSheetId="9" hidden="1">{#N/A,#N/A,FALSE,"4"}</definedName>
    <definedName name="wrn.pg4._1" localSheetId="11" hidden="1">{#N/A,#N/A,FALSE,"4"}</definedName>
    <definedName name="wrn.pg4._1" hidden="1">{#N/A,#N/A,FALSE,"4"}</definedName>
    <definedName name="wrn.pg4._2" localSheetId="7">{#N/A,#N/A,FALSE,"4"}</definedName>
    <definedName name="wrn.pg4._2" localSheetId="10" hidden="1">{#N/A,#N/A,FALSE,"4"}</definedName>
    <definedName name="wrn.pg4._2" localSheetId="0" hidden="1">{#N/A,#N/A,FALSE,"4"}</definedName>
    <definedName name="wrn.pg4._2" localSheetId="9" hidden="1">{#N/A,#N/A,FALSE,"4"}</definedName>
    <definedName name="wrn.pg4._2" localSheetId="11" hidden="1">{#N/A,#N/A,FALSE,"4"}</definedName>
    <definedName name="wrn.pg4._2" hidden="1">{#N/A,#N/A,FALSE,"4"}</definedName>
    <definedName name="wrn.pg5" localSheetId="7">{#N/A,#N/A,FALSE,"5"}</definedName>
    <definedName name="wrn.pg5" localSheetId="10" hidden="1">{#N/A,#N/A,FALSE,"5"}</definedName>
    <definedName name="wrn.pg5" localSheetId="0" hidden="1">{#N/A,#N/A,FALSE,"5"}</definedName>
    <definedName name="wrn.pg5" localSheetId="9" hidden="1">{#N/A,#N/A,FALSE,"5"}</definedName>
    <definedName name="wrn.pg5" localSheetId="11" hidden="1">{#N/A,#N/A,FALSE,"5"}</definedName>
    <definedName name="wrn.pg5" hidden="1">{#N/A,#N/A,FALSE,"5"}</definedName>
    <definedName name="wrn.pg5." localSheetId="7">{#N/A,#N/A,FALSE,"5"}</definedName>
    <definedName name="wrn.pg5." localSheetId="10" hidden="1">{#N/A,#N/A,FALSE,"5"}</definedName>
    <definedName name="wrn.pg5." localSheetId="0" hidden="1">{#N/A,#N/A,FALSE,"5"}</definedName>
    <definedName name="wrn.pg5." localSheetId="9" hidden="1">{#N/A,#N/A,FALSE,"5"}</definedName>
    <definedName name="wrn.pg5." localSheetId="11" hidden="1">{#N/A,#N/A,FALSE,"5"}</definedName>
    <definedName name="wrn.pg5." hidden="1">{#N/A,#N/A,FALSE,"5"}</definedName>
    <definedName name="wrn.pg5._1" localSheetId="7">{#N/A,#N/A,FALSE,"5"}</definedName>
    <definedName name="wrn.pg5._1" localSheetId="10" hidden="1">{#N/A,#N/A,FALSE,"5"}</definedName>
    <definedName name="wrn.pg5._1" localSheetId="0" hidden="1">{#N/A,#N/A,FALSE,"5"}</definedName>
    <definedName name="wrn.pg5._1" localSheetId="9" hidden="1">{#N/A,#N/A,FALSE,"5"}</definedName>
    <definedName name="wrn.pg5._1" localSheetId="11" hidden="1">{#N/A,#N/A,FALSE,"5"}</definedName>
    <definedName name="wrn.pg5._1" hidden="1">{#N/A,#N/A,FALSE,"5"}</definedName>
    <definedName name="wrn.pg5._2" localSheetId="7">{#N/A,#N/A,FALSE,"5"}</definedName>
    <definedName name="wrn.pg5._2" localSheetId="10" hidden="1">{#N/A,#N/A,FALSE,"5"}</definedName>
    <definedName name="wrn.pg5._2" localSheetId="0" hidden="1">{#N/A,#N/A,FALSE,"5"}</definedName>
    <definedName name="wrn.pg5._2" localSheetId="9" hidden="1">{#N/A,#N/A,FALSE,"5"}</definedName>
    <definedName name="wrn.pg5._2" localSheetId="11" hidden="1">{#N/A,#N/A,FALSE,"5"}</definedName>
    <definedName name="wrn.pg5._2" hidden="1">{#N/A,#N/A,FALSE,"5"}</definedName>
    <definedName name="wrn.pg5_1" localSheetId="7">{#N/A,#N/A,FALSE,"5"}</definedName>
    <definedName name="wrn.pg5_1" localSheetId="10" hidden="1">{#N/A,#N/A,FALSE,"5"}</definedName>
    <definedName name="wrn.pg5_1" localSheetId="0" hidden="1">{#N/A,#N/A,FALSE,"5"}</definedName>
    <definedName name="wrn.pg5_1" localSheetId="9" hidden="1">{#N/A,#N/A,FALSE,"5"}</definedName>
    <definedName name="wrn.pg5_1" localSheetId="11" hidden="1">{#N/A,#N/A,FALSE,"5"}</definedName>
    <definedName name="wrn.pg5_1" hidden="1">{#N/A,#N/A,FALSE,"5"}</definedName>
    <definedName name="wrn.pg5_2" localSheetId="7">{#N/A,#N/A,FALSE,"5"}</definedName>
    <definedName name="wrn.pg5_2" localSheetId="10" hidden="1">{#N/A,#N/A,FALSE,"5"}</definedName>
    <definedName name="wrn.pg5_2" localSheetId="0" hidden="1">{#N/A,#N/A,FALSE,"5"}</definedName>
    <definedName name="wrn.pg5_2" localSheetId="9" hidden="1">{#N/A,#N/A,FALSE,"5"}</definedName>
    <definedName name="wrn.pg5_2" localSheetId="11" hidden="1">{#N/A,#N/A,FALSE,"5"}</definedName>
    <definedName name="wrn.pg5_2" hidden="1">{#N/A,#N/A,FALSE,"5"}</definedName>
    <definedName name="wrn.pg6" localSheetId="7">{#N/A,#N/A,FALSE,"6"}</definedName>
    <definedName name="wrn.pg6" localSheetId="10" hidden="1">{#N/A,#N/A,FALSE,"6"}</definedName>
    <definedName name="wrn.pg6" localSheetId="0" hidden="1">{#N/A,#N/A,FALSE,"6"}</definedName>
    <definedName name="wrn.pg6" localSheetId="9" hidden="1">{#N/A,#N/A,FALSE,"6"}</definedName>
    <definedName name="wrn.pg6" localSheetId="11" hidden="1">{#N/A,#N/A,FALSE,"6"}</definedName>
    <definedName name="wrn.pg6" hidden="1">{#N/A,#N/A,FALSE,"6"}</definedName>
    <definedName name="wrn.pg6." localSheetId="7">{#N/A,#N/A,FALSE,"6"}</definedName>
    <definedName name="wrn.pg6." localSheetId="10" hidden="1">{#N/A,#N/A,FALSE,"6"}</definedName>
    <definedName name="wrn.pg6." localSheetId="0" hidden="1">{#N/A,#N/A,FALSE,"6"}</definedName>
    <definedName name="wrn.pg6." localSheetId="9" hidden="1">{#N/A,#N/A,FALSE,"6"}</definedName>
    <definedName name="wrn.pg6." localSheetId="11" hidden="1">{#N/A,#N/A,FALSE,"6"}</definedName>
    <definedName name="wrn.pg6." hidden="1">{#N/A,#N/A,FALSE,"6"}</definedName>
    <definedName name="wrn.pg6._1" localSheetId="7">{#N/A,#N/A,FALSE,"6"}</definedName>
    <definedName name="wrn.pg6._1" localSheetId="10" hidden="1">{#N/A,#N/A,FALSE,"6"}</definedName>
    <definedName name="wrn.pg6._1" localSheetId="0" hidden="1">{#N/A,#N/A,FALSE,"6"}</definedName>
    <definedName name="wrn.pg6._1" localSheetId="9" hidden="1">{#N/A,#N/A,FALSE,"6"}</definedName>
    <definedName name="wrn.pg6._1" localSheetId="11" hidden="1">{#N/A,#N/A,FALSE,"6"}</definedName>
    <definedName name="wrn.pg6._1" hidden="1">{#N/A,#N/A,FALSE,"6"}</definedName>
    <definedName name="wrn.pg6._2" localSheetId="7">{#N/A,#N/A,FALSE,"6"}</definedName>
    <definedName name="wrn.pg6._2" localSheetId="10" hidden="1">{#N/A,#N/A,FALSE,"6"}</definedName>
    <definedName name="wrn.pg6._2" localSheetId="0" hidden="1">{#N/A,#N/A,FALSE,"6"}</definedName>
    <definedName name="wrn.pg6._2" localSheetId="9" hidden="1">{#N/A,#N/A,FALSE,"6"}</definedName>
    <definedName name="wrn.pg6._2" localSheetId="11" hidden="1">{#N/A,#N/A,FALSE,"6"}</definedName>
    <definedName name="wrn.pg6._2" hidden="1">{#N/A,#N/A,FALSE,"6"}</definedName>
    <definedName name="wrn.pg6_1" localSheetId="7">{#N/A,#N/A,FALSE,"6"}</definedName>
    <definedName name="wrn.pg6_1" localSheetId="10" hidden="1">{#N/A,#N/A,FALSE,"6"}</definedName>
    <definedName name="wrn.pg6_1" localSheetId="0" hidden="1">{#N/A,#N/A,FALSE,"6"}</definedName>
    <definedName name="wrn.pg6_1" localSheetId="9" hidden="1">{#N/A,#N/A,FALSE,"6"}</definedName>
    <definedName name="wrn.pg6_1" localSheetId="11" hidden="1">{#N/A,#N/A,FALSE,"6"}</definedName>
    <definedName name="wrn.pg6_1" hidden="1">{#N/A,#N/A,FALSE,"6"}</definedName>
    <definedName name="wrn.pg6_2" localSheetId="7">{#N/A,#N/A,FALSE,"6"}</definedName>
    <definedName name="wrn.pg6_2" localSheetId="10" hidden="1">{#N/A,#N/A,FALSE,"6"}</definedName>
    <definedName name="wrn.pg6_2" localSheetId="0" hidden="1">{#N/A,#N/A,FALSE,"6"}</definedName>
    <definedName name="wrn.pg6_2" localSheetId="9" hidden="1">{#N/A,#N/A,FALSE,"6"}</definedName>
    <definedName name="wrn.pg6_2" localSheetId="11" hidden="1">{#N/A,#N/A,FALSE,"6"}</definedName>
    <definedName name="wrn.pg6_2" hidden="1">{#N/A,#N/A,FALSE,"6"}</definedName>
    <definedName name="wrn.pg7." localSheetId="7">{#N/A,#N/A,FALSE,"7"}</definedName>
    <definedName name="wrn.pg7." localSheetId="10" hidden="1">{#N/A,#N/A,FALSE,"7"}</definedName>
    <definedName name="wrn.pg7." localSheetId="0" hidden="1">{#N/A,#N/A,FALSE,"7"}</definedName>
    <definedName name="wrn.pg7." localSheetId="9" hidden="1">{#N/A,#N/A,FALSE,"7"}</definedName>
    <definedName name="wrn.pg7." localSheetId="11" hidden="1">{#N/A,#N/A,FALSE,"7"}</definedName>
    <definedName name="wrn.pg7." hidden="1">{#N/A,#N/A,FALSE,"7"}</definedName>
    <definedName name="wrn.pg7._1" localSheetId="7">{#N/A,#N/A,FALSE,"7"}</definedName>
    <definedName name="wrn.pg7._1" localSheetId="10" hidden="1">{#N/A,#N/A,FALSE,"7"}</definedName>
    <definedName name="wrn.pg7._1" localSheetId="0" hidden="1">{#N/A,#N/A,FALSE,"7"}</definedName>
    <definedName name="wrn.pg7._1" localSheetId="9" hidden="1">{#N/A,#N/A,FALSE,"7"}</definedName>
    <definedName name="wrn.pg7._1" localSheetId="11" hidden="1">{#N/A,#N/A,FALSE,"7"}</definedName>
    <definedName name="wrn.pg7._1" hidden="1">{#N/A,#N/A,FALSE,"7"}</definedName>
    <definedName name="wrn.pg7._2" localSheetId="7">{#N/A,#N/A,FALSE,"7"}</definedName>
    <definedName name="wrn.pg7._2" localSheetId="10" hidden="1">{#N/A,#N/A,FALSE,"7"}</definedName>
    <definedName name="wrn.pg7._2" localSheetId="0" hidden="1">{#N/A,#N/A,FALSE,"7"}</definedName>
    <definedName name="wrn.pg7._2" localSheetId="9" hidden="1">{#N/A,#N/A,FALSE,"7"}</definedName>
    <definedName name="wrn.pg7._2" localSheetId="11" hidden="1">{#N/A,#N/A,FALSE,"7"}</definedName>
    <definedName name="wrn.pg7._2" hidden="1">{#N/A,#N/A,FALSE,"7"}</definedName>
    <definedName name="wrn.pg8." localSheetId="7">{#N/A,#N/A,FALSE,"8"}</definedName>
    <definedName name="wrn.pg8." localSheetId="10" hidden="1">{#N/A,#N/A,FALSE,"8"}</definedName>
    <definedName name="wrn.pg8." localSheetId="0" hidden="1">{#N/A,#N/A,FALSE,"8"}</definedName>
    <definedName name="wrn.pg8." localSheetId="9" hidden="1">{#N/A,#N/A,FALSE,"8"}</definedName>
    <definedName name="wrn.pg8." localSheetId="11" hidden="1">{#N/A,#N/A,FALSE,"8"}</definedName>
    <definedName name="wrn.pg8." hidden="1">{#N/A,#N/A,FALSE,"8"}</definedName>
    <definedName name="wrn.pg8._1" localSheetId="7">{#N/A,#N/A,FALSE,"8"}</definedName>
    <definedName name="wrn.pg8._1" localSheetId="10" hidden="1">{#N/A,#N/A,FALSE,"8"}</definedName>
    <definedName name="wrn.pg8._1" localSheetId="0" hidden="1">{#N/A,#N/A,FALSE,"8"}</definedName>
    <definedName name="wrn.pg8._1" localSheetId="9" hidden="1">{#N/A,#N/A,FALSE,"8"}</definedName>
    <definedName name="wrn.pg8._1" localSheetId="11" hidden="1">{#N/A,#N/A,FALSE,"8"}</definedName>
    <definedName name="wrn.pg8._1" hidden="1">{#N/A,#N/A,FALSE,"8"}</definedName>
    <definedName name="wrn.pg8._2" localSheetId="7">{#N/A,#N/A,FALSE,"8"}</definedName>
    <definedName name="wrn.pg8._2" localSheetId="10" hidden="1">{#N/A,#N/A,FALSE,"8"}</definedName>
    <definedName name="wrn.pg8._2" localSheetId="0" hidden="1">{#N/A,#N/A,FALSE,"8"}</definedName>
    <definedName name="wrn.pg8._2" localSheetId="9" hidden="1">{#N/A,#N/A,FALSE,"8"}</definedName>
    <definedName name="wrn.pg8._2" localSheetId="11" hidden="1">{#N/A,#N/A,FALSE,"8"}</definedName>
    <definedName name="wrn.pg8._2" hidden="1">{#N/A,#N/A,FALSE,"8"}</definedName>
    <definedName name="wrn.pg9." localSheetId="7">{#N/A,#N/A,FALSE,"9"}</definedName>
    <definedName name="wrn.pg9." localSheetId="10" hidden="1">{#N/A,#N/A,FALSE,"9"}</definedName>
    <definedName name="wrn.pg9." localSheetId="0" hidden="1">{#N/A,#N/A,FALSE,"9"}</definedName>
    <definedName name="wrn.pg9." localSheetId="9" hidden="1">{#N/A,#N/A,FALSE,"9"}</definedName>
    <definedName name="wrn.pg9." localSheetId="11" hidden="1">{#N/A,#N/A,FALSE,"9"}</definedName>
    <definedName name="wrn.pg9." hidden="1">{#N/A,#N/A,FALSE,"9"}</definedName>
    <definedName name="wrn.pg9._1" localSheetId="7">{#N/A,#N/A,FALSE,"9"}</definedName>
    <definedName name="wrn.pg9._1" localSheetId="10" hidden="1">{#N/A,#N/A,FALSE,"9"}</definedName>
    <definedName name="wrn.pg9._1" localSheetId="0" hidden="1">{#N/A,#N/A,FALSE,"9"}</definedName>
    <definedName name="wrn.pg9._1" localSheetId="9" hidden="1">{#N/A,#N/A,FALSE,"9"}</definedName>
    <definedName name="wrn.pg9._1" localSheetId="11" hidden="1">{#N/A,#N/A,FALSE,"9"}</definedName>
    <definedName name="wrn.pg9._1" hidden="1">{#N/A,#N/A,FALSE,"9"}</definedName>
    <definedName name="wrn.pg9._2" localSheetId="7">{#N/A,#N/A,FALSE,"9"}</definedName>
    <definedName name="wrn.pg9._2" localSheetId="10" hidden="1">{#N/A,#N/A,FALSE,"9"}</definedName>
    <definedName name="wrn.pg9._2" localSheetId="0" hidden="1">{#N/A,#N/A,FALSE,"9"}</definedName>
    <definedName name="wrn.pg9._2" localSheetId="9" hidden="1">{#N/A,#N/A,FALSE,"9"}</definedName>
    <definedName name="wrn.pg9._2" localSheetId="11" hidden="1">{#N/A,#N/A,FALSE,"9"}</definedName>
    <definedName name="wrn.pg9._2" hidden="1">{#N/A,#N/A,FALSE,"9"}</definedName>
    <definedName name="wrn.PL." localSheetId="7">{#N/A,#N/A,FALSE,"PCPL9899"}</definedName>
    <definedName name="wrn.PL." localSheetId="10" hidden="1">{#N/A,#N/A,FALSE,"PCPL9899"}</definedName>
    <definedName name="wrn.PL." localSheetId="0" hidden="1">{#N/A,#N/A,FALSE,"PCPL9899"}</definedName>
    <definedName name="wrn.PL." localSheetId="9" hidden="1">{#N/A,#N/A,FALSE,"PCPL9899"}</definedName>
    <definedName name="wrn.PL." localSheetId="11" hidden="1">{#N/A,#N/A,FALSE,"PCPL9899"}</definedName>
    <definedName name="wrn.PL." hidden="1">{#N/A,#N/A,FALSE,"PCPL9899"}</definedName>
    <definedName name="wrn.PL._1" localSheetId="7">{#N/A,#N/A,FALSE,"PCPL9899"}</definedName>
    <definedName name="wrn.PL._1" localSheetId="10" hidden="1">{#N/A,#N/A,FALSE,"PCPL9899"}</definedName>
    <definedName name="wrn.PL._1" localSheetId="0" hidden="1">{#N/A,#N/A,FALSE,"PCPL9899"}</definedName>
    <definedName name="wrn.PL._1" localSheetId="9" hidden="1">{#N/A,#N/A,FALSE,"PCPL9899"}</definedName>
    <definedName name="wrn.PL._1" localSheetId="11" hidden="1">{#N/A,#N/A,FALSE,"PCPL9899"}</definedName>
    <definedName name="wrn.PL._1" hidden="1">{#N/A,#N/A,FALSE,"PCPL9899"}</definedName>
    <definedName name="wrn.PL._2" localSheetId="7">{#N/A,#N/A,FALSE,"PCPL9899"}</definedName>
    <definedName name="wrn.PL._2" localSheetId="10" hidden="1">{#N/A,#N/A,FALSE,"PCPL9899"}</definedName>
    <definedName name="wrn.PL._2" localSheetId="0" hidden="1">{#N/A,#N/A,FALSE,"PCPL9899"}</definedName>
    <definedName name="wrn.PL._2" localSheetId="9" hidden="1">{#N/A,#N/A,FALSE,"PCPL9899"}</definedName>
    <definedName name="wrn.PL._2" localSheetId="11" hidden="1">{#N/A,#N/A,FALSE,"PCPL9899"}</definedName>
    <definedName name="wrn.PL._2" hidden="1">{#N/A,#N/A,FALSE,"PCPL9899"}</definedName>
    <definedName name="wrn.PLBL." localSheetId="7">{#N/A,#N/A,FALSE,"PCPL9899"}</definedName>
    <definedName name="wrn.PLBL." localSheetId="10" hidden="1">{#N/A,#N/A,FALSE,"PCPL9899"}</definedName>
    <definedName name="wrn.PLBL." localSheetId="0" hidden="1">{#N/A,#N/A,FALSE,"PCPL9899"}</definedName>
    <definedName name="wrn.PLBL." localSheetId="9" hidden="1">{#N/A,#N/A,FALSE,"PCPL9899"}</definedName>
    <definedName name="wrn.PLBL." localSheetId="11" hidden="1">{#N/A,#N/A,FALSE,"PCPL9899"}</definedName>
    <definedName name="wrn.PLBL." hidden="1">{#N/A,#N/A,FALSE,"PCPL9899"}</definedName>
    <definedName name="wrn.PLBL._1" localSheetId="7">{#N/A,#N/A,FALSE,"PCPL9899"}</definedName>
    <definedName name="wrn.PLBL._1" localSheetId="10" hidden="1">{#N/A,#N/A,FALSE,"PCPL9899"}</definedName>
    <definedName name="wrn.PLBL._1" localSheetId="0" hidden="1">{#N/A,#N/A,FALSE,"PCPL9899"}</definedName>
    <definedName name="wrn.PLBL._1" localSheetId="9" hidden="1">{#N/A,#N/A,FALSE,"PCPL9899"}</definedName>
    <definedName name="wrn.PLBL._1" localSheetId="11" hidden="1">{#N/A,#N/A,FALSE,"PCPL9899"}</definedName>
    <definedName name="wrn.PLBL._1" hidden="1">{#N/A,#N/A,FALSE,"PCPL9899"}</definedName>
    <definedName name="wrn.PLBL._2" localSheetId="7">{#N/A,#N/A,FALSE,"PCPL9899"}</definedName>
    <definedName name="wrn.PLBL._2" localSheetId="10" hidden="1">{#N/A,#N/A,FALSE,"PCPL9899"}</definedName>
    <definedName name="wrn.PLBL._2" localSheetId="0" hidden="1">{#N/A,#N/A,FALSE,"PCPL9899"}</definedName>
    <definedName name="wrn.PLBL._2" localSheetId="9" hidden="1">{#N/A,#N/A,FALSE,"PCPL9899"}</definedName>
    <definedName name="wrn.PLBL._2" localSheetId="11" hidden="1">{#N/A,#N/A,FALSE,"PCPL9899"}</definedName>
    <definedName name="wrn.PLBL._2" hidden="1">{#N/A,#N/A,FALSE,"PCPL9899"}</definedName>
    <definedName name="wrn.PLBLSIGN." localSheetId="7">{#N/A,#N/A,FALSE,"PCPL9899"}</definedName>
    <definedName name="wrn.PLBLSIGN." localSheetId="10" hidden="1">{#N/A,#N/A,FALSE,"PCPL9899"}</definedName>
    <definedName name="wrn.PLBLSIGN." localSheetId="0" hidden="1">{#N/A,#N/A,FALSE,"PCPL9899"}</definedName>
    <definedName name="wrn.PLBLSIGN." localSheetId="9" hidden="1">{#N/A,#N/A,FALSE,"PCPL9899"}</definedName>
    <definedName name="wrn.PLBLSIGN." localSheetId="11" hidden="1">{#N/A,#N/A,FALSE,"PCPL9899"}</definedName>
    <definedName name="wrn.PLBLSIGN." hidden="1">{#N/A,#N/A,FALSE,"PCPL9899"}</definedName>
    <definedName name="wrn.PLBLSIGN._1" localSheetId="7">{#N/A,#N/A,FALSE,"PCPL9899"}</definedName>
    <definedName name="wrn.PLBLSIGN._1" localSheetId="10" hidden="1">{#N/A,#N/A,FALSE,"PCPL9899"}</definedName>
    <definedName name="wrn.PLBLSIGN._1" localSheetId="0" hidden="1">{#N/A,#N/A,FALSE,"PCPL9899"}</definedName>
    <definedName name="wrn.PLBLSIGN._1" localSheetId="9" hidden="1">{#N/A,#N/A,FALSE,"PCPL9899"}</definedName>
    <definedName name="wrn.PLBLSIGN._1" localSheetId="11" hidden="1">{#N/A,#N/A,FALSE,"PCPL9899"}</definedName>
    <definedName name="wrn.PLBLSIGN._1" hidden="1">{#N/A,#N/A,FALSE,"PCPL9899"}</definedName>
    <definedName name="wrn.PLBLSIGN._2" localSheetId="7">{#N/A,#N/A,FALSE,"PCPL9899"}</definedName>
    <definedName name="wrn.PLBLSIGN._2" localSheetId="10" hidden="1">{#N/A,#N/A,FALSE,"PCPL9899"}</definedName>
    <definedName name="wrn.PLBLSIGN._2" localSheetId="0" hidden="1">{#N/A,#N/A,FALSE,"PCPL9899"}</definedName>
    <definedName name="wrn.PLBLSIGN._2" localSheetId="9" hidden="1">{#N/A,#N/A,FALSE,"PCPL9899"}</definedName>
    <definedName name="wrn.PLBLSIGN._2" localSheetId="11" hidden="1">{#N/A,#N/A,FALSE,"PCPL9899"}</definedName>
    <definedName name="wrn.PLBLSIGN._2" hidden="1">{#N/A,#N/A,FALSE,"PCPL9899"}</definedName>
    <definedName name="wrn.PM8._.table." localSheetId="7">{#N/A,#N/A,FALSE,"PM8 table"}</definedName>
    <definedName name="wrn.PM8._.table." localSheetId="10" hidden="1">{#N/A,#N/A,FALSE,"PM8 table"}</definedName>
    <definedName name="wrn.PM8._.table." localSheetId="0" hidden="1">{#N/A,#N/A,FALSE,"PM8 table"}</definedName>
    <definedName name="wrn.PM8._.table." localSheetId="9" hidden="1">{#N/A,#N/A,FALSE,"PM8 table"}</definedName>
    <definedName name="wrn.PM8._.table." localSheetId="11" hidden="1">{#N/A,#N/A,FALSE,"PM8 table"}</definedName>
    <definedName name="wrn.PM8._.table." hidden="1">{#N/A,#N/A,FALSE,"PM8 table"}</definedName>
    <definedName name="wrn.Print.">#REF!</definedName>
    <definedName name="wrn.print._.all." localSheetId="7">{#N/A,#N/A,FALSE,"$170M Cash";#N/A,#N/A,FALSE,"$250M Cash";#N/A,#N/A,FALSE,"$325M Cash"}</definedName>
    <definedName name="wrn.print._.all." localSheetId="10" hidden="1">{#N/A,#N/A,FALSE,"$170M Cash";#N/A,#N/A,FALSE,"$250M Cash";#N/A,#N/A,FALSE,"$325M Cash"}</definedName>
    <definedName name="wrn.print._.all." localSheetId="0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11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._.allb" localSheetId="7">{#N/A,#N/A,FALSE,"$170M Cash";#N/A,#N/A,FALSE,"$250M Cash";#N/A,#N/A,FALSE,"$325M Cash"}</definedName>
    <definedName name="wrn.print._.allb" localSheetId="10" hidden="1">{#N/A,#N/A,FALSE,"$170M Cash";#N/A,#N/A,FALSE,"$250M Cash";#N/A,#N/A,FALSE,"$325M Cash"}</definedName>
    <definedName name="wrn.print._.allb" localSheetId="0" hidden="1">{#N/A,#N/A,FALSE,"$170M Cash";#N/A,#N/A,FALSE,"$250M Cash";#N/A,#N/A,FALSE,"$325M Cash"}</definedName>
    <definedName name="wrn.print._.allb" localSheetId="9" hidden="1">{#N/A,#N/A,FALSE,"$170M Cash";#N/A,#N/A,FALSE,"$250M Cash";#N/A,#N/A,FALSE,"$325M Cash"}</definedName>
    <definedName name="wrn.print._.allb" localSheetId="11" hidden="1">{#N/A,#N/A,FALSE,"$170M Cash";#N/A,#N/A,FALSE,"$250M Cash";#N/A,#N/A,FALSE,"$325M Cash"}</definedName>
    <definedName name="wrn.print._.allb" hidden="1">{#N/A,#N/A,FALSE,"$170M Cash";#N/A,#N/A,FALSE,"$250M Cash";#N/A,#N/A,FALSE,"$325M Cash"}</definedName>
    <definedName name="wrn.print._.graphs.">#REF!</definedName>
    <definedName name="wrn.print._.raw._.data._.entry.">#REF!</definedName>
    <definedName name="wrn.print._.standalone.">#REF!</definedName>
    <definedName name="wrn.print._.summary._.sheets.">#REF!</definedName>
    <definedName name="wrn.Print_Buyer.">#REF!</definedName>
    <definedName name="wrn.Print_Target.">#REF!</definedName>
    <definedName name="wrn.Printout.">{"page1",#N/A,FALSE,"Casual RLE";"page2",#N/A,FALSE,"Casual RLE"}</definedName>
    <definedName name="wrn.printqtr.">#REF!</definedName>
    <definedName name="wrn.Productivity." localSheetId="7">{#N/A,#N/A,FALSE,"Productivity"}</definedName>
    <definedName name="wrn.Productivity." localSheetId="10" hidden="1">{#N/A,#N/A,FALSE,"Productivity"}</definedName>
    <definedName name="wrn.Productivity." localSheetId="0" hidden="1">{#N/A,#N/A,FALSE,"Productivity"}</definedName>
    <definedName name="wrn.Productivity." localSheetId="9" hidden="1">{#N/A,#N/A,FALSE,"Productivity"}</definedName>
    <definedName name="wrn.Productivity." localSheetId="11" hidden="1">{#N/A,#N/A,FALSE,"Productivity"}</definedName>
    <definedName name="wrn.Productivity." hidden="1">{#N/A,#N/A,FALSE,"Productivity"}</definedName>
    <definedName name="wrn.Pulp.">{"Pulp Production",#N/A,FALSE,"Pulp";"Pulp Earnings",#N/A,FALSE,"Pulp"}</definedName>
    <definedName name="wrn.Pump.">#REF!</definedName>
    <definedName name="wrn.Pyramid." localSheetId="7">{#N/A,#N/A,FALSE,"Pyramid"}</definedName>
    <definedName name="wrn.Pyramid." localSheetId="10" hidden="1">{#N/A,#N/A,FALSE,"Pyramid"}</definedName>
    <definedName name="wrn.Pyramid." localSheetId="0" hidden="1">{#N/A,#N/A,FALSE,"Pyramid"}</definedName>
    <definedName name="wrn.Pyramid." localSheetId="9" hidden="1">{#N/A,#N/A,FALSE,"Pyramid"}</definedName>
    <definedName name="wrn.Pyramid." localSheetId="11" hidden="1">{#N/A,#N/A,FALSE,"Pyramid"}</definedName>
    <definedName name="wrn.Pyramid." hidden="1">{#N/A,#N/A,FALSE,"Pyramid"}</definedName>
    <definedName name="wrn.Q._.Report.">{"Quarterly Earnings",#N/A,FALSE,"FTS";"Quarterly Margins",#N/A,FALSE,"FTS";"Q Sales",#N/A,FALSE,"FTS";"Q EBIT",#N/A,FALSE,"FTS";"Unit Analysis",#N/A,FALSE,"FTS";"Inventory Analysis",#N/A,FALSE,"FTS"}</definedName>
    <definedName name="wrn.Quarterly._.Expense._.Detail._.All." localSheetId="7">{"Expenseq All",#N/A,FALSE,"Exp";"Expenseq Eng",#N/A,FALSE,"Eng";"Exp by Eng Proj by Qtr",#N/A,FALSE,"Eng";"Expenseq Mkt",#N/A,FALSE,"Mkt";"Expenseq Sales",#N/A,FALSE,"Sales";"Expenseq Mfg",#N/A,FALSE,"Mfg";"Expenseq Serv",#N/A,FALSE,"Serv";"Expenseq General",#N/A,FALSE,"G&amp;A"}</definedName>
    <definedName name="wrn.Quarterly._.Expense._.Detail._.All." localSheetId="10" hidden="1">{"Expenseq All",#N/A,FALSE,"Exp";"Expenseq Eng",#N/A,FALSE,"Eng";"Exp by Eng Proj by Qtr",#N/A,FALSE,"Eng";"Expenseq Mkt",#N/A,FALSE,"Mkt";"Expenseq Sales",#N/A,FALSE,"Sales";"Expenseq Mfg",#N/A,FALSE,"Mfg";"Expenseq Serv",#N/A,FALSE,"Serv";"Expenseq General",#N/A,FALSE,"G&amp;A"}</definedName>
    <definedName name="wrn.Quarterly._.Expense._.Detail._.All." localSheetId="0" hidden="1">{"Expenseq All",#N/A,FALSE,"Exp";"Expenseq Eng",#N/A,FALSE,"Eng";"Exp by Eng Proj by Qtr",#N/A,FALSE,"Eng";"Expenseq Mkt",#N/A,FALSE,"Mkt";"Expenseq Sales",#N/A,FALSE,"Sales";"Expenseq Mfg",#N/A,FALSE,"Mfg";"Expenseq Serv",#N/A,FALSE,"Serv";"Expenseq General",#N/A,FALSE,"G&amp;A"}</definedName>
    <definedName name="wrn.Quarterly._.Expense._.Detail._.All." localSheetId="9" hidden="1">{"Expenseq All",#N/A,FALSE,"Exp";"Expenseq Eng",#N/A,FALSE,"Eng";"Exp by Eng Proj by Qtr",#N/A,FALSE,"Eng";"Expenseq Mkt",#N/A,FALSE,"Mkt";"Expenseq Sales",#N/A,FALSE,"Sales";"Expenseq Mfg",#N/A,FALSE,"Mfg";"Expenseq Serv",#N/A,FALSE,"Serv";"Expenseq General",#N/A,FALSE,"G&amp;A"}</definedName>
    <definedName name="wrn.Quarterly._.Expense._.Detail._.All." localSheetId="11" hidden="1">{"Expenseq All",#N/A,FALSE,"Exp";"Expenseq Eng",#N/A,FALSE,"Eng";"Exp by Eng Proj by Qtr",#N/A,FALSE,"Eng";"Expenseq Mkt",#N/A,FALSE,"Mkt";"Expenseq Sales",#N/A,FALSE,"Sales";"Expenseq Mfg",#N/A,FALSE,"Mfg";"Expenseq Serv",#N/A,FALSE,"Serv";"Expenseq General",#N/A,FALSE,"G&amp;A"}</definedName>
    <definedName name="wrn.Quarterly._.Expense._.Detail._.All." hidden="1">{"Expenseq All",#N/A,FALSE,"Exp";"Expenseq Eng",#N/A,FALSE,"Eng";"Exp by Eng Proj by Qtr",#N/A,FALSE,"Eng";"Expenseq Mkt",#N/A,FALSE,"Mkt";"Expenseq Sales",#N/A,FALSE,"Sales";"Expenseq Mfg",#N/A,FALSE,"Mfg";"Expenseq Serv",#N/A,FALSE,"Serv";"Expenseq General",#N/A,FALSE,"G&amp;A"}</definedName>
    <definedName name="wrn.Regions._.Bank.">#REF!</definedName>
    <definedName name="wrn.RELEVANTSHEETS.">#REF!</definedName>
    <definedName name="wrn.REPORT." localSheetId="7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" localSheetId="10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" localSheetId="0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" localSheetId="9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" localSheetId="11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1.">#REF!</definedName>
    <definedName name="wrn.Revenue." localSheetId="7">{#N/A,#N/A,TRUE,"WW SUMMARY";#N/A,#N/A,TRUE,"DOMESTIC";#N/A,#N/A,TRUE,"INT'L";#N/A,#N/A,TRUE,"WW OEM";#N/A,#N/A,TRUE,"WW TIER 1";#N/A,#N/A,TRUE,"WW TIER 2";#N/A,#N/A,TRUE,"WW BAY"}</definedName>
    <definedName name="wrn.Revenue." localSheetId="10" hidden="1">{#N/A,#N/A,TRUE,"WW SUMMARY";#N/A,#N/A,TRUE,"DOMESTIC";#N/A,#N/A,TRUE,"INT'L";#N/A,#N/A,TRUE,"WW OEM";#N/A,#N/A,TRUE,"WW TIER 1";#N/A,#N/A,TRUE,"WW TIER 2";#N/A,#N/A,TRUE,"WW BAY"}</definedName>
    <definedName name="wrn.Revenue." localSheetId="0" hidden="1">{#N/A,#N/A,TRUE,"WW SUMMARY";#N/A,#N/A,TRUE,"DOMESTIC";#N/A,#N/A,TRUE,"INT'L";#N/A,#N/A,TRUE,"WW OEM";#N/A,#N/A,TRUE,"WW TIER 1";#N/A,#N/A,TRUE,"WW TIER 2";#N/A,#N/A,TRUE,"WW BAY"}</definedName>
    <definedName name="wrn.Revenue." localSheetId="9" hidden="1">{#N/A,#N/A,TRUE,"WW SUMMARY";#N/A,#N/A,TRUE,"DOMESTIC";#N/A,#N/A,TRUE,"INT'L";#N/A,#N/A,TRUE,"WW OEM";#N/A,#N/A,TRUE,"WW TIER 1";#N/A,#N/A,TRUE,"WW TIER 2";#N/A,#N/A,TRUE,"WW BAY"}</definedName>
    <definedName name="wrn.Revenue." localSheetId="11" hidden="1">{#N/A,#N/A,TRUE,"WW SUMMARY";#N/A,#N/A,TRUE,"DOMESTIC";#N/A,#N/A,TRUE,"INT'L";#N/A,#N/A,TRUE,"WW OEM";#N/A,#N/A,TRUE,"WW TIER 1";#N/A,#N/A,TRUE,"WW TIER 2";#N/A,#N/A,TRUE,"WW BAY"}</definedName>
    <definedName name="wrn.Revenue." hidden="1">{#N/A,#N/A,TRUE,"WW SUMMARY";#N/A,#N/A,TRUE,"DOMESTIC";#N/A,#N/A,TRUE,"INT'L";#N/A,#N/A,TRUE,"WW OEM";#N/A,#N/A,TRUE,"WW TIER 1";#N/A,#N/A,TRUE,"WW TIER 2";#N/A,#N/A,TRUE,"WW BAY"}</definedName>
    <definedName name="wrn.ReviewPack.">#REF!</definedName>
    <definedName name="wrn.ReviewPackBrief.">#REF!</definedName>
    <definedName name="wrn.Sales._.Schedule." localSheetId="7">{#N/A,#N/A,FALSE,"Invoice Wise Sales"}</definedName>
    <definedName name="wrn.Sales._.Schedule." localSheetId="10" hidden="1">{#N/A,#N/A,FALSE,"Invoice Wise Sales"}</definedName>
    <definedName name="wrn.Sales._.Schedule." localSheetId="0" hidden="1">{#N/A,#N/A,FALSE,"Invoice Wise Sales"}</definedName>
    <definedName name="wrn.Sales._.Schedule." localSheetId="9" hidden="1">{#N/A,#N/A,FALSE,"Invoice Wise Sales"}</definedName>
    <definedName name="wrn.Sales._.Schedule." localSheetId="11" hidden="1">{#N/A,#N/A,FALSE,"Invoice Wise Sales"}</definedName>
    <definedName name="wrn.Sales._.Schedule." hidden="1">{#N/A,#N/A,FALSE,"Invoice Wise Sales"}</definedName>
    <definedName name="wrn.Sales._.Schedule._1" localSheetId="7">{#N/A,#N/A,FALSE,"Invoice Wise Sales"}</definedName>
    <definedName name="wrn.Sales._.Schedule._1" localSheetId="10" hidden="1">{#N/A,#N/A,FALSE,"Invoice Wise Sales"}</definedName>
    <definedName name="wrn.Sales._.Schedule._1" localSheetId="0" hidden="1">{#N/A,#N/A,FALSE,"Invoice Wise Sales"}</definedName>
    <definedName name="wrn.Sales._.Schedule._1" localSheetId="9" hidden="1">{#N/A,#N/A,FALSE,"Invoice Wise Sales"}</definedName>
    <definedName name="wrn.Sales._.Schedule._1" localSheetId="11" hidden="1">{#N/A,#N/A,FALSE,"Invoice Wise Sales"}</definedName>
    <definedName name="wrn.Sales._.Schedule._1" hidden="1">{#N/A,#N/A,FALSE,"Invoice Wise Sales"}</definedName>
    <definedName name="wrn.Sales._.Schedule._2" localSheetId="7">{#N/A,#N/A,FALSE,"Invoice Wise Sales"}</definedName>
    <definedName name="wrn.Sales._.Schedule._2" localSheetId="10" hidden="1">{#N/A,#N/A,FALSE,"Invoice Wise Sales"}</definedName>
    <definedName name="wrn.Sales._.Schedule._2" localSheetId="0" hidden="1">{#N/A,#N/A,FALSE,"Invoice Wise Sales"}</definedName>
    <definedName name="wrn.Sales._.Schedule._2" localSheetId="9" hidden="1">{#N/A,#N/A,FALSE,"Invoice Wise Sales"}</definedName>
    <definedName name="wrn.Sales._.Schedule._2" localSheetId="11" hidden="1">{#N/A,#N/A,FALSE,"Invoice Wise Sales"}</definedName>
    <definedName name="wrn.Sales._.Schedule._2" hidden="1">{#N/A,#N/A,FALSE,"Invoice Wise Sales"}</definedName>
    <definedName name="wrn.SCHEDULE._.A._.AND._.B." localSheetId="7">{"Sch A.and B.",#N/A,FALSE,"SCH-lacs"}</definedName>
    <definedName name="wrn.SCHEDULE._.A._.AND._.B." localSheetId="10" hidden="1">{"Sch A.and B.",#N/A,FALSE,"SCH-lacs"}</definedName>
    <definedName name="wrn.SCHEDULE._.A._.AND._.B." localSheetId="0" hidden="1">{"Sch A.and B.",#N/A,FALSE,"SCH-lacs"}</definedName>
    <definedName name="wrn.SCHEDULE._.A._.AND._.B." localSheetId="9" hidden="1">{"Sch A.and B.",#N/A,FALSE,"SCH-lacs"}</definedName>
    <definedName name="wrn.SCHEDULE._.A._.AND._.B." localSheetId="11" hidden="1">{"Sch A.and B.",#N/A,FALSE,"SCH-lacs"}</definedName>
    <definedName name="wrn.SCHEDULE._.A._.AND._.B." hidden="1">{"Sch A.and B.",#N/A,FALSE,"SCH-lacs"}</definedName>
    <definedName name="wrn.SCHEDULE._.A._.AND._.B._1" localSheetId="7">{"Sch A.and B.",#N/A,FALSE,"SCH-lacs"}</definedName>
    <definedName name="wrn.SCHEDULE._.A._.AND._.B._1" localSheetId="10" hidden="1">{"Sch A.and B.",#N/A,FALSE,"SCH-lacs"}</definedName>
    <definedName name="wrn.SCHEDULE._.A._.AND._.B._1" localSheetId="0" hidden="1">{"Sch A.and B.",#N/A,FALSE,"SCH-lacs"}</definedName>
    <definedName name="wrn.SCHEDULE._.A._.AND._.B._1" localSheetId="9" hidden="1">{"Sch A.and B.",#N/A,FALSE,"SCH-lacs"}</definedName>
    <definedName name="wrn.SCHEDULE._.A._.AND._.B._1" localSheetId="11" hidden="1">{"Sch A.and B.",#N/A,FALSE,"SCH-lacs"}</definedName>
    <definedName name="wrn.SCHEDULE._.A._.AND._.B._1" hidden="1">{"Sch A.and B.",#N/A,FALSE,"SCH-lacs"}</definedName>
    <definedName name="wrn.SCHEDULE._.A._.AND._.B._2" localSheetId="7">{"Sch A.and B.",#N/A,FALSE,"SCH-lacs"}</definedName>
    <definedName name="wrn.SCHEDULE._.A._.AND._.B._2" localSheetId="10" hidden="1">{"Sch A.and B.",#N/A,FALSE,"SCH-lacs"}</definedName>
    <definedName name="wrn.SCHEDULE._.A._.AND._.B._2" localSheetId="0" hidden="1">{"Sch A.and B.",#N/A,FALSE,"SCH-lacs"}</definedName>
    <definedName name="wrn.SCHEDULE._.A._.AND._.B._2" localSheetId="9" hidden="1">{"Sch A.and B.",#N/A,FALSE,"SCH-lacs"}</definedName>
    <definedName name="wrn.SCHEDULE._.A._.AND._.B._2" localSheetId="11" hidden="1">{"Sch A.and B.",#N/A,FALSE,"SCH-lacs"}</definedName>
    <definedName name="wrn.SCHEDULE._.A._.AND._.B._2" hidden="1">{"Sch A.and B.",#N/A,FALSE,"SCH-lacs"}</definedName>
    <definedName name="wrn.SCHEDULE._.C." localSheetId="7">{"Sch C.",#N/A,FALSE,"SCH-lacs"}</definedName>
    <definedName name="wrn.SCHEDULE._.C." localSheetId="10" hidden="1">{"Sch C.",#N/A,FALSE,"SCH-lacs"}</definedName>
    <definedName name="wrn.SCHEDULE._.C." localSheetId="0" hidden="1">{"Sch C.",#N/A,FALSE,"SCH-lacs"}</definedName>
    <definedName name="wrn.SCHEDULE._.C." localSheetId="9" hidden="1">{"Sch C.",#N/A,FALSE,"SCH-lacs"}</definedName>
    <definedName name="wrn.SCHEDULE._.C." localSheetId="11" hidden="1">{"Sch C.",#N/A,FALSE,"SCH-lacs"}</definedName>
    <definedName name="wrn.SCHEDULE._.C." hidden="1">{"Sch C.",#N/A,FALSE,"SCH-lacs"}</definedName>
    <definedName name="wrn.SCHEDULE._.C._1" localSheetId="7">{"Sch C.",#N/A,FALSE,"SCH-lacs"}</definedName>
    <definedName name="wrn.SCHEDULE._.C._1" localSheetId="10" hidden="1">{"Sch C.",#N/A,FALSE,"SCH-lacs"}</definedName>
    <definedName name="wrn.SCHEDULE._.C._1" localSheetId="0" hidden="1">{"Sch C.",#N/A,FALSE,"SCH-lacs"}</definedName>
    <definedName name="wrn.SCHEDULE._.C._1" localSheetId="9" hidden="1">{"Sch C.",#N/A,FALSE,"SCH-lacs"}</definedName>
    <definedName name="wrn.SCHEDULE._.C._1" localSheetId="11" hidden="1">{"Sch C.",#N/A,FALSE,"SCH-lacs"}</definedName>
    <definedName name="wrn.SCHEDULE._.C._1" hidden="1">{"Sch C.",#N/A,FALSE,"SCH-lacs"}</definedName>
    <definedName name="wrn.SCHEDULE._.C._2" localSheetId="7">{"Sch C.",#N/A,FALSE,"SCH-lacs"}</definedName>
    <definedName name="wrn.SCHEDULE._.C._2" localSheetId="10" hidden="1">{"Sch C.",#N/A,FALSE,"SCH-lacs"}</definedName>
    <definedName name="wrn.SCHEDULE._.C._2" localSheetId="0" hidden="1">{"Sch C.",#N/A,FALSE,"SCH-lacs"}</definedName>
    <definedName name="wrn.SCHEDULE._.C._2" localSheetId="9" hidden="1">{"Sch C.",#N/A,FALSE,"SCH-lacs"}</definedName>
    <definedName name="wrn.SCHEDULE._.C._2" localSheetId="11" hidden="1">{"Sch C.",#N/A,FALSE,"SCH-lacs"}</definedName>
    <definedName name="wrn.SCHEDULE._.C._2" hidden="1">{"Sch C.",#N/A,FALSE,"SCH-lacs"}</definedName>
    <definedName name="wrn.SCHEDULE._.D." localSheetId="7">{"Sch D",#N/A,FALSE,"SCH-lacs"}</definedName>
    <definedName name="wrn.SCHEDULE._.D." localSheetId="10" hidden="1">{"Sch D",#N/A,FALSE,"SCH-lacs"}</definedName>
    <definedName name="wrn.SCHEDULE._.D." localSheetId="0" hidden="1">{"Sch D",#N/A,FALSE,"SCH-lacs"}</definedName>
    <definedName name="wrn.SCHEDULE._.D." localSheetId="9" hidden="1">{"Sch D",#N/A,FALSE,"SCH-lacs"}</definedName>
    <definedName name="wrn.SCHEDULE._.D." localSheetId="11" hidden="1">{"Sch D",#N/A,FALSE,"SCH-lacs"}</definedName>
    <definedName name="wrn.SCHEDULE._.D." hidden="1">{"Sch D",#N/A,FALSE,"SCH-lacs"}</definedName>
    <definedName name="wrn.SCHEDULE._.D._1" localSheetId="7">{"Sch D",#N/A,FALSE,"SCH-lacs"}</definedName>
    <definedName name="wrn.SCHEDULE._.D._1" localSheetId="10" hidden="1">{"Sch D",#N/A,FALSE,"SCH-lacs"}</definedName>
    <definedName name="wrn.SCHEDULE._.D._1" localSheetId="0" hidden="1">{"Sch D",#N/A,FALSE,"SCH-lacs"}</definedName>
    <definedName name="wrn.SCHEDULE._.D._1" localSheetId="9" hidden="1">{"Sch D",#N/A,FALSE,"SCH-lacs"}</definedName>
    <definedName name="wrn.SCHEDULE._.D._1" localSheetId="11" hidden="1">{"Sch D",#N/A,FALSE,"SCH-lacs"}</definedName>
    <definedName name="wrn.SCHEDULE._.D._1" hidden="1">{"Sch D",#N/A,FALSE,"SCH-lacs"}</definedName>
    <definedName name="wrn.SCHEDULE._.D._2" localSheetId="7">{"Sch D",#N/A,FALSE,"SCH-lacs"}</definedName>
    <definedName name="wrn.SCHEDULE._.D._2" localSheetId="10" hidden="1">{"Sch D",#N/A,FALSE,"SCH-lacs"}</definedName>
    <definedName name="wrn.SCHEDULE._.D._2" localSheetId="0" hidden="1">{"Sch D",#N/A,FALSE,"SCH-lacs"}</definedName>
    <definedName name="wrn.SCHEDULE._.D._2" localSheetId="9" hidden="1">{"Sch D",#N/A,FALSE,"SCH-lacs"}</definedName>
    <definedName name="wrn.SCHEDULE._.D._2" localSheetId="11" hidden="1">{"Sch D",#N/A,FALSE,"SCH-lacs"}</definedName>
    <definedName name="wrn.SCHEDULE._.D._2" hidden="1">{"Sch D",#N/A,FALSE,"SCH-lacs"}</definedName>
    <definedName name="wrn.SCHEDULE._.E." localSheetId="7">{"Schedule E",#N/A,FALSE,"E-lacs"}</definedName>
    <definedName name="wrn.SCHEDULE._.E." localSheetId="10" hidden="1">{"Schedule E",#N/A,FALSE,"E-lacs"}</definedName>
    <definedName name="wrn.SCHEDULE._.E." localSheetId="0" hidden="1">{"Schedule E",#N/A,FALSE,"E-lacs"}</definedName>
    <definedName name="wrn.SCHEDULE._.E." localSheetId="9" hidden="1">{"Schedule E",#N/A,FALSE,"E-lacs"}</definedName>
    <definedName name="wrn.SCHEDULE._.E." localSheetId="11" hidden="1">{"Schedule E",#N/A,FALSE,"E-lacs"}</definedName>
    <definedName name="wrn.SCHEDULE._.E." hidden="1">{"Schedule E",#N/A,FALSE,"E-lacs"}</definedName>
    <definedName name="wrn.SCHEDULE._.E._1" localSheetId="7">{"Schedule E",#N/A,FALSE,"E-lacs"}</definedName>
    <definedName name="wrn.SCHEDULE._.E._1" localSheetId="10" hidden="1">{"Schedule E",#N/A,FALSE,"E-lacs"}</definedName>
    <definedName name="wrn.SCHEDULE._.E._1" localSheetId="0" hidden="1">{"Schedule E",#N/A,FALSE,"E-lacs"}</definedName>
    <definedName name="wrn.SCHEDULE._.E._1" localSheetId="9" hidden="1">{"Schedule E",#N/A,FALSE,"E-lacs"}</definedName>
    <definedName name="wrn.SCHEDULE._.E._1" localSheetId="11" hidden="1">{"Schedule E",#N/A,FALSE,"E-lacs"}</definedName>
    <definedName name="wrn.SCHEDULE._.E._1" hidden="1">{"Schedule E",#N/A,FALSE,"E-lacs"}</definedName>
    <definedName name="wrn.SCHEDULE._.E._2" localSheetId="7">{"Schedule E",#N/A,FALSE,"E-lacs"}</definedName>
    <definedName name="wrn.SCHEDULE._.E._2" localSheetId="10" hidden="1">{"Schedule E",#N/A,FALSE,"E-lacs"}</definedName>
    <definedName name="wrn.SCHEDULE._.E._2" localSheetId="0" hidden="1">{"Schedule E",#N/A,FALSE,"E-lacs"}</definedName>
    <definedName name="wrn.SCHEDULE._.E._2" localSheetId="9" hidden="1">{"Schedule E",#N/A,FALSE,"E-lacs"}</definedName>
    <definedName name="wrn.SCHEDULE._.E._2" localSheetId="11" hidden="1">{"Schedule E",#N/A,FALSE,"E-lacs"}</definedName>
    <definedName name="wrn.SCHEDULE._.E._2" hidden="1">{"Schedule E",#N/A,FALSE,"E-lacs"}</definedName>
    <definedName name="wrn.SCHEDULE._.F." localSheetId="7">{"Schedule F",#N/A,FALSE,"G"}</definedName>
    <definedName name="wrn.SCHEDULE._.F." localSheetId="10" hidden="1">{"Schedule F",#N/A,FALSE,"G"}</definedName>
    <definedName name="wrn.SCHEDULE._.F." localSheetId="0" hidden="1">{"Schedule F",#N/A,FALSE,"G"}</definedName>
    <definedName name="wrn.SCHEDULE._.F." localSheetId="9" hidden="1">{"Schedule F",#N/A,FALSE,"G"}</definedName>
    <definedName name="wrn.SCHEDULE._.F." localSheetId="11" hidden="1">{"Schedule F",#N/A,FALSE,"G"}</definedName>
    <definedName name="wrn.SCHEDULE._.F." hidden="1">{"Schedule F",#N/A,FALSE,"G"}</definedName>
    <definedName name="wrn.SCHEDULE._.F._1" localSheetId="7">{"Schedule F",#N/A,FALSE,"G"}</definedName>
    <definedName name="wrn.SCHEDULE._.F._1" localSheetId="10" hidden="1">{"Schedule F",#N/A,FALSE,"G"}</definedName>
    <definedName name="wrn.SCHEDULE._.F._1" localSheetId="0" hidden="1">{"Schedule F",#N/A,FALSE,"G"}</definedName>
    <definedName name="wrn.SCHEDULE._.F._1" localSheetId="9" hidden="1">{"Schedule F",#N/A,FALSE,"G"}</definedName>
    <definedName name="wrn.SCHEDULE._.F._1" localSheetId="11" hidden="1">{"Schedule F",#N/A,FALSE,"G"}</definedName>
    <definedName name="wrn.SCHEDULE._.F._1" hidden="1">{"Schedule F",#N/A,FALSE,"G"}</definedName>
    <definedName name="wrn.SCHEDULE._.F._2" localSheetId="7">{"Schedule F",#N/A,FALSE,"G"}</definedName>
    <definedName name="wrn.SCHEDULE._.F._2" localSheetId="10" hidden="1">{"Schedule F",#N/A,FALSE,"G"}</definedName>
    <definedName name="wrn.SCHEDULE._.F._2" localSheetId="0" hidden="1">{"Schedule F",#N/A,FALSE,"G"}</definedName>
    <definedName name="wrn.SCHEDULE._.F._2" localSheetId="9" hidden="1">{"Schedule F",#N/A,FALSE,"G"}</definedName>
    <definedName name="wrn.SCHEDULE._.F._2" localSheetId="11" hidden="1">{"Schedule F",#N/A,FALSE,"G"}</definedName>
    <definedName name="wrn.SCHEDULE._.F._2" hidden="1">{"Schedule F",#N/A,FALSE,"G"}</definedName>
    <definedName name="wrn.SCHEDULE._.G." localSheetId="7">{"Schedule G",#N/A,FALSE,"G-lacs"}</definedName>
    <definedName name="wrn.SCHEDULE._.G." localSheetId="10" hidden="1">{"Schedule G",#N/A,FALSE,"G-lacs"}</definedName>
    <definedName name="wrn.SCHEDULE._.G." localSheetId="0" hidden="1">{"Schedule G",#N/A,FALSE,"G-lacs"}</definedName>
    <definedName name="wrn.SCHEDULE._.G." localSheetId="9" hidden="1">{"Schedule G",#N/A,FALSE,"G-lacs"}</definedName>
    <definedName name="wrn.SCHEDULE._.G." localSheetId="11" hidden="1">{"Schedule G",#N/A,FALSE,"G-lacs"}</definedName>
    <definedName name="wrn.SCHEDULE._.G." hidden="1">{"Schedule G",#N/A,FALSE,"G-lacs"}</definedName>
    <definedName name="wrn.SCHEDULE._.G._1" localSheetId="7">{"Schedule G",#N/A,FALSE,"G-lacs"}</definedName>
    <definedName name="wrn.SCHEDULE._.G._1" localSheetId="10" hidden="1">{"Schedule G",#N/A,FALSE,"G-lacs"}</definedName>
    <definedName name="wrn.SCHEDULE._.G._1" localSheetId="0" hidden="1">{"Schedule G",#N/A,FALSE,"G-lacs"}</definedName>
    <definedName name="wrn.SCHEDULE._.G._1" localSheetId="9" hidden="1">{"Schedule G",#N/A,FALSE,"G-lacs"}</definedName>
    <definedName name="wrn.SCHEDULE._.G._1" localSheetId="11" hidden="1">{"Schedule G",#N/A,FALSE,"G-lacs"}</definedName>
    <definedName name="wrn.SCHEDULE._.G._1" hidden="1">{"Schedule G",#N/A,FALSE,"G-lacs"}</definedName>
    <definedName name="wrn.SCHEDULE._.G._2" localSheetId="7">{"Schedule G",#N/A,FALSE,"G-lacs"}</definedName>
    <definedName name="wrn.SCHEDULE._.G._2" localSheetId="10" hidden="1">{"Schedule G",#N/A,FALSE,"G-lacs"}</definedName>
    <definedName name="wrn.SCHEDULE._.G._2" localSheetId="0" hidden="1">{"Schedule G",#N/A,FALSE,"G-lacs"}</definedName>
    <definedName name="wrn.SCHEDULE._.G._2" localSheetId="9" hidden="1">{"Schedule G",#N/A,FALSE,"G-lacs"}</definedName>
    <definedName name="wrn.SCHEDULE._.G._2" localSheetId="11" hidden="1">{"Schedule G",#N/A,FALSE,"G-lacs"}</definedName>
    <definedName name="wrn.SCHEDULE._.G._2" hidden="1">{"Schedule G",#N/A,FALSE,"G-lacs"}</definedName>
    <definedName name="wrn.SCHEDULE._.H." localSheetId="7">{"Schedule H",#N/A,FALSE,"SCH-lacs"}</definedName>
    <definedName name="wrn.SCHEDULE._.H." localSheetId="10" hidden="1">{"Schedule H",#N/A,FALSE,"SCH-lacs"}</definedName>
    <definedName name="wrn.SCHEDULE._.H." localSheetId="0" hidden="1">{"Schedule H",#N/A,FALSE,"SCH-lacs"}</definedName>
    <definedName name="wrn.SCHEDULE._.H." localSheetId="9" hidden="1">{"Schedule H",#N/A,FALSE,"SCH-lacs"}</definedName>
    <definedName name="wrn.SCHEDULE._.H." localSheetId="11" hidden="1">{"Schedule H",#N/A,FALSE,"SCH-lacs"}</definedName>
    <definedName name="wrn.SCHEDULE._.H." hidden="1">{"Schedule H",#N/A,FALSE,"SCH-lacs"}</definedName>
    <definedName name="wrn.SCHEDULE._.H._1" localSheetId="7">{"Schedule H",#N/A,FALSE,"SCH-lacs"}</definedName>
    <definedName name="wrn.SCHEDULE._.H._1" localSheetId="10" hidden="1">{"Schedule H",#N/A,FALSE,"SCH-lacs"}</definedName>
    <definedName name="wrn.SCHEDULE._.H._1" localSheetId="0" hidden="1">{"Schedule H",#N/A,FALSE,"SCH-lacs"}</definedName>
    <definedName name="wrn.SCHEDULE._.H._1" localSheetId="9" hidden="1">{"Schedule H",#N/A,FALSE,"SCH-lacs"}</definedName>
    <definedName name="wrn.SCHEDULE._.H._1" localSheetId="11" hidden="1">{"Schedule H",#N/A,FALSE,"SCH-lacs"}</definedName>
    <definedName name="wrn.SCHEDULE._.H._1" hidden="1">{"Schedule H",#N/A,FALSE,"SCH-lacs"}</definedName>
    <definedName name="wrn.SCHEDULE._.H._2" localSheetId="7">{"Schedule H",#N/A,FALSE,"SCH-lacs"}</definedName>
    <definedName name="wrn.SCHEDULE._.H._2" localSheetId="10" hidden="1">{"Schedule H",#N/A,FALSE,"SCH-lacs"}</definedName>
    <definedName name="wrn.SCHEDULE._.H._2" localSheetId="0" hidden="1">{"Schedule H",#N/A,FALSE,"SCH-lacs"}</definedName>
    <definedName name="wrn.SCHEDULE._.H._2" localSheetId="9" hidden="1">{"Schedule H",#N/A,FALSE,"SCH-lacs"}</definedName>
    <definedName name="wrn.SCHEDULE._.H._2" localSheetId="11" hidden="1">{"Schedule H",#N/A,FALSE,"SCH-lacs"}</definedName>
    <definedName name="wrn.SCHEDULE._.H._2" hidden="1">{"Schedule H",#N/A,FALSE,"SCH-lacs"}</definedName>
    <definedName name="wrn.SCHEDULE._.I." localSheetId="7">{"Schedule I",#N/A,FALSE,"SCH-lacs"}</definedName>
    <definedName name="wrn.SCHEDULE._.I." localSheetId="10" hidden="1">{"Schedule I",#N/A,FALSE,"SCH-lacs"}</definedName>
    <definedName name="wrn.SCHEDULE._.I." localSheetId="0" hidden="1">{"Schedule I",#N/A,FALSE,"SCH-lacs"}</definedName>
    <definedName name="wrn.SCHEDULE._.I." localSheetId="9" hidden="1">{"Schedule I",#N/A,FALSE,"SCH-lacs"}</definedName>
    <definedName name="wrn.SCHEDULE._.I." localSheetId="11" hidden="1">{"Schedule I",#N/A,FALSE,"SCH-lacs"}</definedName>
    <definedName name="wrn.SCHEDULE._.I." hidden="1">{"Schedule I",#N/A,FALSE,"SCH-lacs"}</definedName>
    <definedName name="wrn.SCHEDULE._.I._1" localSheetId="7">{"Schedule I",#N/A,FALSE,"SCH-lacs"}</definedName>
    <definedName name="wrn.SCHEDULE._.I._1" localSheetId="10" hidden="1">{"Schedule I",#N/A,FALSE,"SCH-lacs"}</definedName>
    <definedName name="wrn.SCHEDULE._.I._1" localSheetId="0" hidden="1">{"Schedule I",#N/A,FALSE,"SCH-lacs"}</definedName>
    <definedName name="wrn.SCHEDULE._.I._1" localSheetId="9" hidden="1">{"Schedule I",#N/A,FALSE,"SCH-lacs"}</definedName>
    <definedName name="wrn.SCHEDULE._.I._1" localSheetId="11" hidden="1">{"Schedule I",#N/A,FALSE,"SCH-lacs"}</definedName>
    <definedName name="wrn.SCHEDULE._.I._1" hidden="1">{"Schedule I",#N/A,FALSE,"SCH-lacs"}</definedName>
    <definedName name="wrn.SCHEDULE._.I._2" localSheetId="7">{"Schedule I",#N/A,FALSE,"SCH-lacs"}</definedName>
    <definedName name="wrn.SCHEDULE._.I._2" localSheetId="10" hidden="1">{"Schedule I",#N/A,FALSE,"SCH-lacs"}</definedName>
    <definedName name="wrn.SCHEDULE._.I._2" localSheetId="0" hidden="1">{"Schedule I",#N/A,FALSE,"SCH-lacs"}</definedName>
    <definedName name="wrn.SCHEDULE._.I._2" localSheetId="9" hidden="1">{"Schedule I",#N/A,FALSE,"SCH-lacs"}</definedName>
    <definedName name="wrn.SCHEDULE._.I._2" localSheetId="11" hidden="1">{"Schedule I",#N/A,FALSE,"SCH-lacs"}</definedName>
    <definedName name="wrn.SCHEDULE._.I._2" hidden="1">{"Schedule I",#N/A,FALSE,"SCH-lacs"}</definedName>
    <definedName name="wrn.SCHEDULE._.J." localSheetId="7">{"Schedule J",#N/A,FALSE,"SCH-lacs"}</definedName>
    <definedName name="wrn.SCHEDULE._.J." localSheetId="10" hidden="1">{"Schedule J",#N/A,FALSE,"SCH-lacs"}</definedName>
    <definedName name="wrn.SCHEDULE._.J." localSheetId="0" hidden="1">{"Schedule J",#N/A,FALSE,"SCH-lacs"}</definedName>
    <definedName name="wrn.SCHEDULE._.J." localSheetId="9" hidden="1">{"Schedule J",#N/A,FALSE,"SCH-lacs"}</definedName>
    <definedName name="wrn.SCHEDULE._.J." localSheetId="11" hidden="1">{"Schedule J",#N/A,FALSE,"SCH-lacs"}</definedName>
    <definedName name="wrn.SCHEDULE._.J." hidden="1">{"Schedule J",#N/A,FALSE,"SCH-lacs"}</definedName>
    <definedName name="wrn.SCHEDULE._.J._1" localSheetId="7">{"Schedule J",#N/A,FALSE,"SCH-lacs"}</definedName>
    <definedName name="wrn.SCHEDULE._.J._1" localSheetId="10" hidden="1">{"Schedule J",#N/A,FALSE,"SCH-lacs"}</definedName>
    <definedName name="wrn.SCHEDULE._.J._1" localSheetId="0" hidden="1">{"Schedule J",#N/A,FALSE,"SCH-lacs"}</definedName>
    <definedName name="wrn.SCHEDULE._.J._1" localSheetId="9" hidden="1">{"Schedule J",#N/A,FALSE,"SCH-lacs"}</definedName>
    <definedName name="wrn.SCHEDULE._.J._1" localSheetId="11" hidden="1">{"Schedule J",#N/A,FALSE,"SCH-lacs"}</definedName>
    <definedName name="wrn.SCHEDULE._.J._1" hidden="1">{"Schedule J",#N/A,FALSE,"SCH-lacs"}</definedName>
    <definedName name="wrn.SCHEDULE._.J._2" localSheetId="7">{"Schedule J",#N/A,FALSE,"SCH-lacs"}</definedName>
    <definedName name="wrn.SCHEDULE._.J._2" localSheetId="10" hidden="1">{"Schedule J",#N/A,FALSE,"SCH-lacs"}</definedName>
    <definedName name="wrn.SCHEDULE._.J._2" localSheetId="0" hidden="1">{"Schedule J",#N/A,FALSE,"SCH-lacs"}</definedName>
    <definedName name="wrn.SCHEDULE._.J._2" localSheetId="9" hidden="1">{"Schedule J",#N/A,FALSE,"SCH-lacs"}</definedName>
    <definedName name="wrn.SCHEDULE._.J._2" localSheetId="11" hidden="1">{"Schedule J",#N/A,FALSE,"SCH-lacs"}</definedName>
    <definedName name="wrn.SCHEDULE._.J._2" hidden="1">{"Schedule J",#N/A,FALSE,"SCH-lacs"}</definedName>
    <definedName name="wrn.SCHEDULE._.K." localSheetId="7">{"Schedule K",#N/A,FALSE,"SCH-lacs"}</definedName>
    <definedName name="wrn.SCHEDULE._.K." localSheetId="10" hidden="1">{"Schedule K",#N/A,FALSE,"SCH-lacs"}</definedName>
    <definedName name="wrn.SCHEDULE._.K." localSheetId="0" hidden="1">{"Schedule K",#N/A,FALSE,"SCH-lacs"}</definedName>
    <definedName name="wrn.SCHEDULE._.K." localSheetId="9" hidden="1">{"Schedule K",#N/A,FALSE,"SCH-lacs"}</definedName>
    <definedName name="wrn.SCHEDULE._.K." localSheetId="11" hidden="1">{"Schedule K",#N/A,FALSE,"SCH-lacs"}</definedName>
    <definedName name="wrn.SCHEDULE._.K." hidden="1">{"Schedule K",#N/A,FALSE,"SCH-lacs"}</definedName>
    <definedName name="wrn.SCHEDULE._.K._1" localSheetId="7">{"Schedule K",#N/A,FALSE,"SCH-lacs"}</definedName>
    <definedName name="wrn.SCHEDULE._.K._1" localSheetId="10" hidden="1">{"Schedule K",#N/A,FALSE,"SCH-lacs"}</definedName>
    <definedName name="wrn.SCHEDULE._.K._1" localSheetId="0" hidden="1">{"Schedule K",#N/A,FALSE,"SCH-lacs"}</definedName>
    <definedName name="wrn.SCHEDULE._.K._1" localSheetId="9" hidden="1">{"Schedule K",#N/A,FALSE,"SCH-lacs"}</definedName>
    <definedName name="wrn.SCHEDULE._.K._1" localSheetId="11" hidden="1">{"Schedule K",#N/A,FALSE,"SCH-lacs"}</definedName>
    <definedName name="wrn.SCHEDULE._.K._1" hidden="1">{"Schedule K",#N/A,FALSE,"SCH-lacs"}</definedName>
    <definedName name="wrn.SCHEDULE._.K._2" localSheetId="7">{"Schedule K",#N/A,FALSE,"SCH-lacs"}</definedName>
    <definedName name="wrn.SCHEDULE._.K._2" localSheetId="10" hidden="1">{"Schedule K",#N/A,FALSE,"SCH-lacs"}</definedName>
    <definedName name="wrn.SCHEDULE._.K._2" localSheetId="0" hidden="1">{"Schedule K",#N/A,FALSE,"SCH-lacs"}</definedName>
    <definedName name="wrn.SCHEDULE._.K._2" localSheetId="9" hidden="1">{"Schedule K",#N/A,FALSE,"SCH-lacs"}</definedName>
    <definedName name="wrn.SCHEDULE._.K._2" localSheetId="11" hidden="1">{"Schedule K",#N/A,FALSE,"SCH-lacs"}</definedName>
    <definedName name="wrn.SCHEDULE._.K._2" hidden="1">{"Schedule K",#N/A,FALSE,"SCH-lacs"}</definedName>
    <definedName name="wrn.SCHEDULE._.L._.AND._.M." localSheetId="7">{"Schedule L and M",#N/A,FALSE,"SCH-lacs"}</definedName>
    <definedName name="wrn.SCHEDULE._.L._.AND._.M." localSheetId="10" hidden="1">{"Schedule L and M",#N/A,FALSE,"SCH-lacs"}</definedName>
    <definedName name="wrn.SCHEDULE._.L._.AND._.M." localSheetId="0" hidden="1">{"Schedule L and M",#N/A,FALSE,"SCH-lacs"}</definedName>
    <definedName name="wrn.SCHEDULE._.L._.AND._.M." localSheetId="9" hidden="1">{"Schedule L and M",#N/A,FALSE,"SCH-lacs"}</definedName>
    <definedName name="wrn.SCHEDULE._.L._.AND._.M." localSheetId="11" hidden="1">{"Schedule L and M",#N/A,FALSE,"SCH-lacs"}</definedName>
    <definedName name="wrn.SCHEDULE._.L._.AND._.M." hidden="1">{"Schedule L and M",#N/A,FALSE,"SCH-lacs"}</definedName>
    <definedName name="wrn.SCHEDULE._.L._.AND._.M._1" localSheetId="7">{"Schedule L and M",#N/A,FALSE,"SCH-lacs"}</definedName>
    <definedName name="wrn.SCHEDULE._.L._.AND._.M._1" localSheetId="10" hidden="1">{"Schedule L and M",#N/A,FALSE,"SCH-lacs"}</definedName>
    <definedName name="wrn.SCHEDULE._.L._.AND._.M._1" localSheetId="0" hidden="1">{"Schedule L and M",#N/A,FALSE,"SCH-lacs"}</definedName>
    <definedName name="wrn.SCHEDULE._.L._.AND._.M._1" localSheetId="9" hidden="1">{"Schedule L and M",#N/A,FALSE,"SCH-lacs"}</definedName>
    <definedName name="wrn.SCHEDULE._.L._.AND._.M._1" localSheetId="11" hidden="1">{"Schedule L and M",#N/A,FALSE,"SCH-lacs"}</definedName>
    <definedName name="wrn.SCHEDULE._.L._.AND._.M._1" hidden="1">{"Schedule L and M",#N/A,FALSE,"SCH-lacs"}</definedName>
    <definedName name="wrn.SCHEDULE._.L._.AND._.M._2" localSheetId="7">{"Schedule L and M",#N/A,FALSE,"SCH-lacs"}</definedName>
    <definedName name="wrn.SCHEDULE._.L._.AND._.M._2" localSheetId="10" hidden="1">{"Schedule L and M",#N/A,FALSE,"SCH-lacs"}</definedName>
    <definedName name="wrn.SCHEDULE._.L._.AND._.M._2" localSheetId="0" hidden="1">{"Schedule L and M",#N/A,FALSE,"SCH-lacs"}</definedName>
    <definedName name="wrn.SCHEDULE._.L._.AND._.M._2" localSheetId="9" hidden="1">{"Schedule L and M",#N/A,FALSE,"SCH-lacs"}</definedName>
    <definedName name="wrn.SCHEDULE._.L._.AND._.M._2" localSheetId="11" hidden="1">{"Schedule L and M",#N/A,FALSE,"SCH-lacs"}</definedName>
    <definedName name="wrn.SCHEDULE._.L._.AND._.M._2" hidden="1">{"Schedule L and M",#N/A,FALSE,"SCH-lacs"}</definedName>
    <definedName name="wrn.SCHEDULE._.N." localSheetId="7">{"Schedle N",#N/A,FALSE,"SCH-lacs"}</definedName>
    <definedName name="wrn.SCHEDULE._.N." localSheetId="10" hidden="1">{"Schedle N",#N/A,FALSE,"SCH-lacs"}</definedName>
    <definedName name="wrn.SCHEDULE._.N." localSheetId="0" hidden="1">{"Schedle N",#N/A,FALSE,"SCH-lacs"}</definedName>
    <definedName name="wrn.SCHEDULE._.N." localSheetId="9" hidden="1">{"Schedle N",#N/A,FALSE,"SCH-lacs"}</definedName>
    <definedName name="wrn.SCHEDULE._.N." localSheetId="11" hidden="1">{"Schedle N",#N/A,FALSE,"SCH-lacs"}</definedName>
    <definedName name="wrn.SCHEDULE._.N." hidden="1">{"Schedle N",#N/A,FALSE,"SCH-lacs"}</definedName>
    <definedName name="wrn.SCHEDULE._.N._1" localSheetId="7">{"Schedle N",#N/A,FALSE,"SCH-lacs"}</definedName>
    <definedName name="wrn.SCHEDULE._.N._1" localSheetId="10" hidden="1">{"Schedle N",#N/A,FALSE,"SCH-lacs"}</definedName>
    <definedName name="wrn.SCHEDULE._.N._1" localSheetId="0" hidden="1">{"Schedle N",#N/A,FALSE,"SCH-lacs"}</definedName>
    <definedName name="wrn.SCHEDULE._.N._1" localSheetId="9" hidden="1">{"Schedle N",#N/A,FALSE,"SCH-lacs"}</definedName>
    <definedName name="wrn.SCHEDULE._.N._1" localSheetId="11" hidden="1">{"Schedle N",#N/A,FALSE,"SCH-lacs"}</definedName>
    <definedName name="wrn.SCHEDULE._.N._1" hidden="1">{"Schedle N",#N/A,FALSE,"SCH-lacs"}</definedName>
    <definedName name="wrn.SCHEDULE._.N._2" localSheetId="7">{"Schedle N",#N/A,FALSE,"SCH-lacs"}</definedName>
    <definedName name="wrn.SCHEDULE._.N._2" localSheetId="10" hidden="1">{"Schedle N",#N/A,FALSE,"SCH-lacs"}</definedName>
    <definedName name="wrn.SCHEDULE._.N._2" localSheetId="0" hidden="1">{"Schedle N",#N/A,FALSE,"SCH-lacs"}</definedName>
    <definedName name="wrn.SCHEDULE._.N._2" localSheetId="9" hidden="1">{"Schedle N",#N/A,FALSE,"SCH-lacs"}</definedName>
    <definedName name="wrn.SCHEDULE._.N._2" localSheetId="11" hidden="1">{"Schedle N",#N/A,FALSE,"SCH-lacs"}</definedName>
    <definedName name="wrn.SCHEDULE._.N._2" hidden="1">{"Schedle N",#N/A,FALSE,"SCH-lacs"}</definedName>
    <definedName name="wrn.SCHEDULE._.O._.1st._.PAGE." localSheetId="7">{"Schedule O page 1",#N/A,FALSE,"SCH-lacs"}</definedName>
    <definedName name="wrn.SCHEDULE._.O._.1st._.PAGE." localSheetId="10" hidden="1">{"Schedule O page 1",#N/A,FALSE,"SCH-lacs"}</definedName>
    <definedName name="wrn.SCHEDULE._.O._.1st._.PAGE." localSheetId="0" hidden="1">{"Schedule O page 1",#N/A,FALSE,"SCH-lacs"}</definedName>
    <definedName name="wrn.SCHEDULE._.O._.1st._.PAGE." localSheetId="9" hidden="1">{"Schedule O page 1",#N/A,FALSE,"SCH-lacs"}</definedName>
    <definedName name="wrn.SCHEDULE._.O._.1st._.PAGE." localSheetId="11" hidden="1">{"Schedule O page 1",#N/A,FALSE,"SCH-lacs"}</definedName>
    <definedName name="wrn.SCHEDULE._.O._.1st._.PAGE." hidden="1">{"Schedule O page 1",#N/A,FALSE,"SCH-lacs"}</definedName>
    <definedName name="wrn.SCHEDULE._.O._.1st._.PAGE._1" localSheetId="7">{"Schedule O page 1",#N/A,FALSE,"SCH-lacs"}</definedName>
    <definedName name="wrn.SCHEDULE._.O._.1st._.PAGE._1" localSheetId="10" hidden="1">{"Schedule O page 1",#N/A,FALSE,"SCH-lacs"}</definedName>
    <definedName name="wrn.SCHEDULE._.O._.1st._.PAGE._1" localSheetId="0" hidden="1">{"Schedule O page 1",#N/A,FALSE,"SCH-lacs"}</definedName>
    <definedName name="wrn.SCHEDULE._.O._.1st._.PAGE._1" localSheetId="9" hidden="1">{"Schedule O page 1",#N/A,FALSE,"SCH-lacs"}</definedName>
    <definedName name="wrn.SCHEDULE._.O._.1st._.PAGE._1" localSheetId="11" hidden="1">{"Schedule O page 1",#N/A,FALSE,"SCH-lacs"}</definedName>
    <definedName name="wrn.SCHEDULE._.O._.1st._.PAGE._1" hidden="1">{"Schedule O page 1",#N/A,FALSE,"SCH-lacs"}</definedName>
    <definedName name="wrn.SCHEDULE._.O._.1st._.PAGE._2" localSheetId="7">{"Schedule O page 1",#N/A,FALSE,"SCH-lacs"}</definedName>
    <definedName name="wrn.SCHEDULE._.O._.1st._.PAGE._2" localSheetId="10" hidden="1">{"Schedule O page 1",#N/A,FALSE,"SCH-lacs"}</definedName>
    <definedName name="wrn.SCHEDULE._.O._.1st._.PAGE._2" localSheetId="0" hidden="1">{"Schedule O page 1",#N/A,FALSE,"SCH-lacs"}</definedName>
    <definedName name="wrn.SCHEDULE._.O._.1st._.PAGE._2" localSheetId="9" hidden="1">{"Schedule O page 1",#N/A,FALSE,"SCH-lacs"}</definedName>
    <definedName name="wrn.SCHEDULE._.O._.1st._.PAGE._2" localSheetId="11" hidden="1">{"Schedule O page 1",#N/A,FALSE,"SCH-lacs"}</definedName>
    <definedName name="wrn.SCHEDULE._.O._.1st._.PAGE._2" hidden="1">{"Schedule O page 1",#N/A,FALSE,"SCH-lacs"}</definedName>
    <definedName name="wrn.SCHEDULE._.O._.2ND._.PAGE." localSheetId="7">{"Schedule O page 2",#N/A,FALSE,"SCH-lacs"}</definedName>
    <definedName name="wrn.SCHEDULE._.O._.2ND._.PAGE." localSheetId="10" hidden="1">{"Schedule O page 2",#N/A,FALSE,"SCH-lacs"}</definedName>
    <definedName name="wrn.SCHEDULE._.O._.2ND._.PAGE." localSheetId="0" hidden="1">{"Schedule O page 2",#N/A,FALSE,"SCH-lacs"}</definedName>
    <definedName name="wrn.SCHEDULE._.O._.2ND._.PAGE." localSheetId="9" hidden="1">{"Schedule O page 2",#N/A,FALSE,"SCH-lacs"}</definedName>
    <definedName name="wrn.SCHEDULE._.O._.2ND._.PAGE." localSheetId="11" hidden="1">{"Schedule O page 2",#N/A,FALSE,"SCH-lacs"}</definedName>
    <definedName name="wrn.SCHEDULE._.O._.2ND._.PAGE." hidden="1">{"Schedule O page 2",#N/A,FALSE,"SCH-lacs"}</definedName>
    <definedName name="wrn.SCHEDULE._.O._.2ND._.PAGE._1" localSheetId="7">{"Schedule O page 2",#N/A,FALSE,"SCH-lacs"}</definedName>
    <definedName name="wrn.SCHEDULE._.O._.2ND._.PAGE._1" localSheetId="10" hidden="1">{"Schedule O page 2",#N/A,FALSE,"SCH-lacs"}</definedName>
    <definedName name="wrn.SCHEDULE._.O._.2ND._.PAGE._1" localSheetId="0" hidden="1">{"Schedule O page 2",#N/A,FALSE,"SCH-lacs"}</definedName>
    <definedName name="wrn.SCHEDULE._.O._.2ND._.PAGE._1" localSheetId="9" hidden="1">{"Schedule O page 2",#N/A,FALSE,"SCH-lacs"}</definedName>
    <definedName name="wrn.SCHEDULE._.O._.2ND._.PAGE._1" localSheetId="11" hidden="1">{"Schedule O page 2",#N/A,FALSE,"SCH-lacs"}</definedName>
    <definedName name="wrn.SCHEDULE._.O._.2ND._.PAGE._1" hidden="1">{"Schedule O page 2",#N/A,FALSE,"SCH-lacs"}</definedName>
    <definedName name="wrn.SCHEDULE._.O._.2ND._.PAGE._2" localSheetId="7">{"Schedule O page 2",#N/A,FALSE,"SCH-lacs"}</definedName>
    <definedName name="wrn.SCHEDULE._.O._.2ND._.PAGE._2" localSheetId="10" hidden="1">{"Schedule O page 2",#N/A,FALSE,"SCH-lacs"}</definedName>
    <definedName name="wrn.SCHEDULE._.O._.2ND._.PAGE._2" localSheetId="0" hidden="1">{"Schedule O page 2",#N/A,FALSE,"SCH-lacs"}</definedName>
    <definedName name="wrn.SCHEDULE._.O._.2ND._.PAGE._2" localSheetId="9" hidden="1">{"Schedule O page 2",#N/A,FALSE,"SCH-lacs"}</definedName>
    <definedName name="wrn.SCHEDULE._.O._.2ND._.PAGE._2" localSheetId="11" hidden="1">{"Schedule O page 2",#N/A,FALSE,"SCH-lacs"}</definedName>
    <definedName name="wrn.SCHEDULE._.O._.2ND._.PAGE._2" hidden="1">{"Schedule O page 2",#N/A,FALSE,"SCH-lacs"}</definedName>
    <definedName name="wrn.SCHEDULE._.O._.3RD._.PAGE." localSheetId="7">{"Schedule O page 3",#N/A,FALSE,"SCH-lacs"}</definedName>
    <definedName name="wrn.SCHEDULE._.O._.3RD._.PAGE." localSheetId="10" hidden="1">{"Schedule O page 3",#N/A,FALSE,"SCH-lacs"}</definedName>
    <definedName name="wrn.SCHEDULE._.O._.3RD._.PAGE." localSheetId="0" hidden="1">{"Schedule O page 3",#N/A,FALSE,"SCH-lacs"}</definedName>
    <definedName name="wrn.SCHEDULE._.O._.3RD._.PAGE." localSheetId="9" hidden="1">{"Schedule O page 3",#N/A,FALSE,"SCH-lacs"}</definedName>
    <definedName name="wrn.SCHEDULE._.O._.3RD._.PAGE." localSheetId="11" hidden="1">{"Schedule O page 3",#N/A,FALSE,"SCH-lacs"}</definedName>
    <definedName name="wrn.SCHEDULE._.O._.3RD._.PAGE." hidden="1">{"Schedule O page 3",#N/A,FALSE,"SCH-lacs"}</definedName>
    <definedName name="wrn.SCHEDULE._.O._.3RD._.PAGE._1" localSheetId="7">{"Schedule O page 3",#N/A,FALSE,"SCH-lacs"}</definedName>
    <definedName name="wrn.SCHEDULE._.O._.3RD._.PAGE._1" localSheetId="10" hidden="1">{"Schedule O page 3",#N/A,FALSE,"SCH-lacs"}</definedName>
    <definedName name="wrn.SCHEDULE._.O._.3RD._.PAGE._1" localSheetId="0" hidden="1">{"Schedule O page 3",#N/A,FALSE,"SCH-lacs"}</definedName>
    <definedName name="wrn.SCHEDULE._.O._.3RD._.PAGE._1" localSheetId="9" hidden="1">{"Schedule O page 3",#N/A,FALSE,"SCH-lacs"}</definedName>
    <definedName name="wrn.SCHEDULE._.O._.3RD._.PAGE._1" localSheetId="11" hidden="1">{"Schedule O page 3",#N/A,FALSE,"SCH-lacs"}</definedName>
    <definedName name="wrn.SCHEDULE._.O._.3RD._.PAGE._1" hidden="1">{"Schedule O page 3",#N/A,FALSE,"SCH-lacs"}</definedName>
    <definedName name="wrn.SCHEDULE._.O._.3RD._.PAGE._2" localSheetId="7">{"Schedule O page 3",#N/A,FALSE,"SCH-lacs"}</definedName>
    <definedName name="wrn.SCHEDULE._.O._.3RD._.PAGE._2" localSheetId="10" hidden="1">{"Schedule O page 3",#N/A,FALSE,"SCH-lacs"}</definedName>
    <definedName name="wrn.SCHEDULE._.O._.3RD._.PAGE._2" localSheetId="0" hidden="1">{"Schedule O page 3",#N/A,FALSE,"SCH-lacs"}</definedName>
    <definedName name="wrn.SCHEDULE._.O._.3RD._.PAGE._2" localSheetId="9" hidden="1">{"Schedule O page 3",#N/A,FALSE,"SCH-lacs"}</definedName>
    <definedName name="wrn.SCHEDULE._.O._.3RD._.PAGE._2" localSheetId="11" hidden="1">{"Schedule O page 3",#N/A,FALSE,"SCH-lacs"}</definedName>
    <definedName name="wrn.SCHEDULE._.O._.3RD._.PAGE._2" hidden="1">{"Schedule O page 3",#N/A,FALSE,"SCH-lacs"}</definedName>
    <definedName name="wrn.SCHEDULE._.P." localSheetId="7">{"Schedule P",#N/A,FALSE,"SCH-lacs"}</definedName>
    <definedName name="wrn.SCHEDULE._.P." localSheetId="10" hidden="1">{"Schedule P",#N/A,FALSE,"SCH-lacs"}</definedName>
    <definedName name="wrn.SCHEDULE._.P." localSheetId="0" hidden="1">{"Schedule P",#N/A,FALSE,"SCH-lacs"}</definedName>
    <definedName name="wrn.SCHEDULE._.P." localSheetId="9" hidden="1">{"Schedule P",#N/A,FALSE,"SCH-lacs"}</definedName>
    <definedName name="wrn.SCHEDULE._.P." localSheetId="11" hidden="1">{"Schedule P",#N/A,FALSE,"SCH-lacs"}</definedName>
    <definedName name="wrn.SCHEDULE._.P." hidden="1">{"Schedule P",#N/A,FALSE,"SCH-lacs"}</definedName>
    <definedName name="wrn.SCHEDULE._.P._1" localSheetId="7">{"Schedule P",#N/A,FALSE,"SCH-lacs"}</definedName>
    <definedName name="wrn.SCHEDULE._.P._1" localSheetId="10" hidden="1">{"Schedule P",#N/A,FALSE,"SCH-lacs"}</definedName>
    <definedName name="wrn.SCHEDULE._.P._1" localSheetId="0" hidden="1">{"Schedule P",#N/A,FALSE,"SCH-lacs"}</definedName>
    <definedName name="wrn.SCHEDULE._.P._1" localSheetId="9" hidden="1">{"Schedule P",#N/A,FALSE,"SCH-lacs"}</definedName>
    <definedName name="wrn.SCHEDULE._.P._1" localSheetId="11" hidden="1">{"Schedule P",#N/A,FALSE,"SCH-lacs"}</definedName>
    <definedName name="wrn.SCHEDULE._.P._1" hidden="1">{"Schedule P",#N/A,FALSE,"SCH-lacs"}</definedName>
    <definedName name="wrn.SCHEDULE._.P._2" localSheetId="7">{"Schedule P",#N/A,FALSE,"SCH-lacs"}</definedName>
    <definedName name="wrn.SCHEDULE._.P._2" localSheetId="10" hidden="1">{"Schedule P",#N/A,FALSE,"SCH-lacs"}</definedName>
    <definedName name="wrn.SCHEDULE._.P._2" localSheetId="0" hidden="1">{"Schedule P",#N/A,FALSE,"SCH-lacs"}</definedName>
    <definedName name="wrn.SCHEDULE._.P._2" localSheetId="9" hidden="1">{"Schedule P",#N/A,FALSE,"SCH-lacs"}</definedName>
    <definedName name="wrn.SCHEDULE._.P._2" localSheetId="11" hidden="1">{"Schedule P",#N/A,FALSE,"SCH-lacs"}</definedName>
    <definedName name="wrn.SCHEDULE._.P._2" hidden="1">{"Schedule P",#N/A,FALSE,"SCH-lacs"}</definedName>
    <definedName name="wrn.SCHEDULE._.Q." localSheetId="7">{"Schedule Q",#N/A,FALSE,"Q-lacs"}</definedName>
    <definedName name="wrn.SCHEDULE._.Q." localSheetId="10" hidden="1">{"Schedule Q",#N/A,FALSE,"Q-lacs"}</definedName>
    <definedName name="wrn.SCHEDULE._.Q." localSheetId="0" hidden="1">{"Schedule Q",#N/A,FALSE,"Q-lacs"}</definedName>
    <definedName name="wrn.SCHEDULE._.Q." localSheetId="9" hidden="1">{"Schedule Q",#N/A,FALSE,"Q-lacs"}</definedName>
    <definedName name="wrn.SCHEDULE._.Q." localSheetId="11" hidden="1">{"Schedule Q",#N/A,FALSE,"Q-lacs"}</definedName>
    <definedName name="wrn.SCHEDULE._.Q." hidden="1">{"Schedule Q",#N/A,FALSE,"Q-lacs"}</definedName>
    <definedName name="wrn.SCHEDULE._.Q._1" localSheetId="7">{"Schedule Q",#N/A,FALSE,"Q-lacs"}</definedName>
    <definedName name="wrn.SCHEDULE._.Q._1" localSheetId="10" hidden="1">{"Schedule Q",#N/A,FALSE,"Q-lacs"}</definedName>
    <definedName name="wrn.SCHEDULE._.Q._1" localSheetId="0" hidden="1">{"Schedule Q",#N/A,FALSE,"Q-lacs"}</definedName>
    <definedName name="wrn.SCHEDULE._.Q._1" localSheetId="9" hidden="1">{"Schedule Q",#N/A,FALSE,"Q-lacs"}</definedName>
    <definedName name="wrn.SCHEDULE._.Q._1" localSheetId="11" hidden="1">{"Schedule Q",#N/A,FALSE,"Q-lacs"}</definedName>
    <definedName name="wrn.SCHEDULE._.Q._1" hidden="1">{"Schedule Q",#N/A,FALSE,"Q-lacs"}</definedName>
    <definedName name="wrn.SCHEDULE._.Q._2" localSheetId="7">{"Schedule Q",#N/A,FALSE,"Q-lacs"}</definedName>
    <definedName name="wrn.SCHEDULE._.Q._2" localSheetId="10" hidden="1">{"Schedule Q",#N/A,FALSE,"Q-lacs"}</definedName>
    <definedName name="wrn.SCHEDULE._.Q._2" localSheetId="0" hidden="1">{"Schedule Q",#N/A,FALSE,"Q-lacs"}</definedName>
    <definedName name="wrn.SCHEDULE._.Q._2" localSheetId="9" hidden="1">{"Schedule Q",#N/A,FALSE,"Q-lacs"}</definedName>
    <definedName name="wrn.SCHEDULE._.Q._2" localSheetId="11" hidden="1">{"Schedule Q",#N/A,FALSE,"Q-lacs"}</definedName>
    <definedName name="wrn.SCHEDULE._.Q._2" hidden="1">{"Schedule Q",#N/A,FALSE,"Q-lacs"}</definedName>
    <definedName name="wrn.SCHEDULE._.R." localSheetId="7">{"Schedule R",#N/A,FALSE,"R-lacs"}</definedName>
    <definedName name="wrn.SCHEDULE._.R." localSheetId="10" hidden="1">{"Schedule R",#N/A,FALSE,"R-lacs"}</definedName>
    <definedName name="wrn.SCHEDULE._.R." localSheetId="0" hidden="1">{"Schedule R",#N/A,FALSE,"R-lacs"}</definedName>
    <definedName name="wrn.SCHEDULE._.R." localSheetId="9" hidden="1">{"Schedule R",#N/A,FALSE,"R-lacs"}</definedName>
    <definedName name="wrn.SCHEDULE._.R." localSheetId="11" hidden="1">{"Schedule R",#N/A,FALSE,"R-lacs"}</definedName>
    <definedName name="wrn.SCHEDULE._.R." hidden="1">{"Schedule R",#N/A,FALSE,"R-lacs"}</definedName>
    <definedName name="wrn.SCHEDULE._.R._1" localSheetId="7">{"Schedule R",#N/A,FALSE,"R-lacs"}</definedName>
    <definedName name="wrn.SCHEDULE._.R._1" localSheetId="10" hidden="1">{"Schedule R",#N/A,FALSE,"R-lacs"}</definedName>
    <definedName name="wrn.SCHEDULE._.R._1" localSheetId="0" hidden="1">{"Schedule R",#N/A,FALSE,"R-lacs"}</definedName>
    <definedName name="wrn.SCHEDULE._.R._1" localSheetId="9" hidden="1">{"Schedule R",#N/A,FALSE,"R-lacs"}</definedName>
    <definedName name="wrn.SCHEDULE._.R._1" localSheetId="11" hidden="1">{"Schedule R",#N/A,FALSE,"R-lacs"}</definedName>
    <definedName name="wrn.SCHEDULE._.R._1" hidden="1">{"Schedule R",#N/A,FALSE,"R-lacs"}</definedName>
    <definedName name="wrn.SCHEDULE._.R._2" localSheetId="7">{"Schedule R",#N/A,FALSE,"R-lacs"}</definedName>
    <definedName name="wrn.SCHEDULE._.R._2" localSheetId="10" hidden="1">{"Schedule R",#N/A,FALSE,"R-lacs"}</definedName>
    <definedName name="wrn.SCHEDULE._.R._2" localSheetId="0" hidden="1">{"Schedule R",#N/A,FALSE,"R-lacs"}</definedName>
    <definedName name="wrn.SCHEDULE._.R._2" localSheetId="9" hidden="1">{"Schedule R",#N/A,FALSE,"R-lacs"}</definedName>
    <definedName name="wrn.SCHEDULE._.R._2" localSheetId="11" hidden="1">{"Schedule R",#N/A,FALSE,"R-lacs"}</definedName>
    <definedName name="wrn.SCHEDULE._.R._2" hidden="1">{"Schedule R",#N/A,FALSE,"R-lacs"}</definedName>
    <definedName name="wrn.SCHEDULE_F." localSheetId="7">{#N/A,#N/A,FALSE,"SCHDULE F"}</definedName>
    <definedName name="wrn.SCHEDULE_F." localSheetId="10" hidden="1">{#N/A,#N/A,FALSE,"SCHDULE F"}</definedName>
    <definedName name="wrn.SCHEDULE_F." localSheetId="0" hidden="1">{#N/A,#N/A,FALSE,"SCHDULE F"}</definedName>
    <definedName name="wrn.SCHEDULE_F." localSheetId="9" hidden="1">{#N/A,#N/A,FALSE,"SCHDULE F"}</definedName>
    <definedName name="wrn.SCHEDULE_F." localSheetId="11" hidden="1">{#N/A,#N/A,FALSE,"SCHDULE F"}</definedName>
    <definedName name="wrn.SCHEDULE_F." hidden="1">{#N/A,#N/A,FALSE,"SCHDULE F"}</definedName>
    <definedName name="wrn.SCHEDULE_F._1" localSheetId="7">{#N/A,#N/A,FALSE,"SCHDULE F"}</definedName>
    <definedName name="wrn.SCHEDULE_F._1" localSheetId="10" hidden="1">{#N/A,#N/A,FALSE,"SCHDULE F"}</definedName>
    <definedName name="wrn.SCHEDULE_F._1" localSheetId="0" hidden="1">{#N/A,#N/A,FALSE,"SCHDULE F"}</definedName>
    <definedName name="wrn.SCHEDULE_F._1" localSheetId="9" hidden="1">{#N/A,#N/A,FALSE,"SCHDULE F"}</definedName>
    <definedName name="wrn.SCHEDULE_F._1" localSheetId="11" hidden="1">{#N/A,#N/A,FALSE,"SCHDULE F"}</definedName>
    <definedName name="wrn.SCHEDULE_F._1" hidden="1">{#N/A,#N/A,FALSE,"SCHDULE F"}</definedName>
    <definedName name="wrn.SCHEDULE_F._2" localSheetId="7">{#N/A,#N/A,FALSE,"SCHDULE F"}</definedName>
    <definedName name="wrn.SCHEDULE_F._2" localSheetId="10" hidden="1">{#N/A,#N/A,FALSE,"SCHDULE F"}</definedName>
    <definedName name="wrn.SCHEDULE_F._2" localSheetId="0" hidden="1">{#N/A,#N/A,FALSE,"SCHDULE F"}</definedName>
    <definedName name="wrn.SCHEDULE_F._2" localSheetId="9" hidden="1">{#N/A,#N/A,FALSE,"SCHDULE F"}</definedName>
    <definedName name="wrn.SCHEDULE_F._2" localSheetId="11" hidden="1">{#N/A,#N/A,FALSE,"SCHDULE F"}</definedName>
    <definedName name="wrn.SCHEDULE_F._2" hidden="1">{#N/A,#N/A,FALSE,"SCHDULE F"}</definedName>
    <definedName name="wrn.SCHEDULE_M." localSheetId="7">{#N/A,#N/A,FALSE,"SCHEDULE M"}</definedName>
    <definedName name="wrn.SCHEDULE_M." localSheetId="10" hidden="1">{#N/A,#N/A,FALSE,"SCHEDULE M"}</definedName>
    <definedName name="wrn.SCHEDULE_M." localSheetId="0" hidden="1">{#N/A,#N/A,FALSE,"SCHEDULE M"}</definedName>
    <definedName name="wrn.SCHEDULE_M." localSheetId="9" hidden="1">{#N/A,#N/A,FALSE,"SCHEDULE M"}</definedName>
    <definedName name="wrn.SCHEDULE_M." localSheetId="11" hidden="1">{#N/A,#N/A,FALSE,"SCHEDULE M"}</definedName>
    <definedName name="wrn.SCHEDULE_M." hidden="1">{#N/A,#N/A,FALSE,"SCHEDULE M"}</definedName>
    <definedName name="wrn.SCHEDULE_M._1" localSheetId="7">{#N/A,#N/A,FALSE,"SCHEDULE M"}</definedName>
    <definedName name="wrn.SCHEDULE_M._1" localSheetId="10" hidden="1">{#N/A,#N/A,FALSE,"SCHEDULE M"}</definedName>
    <definedName name="wrn.SCHEDULE_M._1" localSheetId="0" hidden="1">{#N/A,#N/A,FALSE,"SCHEDULE M"}</definedName>
    <definedName name="wrn.SCHEDULE_M._1" localSheetId="9" hidden="1">{#N/A,#N/A,FALSE,"SCHEDULE M"}</definedName>
    <definedName name="wrn.SCHEDULE_M._1" localSheetId="11" hidden="1">{#N/A,#N/A,FALSE,"SCHEDULE M"}</definedName>
    <definedName name="wrn.SCHEDULE_M._1" hidden="1">{#N/A,#N/A,FALSE,"SCHEDULE M"}</definedName>
    <definedName name="wrn.SCHEDULE_M._2" localSheetId="7">{#N/A,#N/A,FALSE,"SCHEDULE M"}</definedName>
    <definedName name="wrn.SCHEDULE_M._2" localSheetId="10" hidden="1">{#N/A,#N/A,FALSE,"SCHEDULE M"}</definedName>
    <definedName name="wrn.SCHEDULE_M._2" localSheetId="0" hidden="1">{#N/A,#N/A,FALSE,"SCHEDULE M"}</definedName>
    <definedName name="wrn.SCHEDULE_M._2" localSheetId="9" hidden="1">{#N/A,#N/A,FALSE,"SCHEDULE M"}</definedName>
    <definedName name="wrn.SCHEDULE_M._2" localSheetId="11" hidden="1">{#N/A,#N/A,FALSE,"SCHEDULE M"}</definedName>
    <definedName name="wrn.SCHEDULE_M._2" hidden="1">{#N/A,#N/A,FALSE,"SCHEDULE M"}</definedName>
    <definedName name="wrn.SCHEDULES." localSheetId="7">{#N/A,#N/A,FALSE,"BALSHEET"}</definedName>
    <definedName name="wrn.SCHEDULES." localSheetId="10" hidden="1">{#N/A,#N/A,FALSE,"BALSHEET"}</definedName>
    <definedName name="wrn.SCHEDULES." localSheetId="0" hidden="1">{#N/A,#N/A,FALSE,"BALSHEET"}</definedName>
    <definedName name="wrn.SCHEDULES." localSheetId="9" hidden="1">{#N/A,#N/A,FALSE,"BALSHEET"}</definedName>
    <definedName name="wrn.SCHEDULES." localSheetId="11" hidden="1">{#N/A,#N/A,FALSE,"BALSHEET"}</definedName>
    <definedName name="wrn.SCHEDULES." hidden="1">{#N/A,#N/A,FALSE,"BALSHEET"}</definedName>
    <definedName name="wrn.SCHEDULES._1" localSheetId="7">{#N/A,#N/A,FALSE,"BALSHEET"}</definedName>
    <definedName name="wrn.SCHEDULES._1" localSheetId="10" hidden="1">{#N/A,#N/A,FALSE,"BALSHEET"}</definedName>
    <definedName name="wrn.SCHEDULES._1" localSheetId="0" hidden="1">{#N/A,#N/A,FALSE,"BALSHEET"}</definedName>
    <definedName name="wrn.SCHEDULES._1" localSheetId="9" hidden="1">{#N/A,#N/A,FALSE,"BALSHEET"}</definedName>
    <definedName name="wrn.SCHEDULES._1" localSheetId="11" hidden="1">{#N/A,#N/A,FALSE,"BALSHEET"}</definedName>
    <definedName name="wrn.SCHEDULES._1" hidden="1">{#N/A,#N/A,FALSE,"BALSHEET"}</definedName>
    <definedName name="wrn.SCHEDULES._2" localSheetId="7">{#N/A,#N/A,FALSE,"BALSHEET"}</definedName>
    <definedName name="wrn.SCHEDULES._2" localSheetId="10" hidden="1">{#N/A,#N/A,FALSE,"BALSHEET"}</definedName>
    <definedName name="wrn.SCHEDULES._2" localSheetId="0" hidden="1">{#N/A,#N/A,FALSE,"BALSHEET"}</definedName>
    <definedName name="wrn.SCHEDULES._2" localSheetId="9" hidden="1">{#N/A,#N/A,FALSE,"BALSHEET"}</definedName>
    <definedName name="wrn.SCHEDULES._2" localSheetId="11" hidden="1">{#N/A,#N/A,FALSE,"BALSHEET"}</definedName>
    <definedName name="wrn.SCHEDULES._2" hidden="1">{#N/A,#N/A,FALSE,"BALSHEET"}</definedName>
    <definedName name="wrn.Scripts.">#REF!</definedName>
    <definedName name="wrn.SIGNS." localSheetId="7">{#N/A,#N/A,FALSE,"PCPL9899"}</definedName>
    <definedName name="wrn.SIGNS." localSheetId="10" hidden="1">{#N/A,#N/A,FALSE,"PCPL9899"}</definedName>
    <definedName name="wrn.SIGNS." localSheetId="0" hidden="1">{#N/A,#N/A,FALSE,"PCPL9899"}</definedName>
    <definedName name="wrn.SIGNS." localSheetId="9" hidden="1">{#N/A,#N/A,FALSE,"PCPL9899"}</definedName>
    <definedName name="wrn.SIGNS." localSheetId="11" hidden="1">{#N/A,#N/A,FALSE,"PCPL9899"}</definedName>
    <definedName name="wrn.SIGNS." hidden="1">{#N/A,#N/A,FALSE,"PCPL9899"}</definedName>
    <definedName name="wrn.SIGNS._1" localSheetId="7">{#N/A,#N/A,FALSE,"PCPL9899"}</definedName>
    <definedName name="wrn.SIGNS._1" localSheetId="10" hidden="1">{#N/A,#N/A,FALSE,"PCPL9899"}</definedName>
    <definedName name="wrn.SIGNS._1" localSheetId="0" hidden="1">{#N/A,#N/A,FALSE,"PCPL9899"}</definedName>
    <definedName name="wrn.SIGNS._1" localSheetId="9" hidden="1">{#N/A,#N/A,FALSE,"PCPL9899"}</definedName>
    <definedName name="wrn.SIGNS._1" localSheetId="11" hidden="1">{#N/A,#N/A,FALSE,"PCPL9899"}</definedName>
    <definedName name="wrn.SIGNS._1" hidden="1">{#N/A,#N/A,FALSE,"PCPL9899"}</definedName>
    <definedName name="wrn.SIGNS._2" localSheetId="7">{#N/A,#N/A,FALSE,"PCPL9899"}</definedName>
    <definedName name="wrn.SIGNS._2" localSheetId="10" hidden="1">{#N/A,#N/A,FALSE,"PCPL9899"}</definedName>
    <definedName name="wrn.SIGNS._2" localSheetId="0" hidden="1">{#N/A,#N/A,FALSE,"PCPL9899"}</definedName>
    <definedName name="wrn.SIGNS._2" localSheetId="9" hidden="1">{#N/A,#N/A,FALSE,"PCPL9899"}</definedName>
    <definedName name="wrn.SIGNS._2" localSheetId="11" hidden="1">{#N/A,#N/A,FALSE,"PCPL9899"}</definedName>
    <definedName name="wrn.SIGNS._2" hidden="1">{#N/A,#N/A,FALSE,"PCPL9899"}</definedName>
    <definedName name="wrn.SKSCS1.">#REF!</definedName>
    <definedName name="wrn.sspall.">#REF!</definedName>
    <definedName name="wrn.STAND_ALONE_BOTH.">#REF!</definedName>
    <definedName name="wrn.Standing._.data." localSheetId="7">{#N/A,#N/A,FALSE,"Standing data"}</definedName>
    <definedName name="wrn.Standing._.data." localSheetId="10" hidden="1">{#N/A,#N/A,FALSE,"Standing data"}</definedName>
    <definedName name="wrn.Standing._.data." localSheetId="0" hidden="1">{#N/A,#N/A,FALSE,"Standing data"}</definedName>
    <definedName name="wrn.Standing._.data." localSheetId="9" hidden="1">{#N/A,#N/A,FALSE,"Standing data"}</definedName>
    <definedName name="wrn.Standing._.data." localSheetId="11" hidden="1">{#N/A,#N/A,FALSE,"Standing data"}</definedName>
    <definedName name="wrn.Standing._.data." hidden="1">{#N/A,#N/A,FALSE,"Standing data"}</definedName>
    <definedName name="wrn.SummaryPgs.">#REF!</definedName>
    <definedName name="wrn.Tax._.Report." localSheetId="7">{"KAVITA - Personal View",#N/A,FALSE,"Sheet2"}</definedName>
    <definedName name="wrn.Tax._.Report." localSheetId="10" hidden="1">{"KAVITA - Personal View",#N/A,FALSE,"Sheet2"}</definedName>
    <definedName name="wrn.Tax._.Report." localSheetId="0" hidden="1">{"KAVITA - Personal View",#N/A,FALSE,"Sheet2"}</definedName>
    <definedName name="wrn.Tax._.Report." localSheetId="9" hidden="1">{"KAVITA - Personal View",#N/A,FALSE,"Sheet2"}</definedName>
    <definedName name="wrn.Tax._.Report." localSheetId="11" hidden="1">{"KAVITA - Personal View",#N/A,FALSE,"Sheet2"}</definedName>
    <definedName name="wrn.Tax._.Report." hidden="1">{"KAVITA - Personal View",#N/A,FALSE,"Sheet2"}</definedName>
    <definedName name="wrn.Tax._.Report._1" localSheetId="7">{"KAVITA - Personal View",#N/A,FALSE,"Sheet2"}</definedName>
    <definedName name="wrn.Tax._.Report._1" localSheetId="10" hidden="1">{"KAVITA - Personal View",#N/A,FALSE,"Sheet2"}</definedName>
    <definedName name="wrn.Tax._.Report._1" localSheetId="0" hidden="1">{"KAVITA - Personal View",#N/A,FALSE,"Sheet2"}</definedName>
    <definedName name="wrn.Tax._.Report._1" localSheetId="9" hidden="1">{"KAVITA - Personal View",#N/A,FALSE,"Sheet2"}</definedName>
    <definedName name="wrn.Tax._.Report._1" localSheetId="11" hidden="1">{"KAVITA - Personal View",#N/A,FALSE,"Sheet2"}</definedName>
    <definedName name="wrn.Tax._.Report._1" hidden="1">{"KAVITA - Personal View",#N/A,FALSE,"Sheet2"}</definedName>
    <definedName name="wrn.Tax._.Report._2" localSheetId="7">{"KAVITA - Personal View",#N/A,FALSE,"Sheet2"}</definedName>
    <definedName name="wrn.Tax._.Report._2" localSheetId="10" hidden="1">{"KAVITA - Personal View",#N/A,FALSE,"Sheet2"}</definedName>
    <definedName name="wrn.Tax._.Report._2" localSheetId="0" hidden="1">{"KAVITA - Personal View",#N/A,FALSE,"Sheet2"}</definedName>
    <definedName name="wrn.Tax._.Report._2" localSheetId="9" hidden="1">{"KAVITA - Personal View",#N/A,FALSE,"Sheet2"}</definedName>
    <definedName name="wrn.Tax._.Report._2" localSheetId="11" hidden="1">{"KAVITA - Personal View",#N/A,FALSE,"Sheet2"}</definedName>
    <definedName name="wrn.Tax._.Report._2" hidden="1">{"KAVITA - Personal View",#N/A,FALSE,"Sheet2"}</definedName>
    <definedName name="wrn.TMCALL.">#REF!</definedName>
    <definedName name="wrn.TOOL.">#REF!</definedName>
    <definedName name="wrn.total.">#REF!</definedName>
    <definedName name="wrn.total._.year.">#REF!</definedName>
    <definedName name="wrn.total1.">#REF!</definedName>
    <definedName name="wrn.TransPrcd_123.">#REF!</definedName>
    <definedName name="wrn.trball.">#REF!</definedName>
    <definedName name="wrn.Tweety.">#REF!</definedName>
    <definedName name="wrn.twofin.">#REF!</definedName>
    <definedName name="wrn.US._.Bank.">#REF!</definedName>
    <definedName name="wrn.VALUATION.">#REF!</definedName>
    <definedName name="wrn.Variance._.REports.">#REF!</definedName>
    <definedName name="wrn.VRTX.">#REF!</definedName>
    <definedName name="wrn.Wacc.">#REF!</definedName>
    <definedName name="wrn.Warrant._.analysis.">#REF!</definedName>
    <definedName name="wrn.wicor.">#REF!</definedName>
    <definedName name="wrn.wpoall.">#REF!</definedName>
    <definedName name="wrn.신용찬." localSheetId="7">{#N/A,#N/A,TRUE,"토적및재료집계";#N/A,#N/A,TRUE,"토적및재료집계";#N/A,#N/A,TRUE,"단위량"}</definedName>
    <definedName name="wrn.신용찬." localSheetId="10" hidden="1">{#N/A,#N/A,TRUE,"토적및재료집계";#N/A,#N/A,TRUE,"토적및재료집계";#N/A,#N/A,TRUE,"단위량"}</definedName>
    <definedName name="wrn.신용찬." localSheetId="0" hidden="1">{#N/A,#N/A,TRUE,"토적및재료집계";#N/A,#N/A,TRUE,"토적및재료집계";#N/A,#N/A,TRUE,"단위량"}</definedName>
    <definedName name="wrn.신용찬." localSheetId="9" hidden="1">{#N/A,#N/A,TRUE,"토적및재료집계";#N/A,#N/A,TRUE,"토적및재료집계";#N/A,#N/A,TRUE,"단위량"}</definedName>
    <definedName name="wrn.신용찬." localSheetId="11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1.print._.all." localSheetId="7">{#N/A,#N/A,FALSE,"$170M Cash";#N/A,#N/A,FALSE,"$250M Cash";#N/A,#N/A,FALSE,"$325M Cash"}</definedName>
    <definedName name="wrn1.print._.all." localSheetId="10" hidden="1">{#N/A,#N/A,FALSE,"$170M Cash";#N/A,#N/A,FALSE,"$250M Cash";#N/A,#N/A,FALSE,"$325M Cash"}</definedName>
    <definedName name="wrn1.print._.all." localSheetId="0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11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1.print._.all.b" localSheetId="7">{#N/A,#N/A,FALSE,"$170M Cash";#N/A,#N/A,FALSE,"$250M Cash";#N/A,#N/A,FALSE,"$325M Cash"}</definedName>
    <definedName name="wrn1.print._.all.b" localSheetId="10" hidden="1">{#N/A,#N/A,FALSE,"$170M Cash";#N/A,#N/A,FALSE,"$250M Cash";#N/A,#N/A,FALSE,"$325M Cash"}</definedName>
    <definedName name="wrn1.print._.all.b" localSheetId="0" hidden="1">{#N/A,#N/A,FALSE,"$170M Cash";#N/A,#N/A,FALSE,"$250M Cash";#N/A,#N/A,FALSE,"$325M Cash"}</definedName>
    <definedName name="wrn1.print._.all.b" localSheetId="9" hidden="1">{#N/A,#N/A,FALSE,"$170M Cash";#N/A,#N/A,FALSE,"$250M Cash";#N/A,#N/A,FALSE,"$325M Cash"}</definedName>
    <definedName name="wrn1.print._.all.b" localSheetId="11" hidden="1">{#N/A,#N/A,FALSE,"$170M Cash";#N/A,#N/A,FALSE,"$250M Cash";#N/A,#N/A,FALSE,"$325M Cash"}</definedName>
    <definedName name="wrn1.print._.all.b" hidden="1">{#N/A,#N/A,FALSE,"$170M Cash";#N/A,#N/A,FALSE,"$250M Cash";#N/A,#N/A,FALSE,"$325M Cash"}</definedName>
    <definedName name="wrns.pg10." localSheetId="7">{#N/A,#N/A,FALSE,"1"}</definedName>
    <definedName name="wrns.pg10." localSheetId="10" hidden="1">{#N/A,#N/A,FALSE,"1"}</definedName>
    <definedName name="wrns.pg10." localSheetId="0" hidden="1">{#N/A,#N/A,FALSE,"1"}</definedName>
    <definedName name="wrns.pg10." localSheetId="9" hidden="1">{#N/A,#N/A,FALSE,"1"}</definedName>
    <definedName name="wrns.pg10." localSheetId="11" hidden="1">{#N/A,#N/A,FALSE,"1"}</definedName>
    <definedName name="wrns.pg10." hidden="1">{#N/A,#N/A,FALSE,"1"}</definedName>
    <definedName name="wrns.pg10._1" localSheetId="7">{#N/A,#N/A,FALSE,"1"}</definedName>
    <definedName name="wrns.pg10._1" localSheetId="10" hidden="1">{#N/A,#N/A,FALSE,"1"}</definedName>
    <definedName name="wrns.pg10._1" localSheetId="0" hidden="1">{#N/A,#N/A,FALSE,"1"}</definedName>
    <definedName name="wrns.pg10._1" localSheetId="9" hidden="1">{#N/A,#N/A,FALSE,"1"}</definedName>
    <definedName name="wrns.pg10._1" localSheetId="11" hidden="1">{#N/A,#N/A,FALSE,"1"}</definedName>
    <definedName name="wrns.pg10._1" hidden="1">{#N/A,#N/A,FALSE,"1"}</definedName>
    <definedName name="wrns.pg10._2" localSheetId="7">{#N/A,#N/A,FALSE,"1"}</definedName>
    <definedName name="wrns.pg10._2" localSheetId="10" hidden="1">{#N/A,#N/A,FALSE,"1"}</definedName>
    <definedName name="wrns.pg10._2" localSheetId="0" hidden="1">{#N/A,#N/A,FALSE,"1"}</definedName>
    <definedName name="wrns.pg10._2" localSheetId="9" hidden="1">{#N/A,#N/A,FALSE,"1"}</definedName>
    <definedName name="wrns.pg10._2" localSheetId="11" hidden="1">{#N/A,#N/A,FALSE,"1"}</definedName>
    <definedName name="wrns.pg10._2" hidden="1">{#N/A,#N/A,FALSE,"1"}</definedName>
    <definedName name="wrt" localSheetId="7">{#N/A,#N/A,FALSE,"$170M Cash";#N/A,#N/A,FALSE,"$250M Cash";#N/A,#N/A,FALSE,"$325M Cash"}</definedName>
    <definedName name="wrt" localSheetId="10" hidden="1">{#N/A,#N/A,FALSE,"$170M Cash";#N/A,#N/A,FALSE,"$250M Cash";#N/A,#N/A,FALSE,"$325M Cash"}</definedName>
    <definedName name="wrt" localSheetId="0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11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s" hidden="1">#REF!</definedName>
    <definedName name="WSCH7">#REF!</definedName>
    <definedName name="WSCH8">#REF!</definedName>
    <definedName name="wsds">#REF!</definedName>
    <definedName name="WSUBB">#REF!</definedName>
    <definedName name="WSUBG">#REF!</definedName>
    <definedName name="WSUBP">#REF!</definedName>
    <definedName name="WSUBS">#REF!</definedName>
    <definedName name="WTTSPG">#REF!</definedName>
    <definedName name="wup">#REF!</definedName>
    <definedName name="wupyr">#REF!</definedName>
    <definedName name="wvu.inputs._.raw._.data.">#REF!</definedName>
    <definedName name="wvu.summary1.">#REF!</definedName>
    <definedName name="wvu.summary2.">#REF!</definedName>
    <definedName name="wvu.summary3.">#REF!</definedName>
    <definedName name="ww">#REF!</definedName>
    <definedName name="www">#REF!</definedName>
    <definedName name="wwww">#REF!</definedName>
    <definedName name="wwwwwwwwwww" hidden="1">#REF!</definedName>
    <definedName name="x">#REF!</definedName>
    <definedName name="X_1">#REF!</definedName>
    <definedName name="X059140_Loans_Employees_June05_JV_List">#REF!</definedName>
    <definedName name="xc">#REF!</definedName>
    <definedName name="xcvvv">#REF!</definedName>
    <definedName name="xd0.6">#REF!</definedName>
    <definedName name="xd1.3">#REF!</definedName>
    <definedName name="xd1.5">#REF!</definedName>
    <definedName name="Xf">#REF!</definedName>
    <definedName name="xh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NZ">#REF!</definedName>
    <definedName name="xo" localSheetId="7">{#N/A,#N/A,FALSE,"Global by BU";#N/A,#N/A,FALSE,"U.S. by BU";#N/A,#N/A,FALSE,"Canada by BU";#N/A,#N/A,FALSE,"Europe by BU";#N/A,#N/A,FALSE,"Asia by BU";#N/A,#N/A,FALSE,"Cala by BU"}</definedName>
    <definedName name="xo" localSheetId="10" hidden="1">{#N/A,#N/A,FALSE,"Global by BU";#N/A,#N/A,FALSE,"U.S. by BU";#N/A,#N/A,FALSE,"Canada by BU";#N/A,#N/A,FALSE,"Europe by BU";#N/A,#N/A,FALSE,"Asia by BU";#N/A,#N/A,FALSE,"Cala by BU"}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11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ate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3" hidden="1">#REF!</definedName>
    <definedName name="XREF_COLUMN_3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0Row" hidden="1">#REF!</definedName>
    <definedName name="XRefCopy101Row" hidden="1">#REF!</definedName>
    <definedName name="XRefCopy102Row" hidden="1">#REF!</definedName>
    <definedName name="XRefCopy103Row" hidden="1">#REF!</definedName>
    <definedName name="XRefCopy104Row" hidden="1">#REF!</definedName>
    <definedName name="XRefCopy105Row" hidden="1">#REF!</definedName>
    <definedName name="XRefCopy106Row" hidden="1">#REF!</definedName>
    <definedName name="XRefCopy107Row" hidden="1">#REF!</definedName>
    <definedName name="XRefCopy108Row" hidden="1">#REF!</definedName>
    <definedName name="XRefCopy109Row" hidden="1">#REF!</definedName>
    <definedName name="XRefCopy10Row" hidden="1">#REF!</definedName>
    <definedName name="XRefCopy11" hidden="1">#REF!</definedName>
    <definedName name="XRefCopy110Row" hidden="1">#REF!</definedName>
    <definedName name="XRefCopy111Row" hidden="1">#REF!</definedName>
    <definedName name="XRefCopy112Row" hidden="1">#REF!</definedName>
    <definedName name="XRefCopy113Row" hidden="1">#REF!</definedName>
    <definedName name="XRefCopy114Row" hidden="1">#REF!</definedName>
    <definedName name="XRefCopy115Row" hidden="1">#REF!</definedName>
    <definedName name="XRefCopy116Row" hidden="1">#REF!</definedName>
    <definedName name="XRefCopy117Row" hidden="1">#REF!</definedName>
    <definedName name="XRefCopy118Row" hidden="1">#REF!</definedName>
    <definedName name="XRefCopy119Row" hidden="1">#REF!</definedName>
    <definedName name="XRefCopy11Row" hidden="1">#REF!</definedName>
    <definedName name="XRefCopy12" hidden="1">#REF!</definedName>
    <definedName name="XRefCopy120Row" hidden="1">#REF!</definedName>
    <definedName name="XRefCopy121Row" hidden="1">#REF!</definedName>
    <definedName name="XRefCopy122Row" hidden="1">#REF!</definedName>
    <definedName name="XRefCopy123Row" hidden="1">#REF!</definedName>
    <definedName name="XRefCopy124Row" hidden="1">#REF!</definedName>
    <definedName name="XRefCopy125Row" hidden="1">#REF!</definedName>
    <definedName name="XRefCopy126Row" hidden="1">#REF!</definedName>
    <definedName name="XRefCopy127Row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0Row" hidden="1">#REF!</definedName>
    <definedName name="XRefCopy131Row" hidden="1">#REF!</definedName>
    <definedName name="XRefCopy132Row" hidden="1">#REF!</definedName>
    <definedName name="XRefCopy133Row" hidden="1">#REF!</definedName>
    <definedName name="XRefCopy134Row" hidden="1">#REF!</definedName>
    <definedName name="XRefCopy135Row" hidden="1">#REF!</definedName>
    <definedName name="XRefCopy136Row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" hidden="1">#REF!</definedName>
    <definedName name="XRefCopy144Row" hidden="1">#REF!</definedName>
    <definedName name="XRefCopy145" hidden="1">#REF!</definedName>
    <definedName name="XRefCopy145Row" hidden="1">#REF!</definedName>
    <definedName name="XRefCopy146Row" hidden="1">#REF!</definedName>
    <definedName name="XRefCopy147Row" hidden="1">#REF!</definedName>
    <definedName name="XRefCopy148Row" hidden="1">#REF!</definedName>
    <definedName name="XRefCopy149Row" hidden="1">#REF!</definedName>
    <definedName name="XRefCopy14Row" hidden="1">#REF!</definedName>
    <definedName name="XRefCopy15" hidden="1">#REF!</definedName>
    <definedName name="XRefCopy150Row" hidden="1">#REF!</definedName>
    <definedName name="XRefCopy151Row" hidden="1">#REF!</definedName>
    <definedName name="XRefCopy152Row" hidden="1">#REF!</definedName>
    <definedName name="XRefCopy153Row" hidden="1">#REF!</definedName>
    <definedName name="XRefCopy154Row" hidden="1">#REF!</definedName>
    <definedName name="XRefCopy155Row" hidden="1">#REF!</definedName>
    <definedName name="XRefCopy156Row" hidden="1">#REF!</definedName>
    <definedName name="XRefCopy15Row" hidden="1">#REF!</definedName>
    <definedName name="XRefCopy16" hidden="1">#REF!</definedName>
    <definedName name="XRefCopy16Row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Row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0Row" hidden="1">#REF!</definedName>
    <definedName name="XRefCopy31Row" hidden="1">#REF!</definedName>
    <definedName name="XRefCopy32Row" hidden="1">#REF!</definedName>
    <definedName name="XRefCopy33Row" hidden="1">#REF!</definedName>
    <definedName name="XRefCopy34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Row" hidden="1">#REF!</definedName>
    <definedName name="XRefCopy3Row" hidden="1">#REF!</definedName>
    <definedName name="XRefCopy4" hidden="1">#REF!</definedName>
    <definedName name="XRefCopy40Row" hidden="1">#REF!</definedName>
    <definedName name="XRefCopy42Row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4Row" hidden="1">#REF!</definedName>
    <definedName name="XRefCopy85Row" hidden="1">#REF!</definedName>
    <definedName name="XRefCopy86Row" hidden="1">#REF!</definedName>
    <definedName name="XRefCopy87Row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Row" hidden="1">#REF!</definedName>
    <definedName name="XRefCopy91Row" hidden="1">#REF!</definedName>
    <definedName name="XRefCopy92Row" hidden="1">#REF!</definedName>
    <definedName name="XRefCopy93Row" hidden="1">#REF!</definedName>
    <definedName name="XRefCopy95Row" hidden="1">#REF!</definedName>
    <definedName name="XRefCopy96Row" hidden="1">#REF!</definedName>
    <definedName name="XRefCopy98" hidden="1">#REF!</definedName>
    <definedName name="XRefCopy98Row" hidden="1">#REF!</definedName>
    <definedName name="XRefCopy99Row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4" hidden="1">#REF!</definedName>
    <definedName name="XRefPaste104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2" hidden="1">#REF!</definedName>
    <definedName name="XRefPaste122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#REF!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9" hidden="1">#REF!</definedName>
    <definedName name="XRefPaste249Row" hidden="1">#REF!</definedName>
    <definedName name="XRefPaste24Row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9" hidden="1">#REF!</definedName>
    <definedName name="XRefPaste259Row" hidden="1">#REF!</definedName>
    <definedName name="XRefPaste25Row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5" hidden="1">#REF!</definedName>
    <definedName name="XRefPaste285Row" hidden="1">#REF!</definedName>
    <definedName name="XRefPaste286" hidden="1">#REF!</definedName>
    <definedName name="XRefPaste286Row" hidden="1">#REF!</definedName>
    <definedName name="XRefPaste287" hidden="1">#REF!</definedName>
    <definedName name="XRefPaste287Row" hidden="1">#REF!</definedName>
    <definedName name="XRefPaste288" hidden="1">#REF!</definedName>
    <definedName name="XRefPaste288Row" hidden="1">#REF!</definedName>
    <definedName name="XRefPaste289" hidden="1">#REF!</definedName>
    <definedName name="XRefPaste289Row" hidden="1">#REF!</definedName>
    <definedName name="XRefPaste28Row" hidden="1">#REF!</definedName>
    <definedName name="XRefPaste29" hidden="1">#REF!</definedName>
    <definedName name="XRefPaste290" hidden="1">#REF!</definedName>
    <definedName name="XRefPaste290Row" hidden="1">#REF!</definedName>
    <definedName name="XRefPaste291" hidden="1">#REF!</definedName>
    <definedName name="XRefPaste291Row" hidden="1">#REF!</definedName>
    <definedName name="XRefPaste292" hidden="1">#REF!</definedName>
    <definedName name="XRefPaste292Row" hidden="1">#REF!</definedName>
    <definedName name="XRefPaste293" hidden="1">#REF!</definedName>
    <definedName name="XRefPaste293Row" hidden="1">#REF!</definedName>
    <definedName name="XRefPaste294" hidden="1">#REF!</definedName>
    <definedName name="XRefPaste294Row" hidden="1">#REF!</definedName>
    <definedName name="XRefPaste295" hidden="1">#REF!</definedName>
    <definedName name="XRefPaste295Row" hidden="1">#REF!</definedName>
    <definedName name="XRefPaste296" hidden="1">#REF!</definedName>
    <definedName name="XRefPaste296Row" hidden="1">#REF!</definedName>
    <definedName name="XRefPaste297" hidden="1">#REF!</definedName>
    <definedName name="XRefPaste297Row" hidden="1">#REF!</definedName>
    <definedName name="XRefPaste298" hidden="1">#REF!</definedName>
    <definedName name="XRefPaste298Row" hidden="1">#REF!</definedName>
    <definedName name="XRefPaste299" hidden="1">#REF!</definedName>
    <definedName name="XRefPaste299Row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0" hidden="1">#REF!</definedName>
    <definedName name="XRefPaste300Row" hidden="1">#REF!</definedName>
    <definedName name="XRefPaste301" hidden="1">#REF!</definedName>
    <definedName name="XRefPaste301Row" hidden="1">#REF!</definedName>
    <definedName name="XRefPaste302" hidden="1">#REF!</definedName>
    <definedName name="XRefPaste302Row" hidden="1">#REF!</definedName>
    <definedName name="XRefPaste303" hidden="1">#REF!</definedName>
    <definedName name="XRefPaste303Row" hidden="1">#REF!</definedName>
    <definedName name="XRefPaste304" hidden="1">#REF!</definedName>
    <definedName name="XRefPaste304Row" hidden="1">#REF!</definedName>
    <definedName name="XRefPaste305" hidden="1">#REF!</definedName>
    <definedName name="XRefPaste305Row" hidden="1">#REF!</definedName>
    <definedName name="XRefPaste306" hidden="1">#REF!</definedName>
    <definedName name="XRefPaste306Row" hidden="1">#REF!</definedName>
    <definedName name="XRefPaste307" hidden="1">#REF!</definedName>
    <definedName name="XRefPaste307Row" hidden="1">#REF!</definedName>
    <definedName name="XRefPaste308" hidden="1">#REF!</definedName>
    <definedName name="XRefPaste308Row" hidden="1">#REF!</definedName>
    <definedName name="XRefPaste309" hidden="1">#REF!</definedName>
    <definedName name="XRefPaste309Row" hidden="1">#REF!</definedName>
    <definedName name="XRefPaste30Row" hidden="1">#REF!</definedName>
    <definedName name="XRefPaste31" hidden="1">#REF!</definedName>
    <definedName name="XRefPaste310" hidden="1">#REF!</definedName>
    <definedName name="XRefPaste310Row" hidden="1">#REF!</definedName>
    <definedName name="XRefPaste311" hidden="1">#REF!</definedName>
    <definedName name="XRefPaste311Row" hidden="1">#REF!</definedName>
    <definedName name="XRefPaste312" hidden="1">#REF!</definedName>
    <definedName name="XRefPaste312Row" hidden="1">#REF!</definedName>
    <definedName name="XRefPaste313" hidden="1">#REF!</definedName>
    <definedName name="XRefPaste313Row" hidden="1">#REF!</definedName>
    <definedName name="XRefPaste314" hidden="1">#REF!</definedName>
    <definedName name="XRefPaste314Row" hidden="1">#REF!</definedName>
    <definedName name="XRefPaste315" hidden="1">#REF!</definedName>
    <definedName name="XRefPaste315Row" hidden="1">#REF!</definedName>
    <definedName name="XRefPaste316" hidden="1">#REF!</definedName>
    <definedName name="XRefPaste316Row" hidden="1">#REF!</definedName>
    <definedName name="XRefPaste317" hidden="1">#REF!</definedName>
    <definedName name="XRefPaste317Row" hidden="1">#REF!</definedName>
    <definedName name="XRefPaste318" hidden="1">#REF!</definedName>
    <definedName name="XRefPaste318Row" hidden="1">#REF!</definedName>
    <definedName name="XRefPaste319" hidden="1">#REF!</definedName>
    <definedName name="XRefPaste319Row" hidden="1">#REF!</definedName>
    <definedName name="XRefPaste31Row" hidden="1">#REF!</definedName>
    <definedName name="XRefPaste32" hidden="1">#REF!</definedName>
    <definedName name="XRefPaste320" hidden="1">#REF!</definedName>
    <definedName name="XRefPaste320Row" hidden="1">#REF!</definedName>
    <definedName name="XRefPaste321" hidden="1">#REF!</definedName>
    <definedName name="XRefPaste321Row" hidden="1">#REF!</definedName>
    <definedName name="XRefPaste322" hidden="1">#REF!</definedName>
    <definedName name="XRefPaste322Row" hidden="1">#REF!</definedName>
    <definedName name="XRefPaste323" hidden="1">#REF!</definedName>
    <definedName name="XRefPaste323Row" hidden="1">#REF!</definedName>
    <definedName name="XRefPaste324" hidden="1">#REF!</definedName>
    <definedName name="XRefPaste324Row" hidden="1">#REF!</definedName>
    <definedName name="XRefPaste325" hidden="1">#REF!</definedName>
    <definedName name="XRefPaste325Row" hidden="1">#REF!</definedName>
    <definedName name="XRefPaste326" hidden="1">#REF!</definedName>
    <definedName name="XRefPaste326Row" hidden="1">#REF!</definedName>
    <definedName name="XRefPaste327" hidden="1">#REF!</definedName>
    <definedName name="XRefPaste327Row" hidden="1">#REF!</definedName>
    <definedName name="XRefPaste328" hidden="1">#REF!</definedName>
    <definedName name="XRefPaste328Row" hidden="1">#REF!</definedName>
    <definedName name="XRefPaste32Row" hidden="1">#REF!</definedName>
    <definedName name="XRefPaste33" hidden="1">#REF!</definedName>
    <definedName name="XRefPaste330" hidden="1">#REF!</definedName>
    <definedName name="XRefPaste330Row" hidden="1">#REF!</definedName>
    <definedName name="XRefPaste331" hidden="1">#REF!</definedName>
    <definedName name="XRefPaste331Row" hidden="1">#REF!</definedName>
    <definedName name="XRefPaste332" hidden="1">#REF!</definedName>
    <definedName name="XRefPaste332Row" hidden="1">#REF!</definedName>
    <definedName name="XRefPaste333" hidden="1">#REF!</definedName>
    <definedName name="XRefPaste333Row" hidden="1">#REF!</definedName>
    <definedName name="XRefPaste334" hidden="1">#REF!</definedName>
    <definedName name="XRefPaste334Row" hidden="1">#REF!</definedName>
    <definedName name="XRefPaste335" hidden="1">#REF!</definedName>
    <definedName name="XRefPaste335Row" hidden="1">#REF!</definedName>
    <definedName name="XRefPaste337" hidden="1">#REF!</definedName>
    <definedName name="XRefPaste337Row" hidden="1">#REF!</definedName>
    <definedName name="XRefPaste338" hidden="1">#REF!</definedName>
    <definedName name="XRefPaste338Row" hidden="1">#REF!</definedName>
    <definedName name="XRefPaste339" hidden="1">#REF!</definedName>
    <definedName name="XRefPaste339Row" hidden="1">#REF!</definedName>
    <definedName name="XRefPaste33Row" hidden="1">#REF!</definedName>
    <definedName name="XRefPaste34" hidden="1">#REF!</definedName>
    <definedName name="XRefPaste340" hidden="1">#REF!</definedName>
    <definedName name="XRefPaste340Row" hidden="1">#REF!</definedName>
    <definedName name="XRefPaste341" hidden="1">#REF!</definedName>
    <definedName name="XRefPaste341Row" hidden="1">#REF!</definedName>
    <definedName name="XRefPaste342" hidden="1">#REF!</definedName>
    <definedName name="XRefPaste342Row" hidden="1">#REF!</definedName>
    <definedName name="XRefPaste343" hidden="1">#REF!</definedName>
    <definedName name="XRefPaste343Row" hidden="1">#REF!</definedName>
    <definedName name="XRefPaste344" hidden="1">#REF!</definedName>
    <definedName name="XRefPaste344Row" hidden="1">#REF!</definedName>
    <definedName name="XRefPaste345" hidden="1">#REF!</definedName>
    <definedName name="XRefPaste345Row" hidden="1">#REF!</definedName>
    <definedName name="XRefPaste346" hidden="1">#REF!</definedName>
    <definedName name="XRefPaste346Row" hidden="1">#REF!</definedName>
    <definedName name="XRefPaste347" hidden="1">#REF!</definedName>
    <definedName name="XRefPaste347Row" hidden="1">#REF!</definedName>
    <definedName name="XRefPaste348" hidden="1">#REF!</definedName>
    <definedName name="XRefPaste348Row" hidden="1">#REF!</definedName>
    <definedName name="XRefPaste349" hidden="1">#REF!</definedName>
    <definedName name="XRefPaste349Row" hidden="1">#REF!</definedName>
    <definedName name="XRefPaste34Row" hidden="1">#REF!</definedName>
    <definedName name="XRefPaste35" hidden="1">#REF!</definedName>
    <definedName name="XRefPaste350" hidden="1">#REF!</definedName>
    <definedName name="XRefPaste350Row" hidden="1">#REF!</definedName>
    <definedName name="XRefPaste351" hidden="1">#REF!</definedName>
    <definedName name="XRefPaste351Row" hidden="1">#REF!</definedName>
    <definedName name="XRefPaste352" hidden="1">#REF!</definedName>
    <definedName name="XRefPaste352Row" hidden="1">#REF!</definedName>
    <definedName name="XRefPaste353" hidden="1">#REF!</definedName>
    <definedName name="XRefPaste353Row" hidden="1">#REF!</definedName>
    <definedName name="XRefPaste354" hidden="1">#REF!</definedName>
    <definedName name="XRefPaste354Row" hidden="1">#REF!</definedName>
    <definedName name="XRefPaste355" hidden="1">#REF!</definedName>
    <definedName name="XRefPaste355Row" hidden="1">#REF!</definedName>
    <definedName name="XRefPaste356" hidden="1">#REF!</definedName>
    <definedName name="XRefPaste356Row" hidden="1">#REF!</definedName>
    <definedName name="XRefPaste357" hidden="1">#REF!</definedName>
    <definedName name="XRefPaste357Row" hidden="1">#REF!</definedName>
    <definedName name="XRefPaste358" hidden="1">#REF!</definedName>
    <definedName name="XRefPaste358Row" hidden="1">#REF!</definedName>
    <definedName name="XRefPaste359" hidden="1">#REF!</definedName>
    <definedName name="XRefPaste359Row" hidden="1">#REF!</definedName>
    <definedName name="XRefPaste35Row" hidden="1">#REF!</definedName>
    <definedName name="XRefPaste36" hidden="1">#REF!</definedName>
    <definedName name="XRefPaste360" hidden="1">#REF!</definedName>
    <definedName name="XRefPaste360Row" hidden="1">#REF!</definedName>
    <definedName name="XRefPaste361" hidden="1">#REF!</definedName>
    <definedName name="XRefPaste361Row" hidden="1">#REF!</definedName>
    <definedName name="XRefPaste362" hidden="1">#REF!</definedName>
    <definedName name="XRefPaste362Row" hidden="1">#REF!</definedName>
    <definedName name="XRefPaste363" hidden="1">#REF!</definedName>
    <definedName name="XRefPaste363Row" hidden="1">#REF!</definedName>
    <definedName name="XRefPaste365" hidden="1">#REF!</definedName>
    <definedName name="XRefPaste365Row" hidden="1">#REF!</definedName>
    <definedName name="XRefPaste366" hidden="1">#REF!</definedName>
    <definedName name="XRefPaste366Row" hidden="1">#REF!</definedName>
    <definedName name="XRefPaste367" hidden="1">#REF!</definedName>
    <definedName name="XRefPaste367Row" hidden="1">#REF!</definedName>
    <definedName name="XRefPaste368" hidden="1">#REF!</definedName>
    <definedName name="XRefPaste368Row" hidden="1">#REF!</definedName>
    <definedName name="XRefPaste369" hidden="1">#REF!</definedName>
    <definedName name="XRefPaste369Row" hidden="1">#REF!</definedName>
    <definedName name="XRefPaste36Row" hidden="1">#REF!</definedName>
    <definedName name="XRefPaste37" hidden="1">#REF!</definedName>
    <definedName name="XRefPaste370" hidden="1">#REF!</definedName>
    <definedName name="XRefPaste370Row" hidden="1">#REF!</definedName>
    <definedName name="XRefPaste372" hidden="1">#REF!</definedName>
    <definedName name="XRefPaste372Row" hidden="1">#REF!</definedName>
    <definedName name="XRefPaste373" hidden="1">#REF!</definedName>
    <definedName name="XRefPaste373Row" hidden="1">#REF!</definedName>
    <definedName name="XRefPaste374" hidden="1">#REF!</definedName>
    <definedName name="XRefPaste374Row" hidden="1">#REF!</definedName>
    <definedName name="XRefPaste375" hidden="1">#REF!</definedName>
    <definedName name="XRefPaste375Row" hidden="1">#REF!</definedName>
    <definedName name="XRefPaste376" hidden="1">#REF!</definedName>
    <definedName name="XRefPaste376Row" hidden="1">#REF!</definedName>
    <definedName name="XRefPaste377" hidden="1">#REF!</definedName>
    <definedName name="XRefPaste377Row" hidden="1">#REF!</definedName>
    <definedName name="XRefPaste378" hidden="1">#REF!</definedName>
    <definedName name="XRefPaste378Row" hidden="1">#REF!</definedName>
    <definedName name="XRefPaste379" hidden="1">#REF!</definedName>
    <definedName name="XRefPaste379Row" hidden="1">#REF!</definedName>
    <definedName name="XRefPaste37Row" hidden="1">#REF!</definedName>
    <definedName name="XRefPaste38" hidden="1">#REF!</definedName>
    <definedName name="XRefPaste380" hidden="1">#REF!</definedName>
    <definedName name="XRefPaste380Row" hidden="1">#REF!</definedName>
    <definedName name="XRefPaste381" hidden="1">#REF!</definedName>
    <definedName name="XRefPaste381Row" hidden="1">#REF!</definedName>
    <definedName name="XRefPaste382" hidden="1">#REF!</definedName>
    <definedName name="XRefPaste382Row" hidden="1">#REF!</definedName>
    <definedName name="XRefPaste383" hidden="1">#REF!</definedName>
    <definedName name="XRefPaste383Row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Row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7</definedName>
    <definedName name="XX">#REF!</definedName>
    <definedName name="xxx">#REF!</definedName>
    <definedName name="xxxdeb">#REF!</definedName>
    <definedName name="xxxx">#REF!</definedName>
    <definedName name="XXXXX">"c1344"</definedName>
    <definedName name="xyd" hidden="1">#REF!</definedName>
    <definedName name="xyz" localSheetId="7">#REF!</definedName>
    <definedName name="xyz" hidden="1">#N/A</definedName>
    <definedName name="xyz_1" localSheetId="7">{#N/A,#N/A,FALSE,"PCPL9899"}</definedName>
    <definedName name="xyz_1" localSheetId="10" hidden="1">{#N/A,#N/A,FALSE,"PCPL9899"}</definedName>
    <definedName name="xyz_1" localSheetId="0" hidden="1">{#N/A,#N/A,FALSE,"PCPL9899"}</definedName>
    <definedName name="xyz_1" localSheetId="9" hidden="1">{#N/A,#N/A,FALSE,"PCPL9899"}</definedName>
    <definedName name="xyz_1" localSheetId="11" hidden="1">{#N/A,#N/A,FALSE,"PCPL9899"}</definedName>
    <definedName name="xyz_1" hidden="1">{#N/A,#N/A,FALSE,"PCPL9899"}</definedName>
    <definedName name="xyz_2" localSheetId="7">{#N/A,#N/A,FALSE,"PCPL9899"}</definedName>
    <definedName name="xyz_2" localSheetId="10" hidden="1">{#N/A,#N/A,FALSE,"PCPL9899"}</definedName>
    <definedName name="xyz_2" localSheetId="0" hidden="1">{#N/A,#N/A,FALSE,"PCPL9899"}</definedName>
    <definedName name="xyz_2" localSheetId="9" hidden="1">{#N/A,#N/A,FALSE,"PCPL9899"}</definedName>
    <definedName name="xyz_2" localSheetId="11" hidden="1">{#N/A,#N/A,FALSE,"PCPL9899"}</definedName>
    <definedName name="xyz_2" hidden="1">{#N/A,#N/A,FALSE,"PCPL9899"}</definedName>
    <definedName name="xyz1">#N/A</definedName>
    <definedName name="XYZ2">#N/A</definedName>
    <definedName name="XYZ3">#N/A</definedName>
    <definedName name="XYZ4">#N/A</definedName>
    <definedName name="XZ">#REF!</definedName>
    <definedName name="Y">#REF!</definedName>
    <definedName name="Y_1">#REF!</definedName>
    <definedName name="Y1B1">#REF!</definedName>
    <definedName name="Y1G1">#REF!</definedName>
    <definedName name="Y1P1">#REF!</definedName>
    <definedName name="Y1S1">#REF!</definedName>
    <definedName name="Y2B2">#REF!</definedName>
    <definedName name="Y2G2">#REF!</definedName>
    <definedName name="Y2P2">#REF!</definedName>
    <definedName name="Y2S2">#REF!</definedName>
    <definedName name="Y3B3">#REF!</definedName>
    <definedName name="Y3G3">#REF!</definedName>
    <definedName name="Y3P3">#REF!</definedName>
    <definedName name="Y3S3">#REF!</definedName>
    <definedName name="Y4B4">#REF!</definedName>
    <definedName name="Y4G4">#REF!</definedName>
    <definedName name="Y4P4">#REF!</definedName>
    <definedName name="Y4S4">#REF!</definedName>
    <definedName name="Y5B5">#REF!</definedName>
    <definedName name="Y5G5">#REF!</definedName>
    <definedName name="Y5P5">#REF!</definedName>
    <definedName name="Y5S5">#REF!</definedName>
    <definedName name="YASH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ydf" hidden="1">#REF!</definedName>
    <definedName name="year">#REF!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2">#REF!</definedName>
    <definedName name="Years">#REF!</definedName>
    <definedName name="yec_50">#REF!</definedName>
    <definedName name="yes">#REF!</definedName>
    <definedName name="YesNo">#REF!</definedName>
    <definedName name="YesNoRange">#REF!</definedName>
    <definedName name="yields">#REF!</definedName>
    <definedName name="youh">#REF!</definedName>
    <definedName name="YR1License">#REF!</definedName>
    <definedName name="yrd">#REF!</definedName>
    <definedName name="YSTable">#REF!</definedName>
    <definedName name="yt">#REF!</definedName>
    <definedName name="ytd">#REF!</definedName>
    <definedName name="YTD_actual">#REF!</definedName>
    <definedName name="YTD_PLAN">#REF!</definedName>
    <definedName name="YTDNOV">#REF!</definedName>
    <definedName name="YU">#REF!</definedName>
    <definedName name="yy">#REF!</definedName>
    <definedName name="yyy">#REF!</definedName>
    <definedName name="yyyyyyyyyyy" localSheetId="7">{"'Apr-00'!$B$4:$AD$44"}</definedName>
    <definedName name="yyyyyyyyyyy" localSheetId="10" hidden="1">{"'Apr-00'!$B$4:$AD$44"}</definedName>
    <definedName name="yyyyyyyyyyy" localSheetId="0" hidden="1">{"'Apr-00'!$B$4:$AD$44"}</definedName>
    <definedName name="yyyyyyyyyyy" localSheetId="9" hidden="1">{"'Apr-00'!$B$4:$AD$44"}</definedName>
    <definedName name="yyyyyyyyyyy" localSheetId="11" hidden="1">{"'Apr-00'!$B$4:$AD$44"}</definedName>
    <definedName name="yyyyyyyyyyy" hidden="1">{"'Apr-00'!$B$4:$AD$44"}</definedName>
    <definedName name="yyyyyyyyyyyyy" hidden="1">#REF!</definedName>
    <definedName name="z">#REF!</definedName>
    <definedName name="Z_1">#REF!</definedName>
    <definedName name="Z_9118CF73_A0E0_408F_82FC_D7B84F445576_.wvu.Cols">#REF!</definedName>
    <definedName name="Z_9118CF73_A0E0_408F_82FC_D7B84F445576_.wvu.PrintArea">#REF!</definedName>
    <definedName name="Z_9118CF73_A0E0_408F_82FC_D7B84F445576_.wvu.Rows">#REF!</definedName>
    <definedName name="z_project_name">#REF!</definedName>
    <definedName name="zdiscount">#REF!</definedName>
    <definedName name="zm">#REF!</definedName>
    <definedName name="zone">#REF!</definedName>
    <definedName name="ZOREM_2.5_10_CAP">#REF!</definedName>
    <definedName name="zyear">#REF!</definedName>
    <definedName name="ZYX">#REF!</definedName>
    <definedName name="zz" localSheetId="7">{"'Apr-00'!$B$4:$AD$44"}</definedName>
    <definedName name="zz" localSheetId="10" hidden="1">{"'Apr-00'!$B$4:$AD$44"}</definedName>
    <definedName name="zz" localSheetId="0" hidden="1">{"'Apr-00'!$B$4:$AD$44"}</definedName>
    <definedName name="zz" localSheetId="9" hidden="1">{"'Apr-00'!$B$4:$AD$44"}</definedName>
    <definedName name="zz" localSheetId="11" hidden="1">{"'Apr-00'!$B$4:$AD$44"}</definedName>
    <definedName name="zz" hidden="1">{"'Apr-00'!$B$4:$AD$44"}</definedName>
    <definedName name="zzz" localSheetId="7">{#N/A,#N/A,FALSE,"$170M Cash";#N/A,#N/A,FALSE,"$250M Cash";#N/A,#N/A,FALSE,"$325M Cash"}</definedName>
    <definedName name="zzz" localSheetId="10" hidden="1">{#N/A,#N/A,FALSE,"$170M Cash";#N/A,#N/A,FALSE,"$250M Cash";#N/A,#N/A,FALSE,"$325M Cash"}</definedName>
    <definedName name="zzz" localSheetId="0" hidden="1">{#N/A,#N/A,FALSE,"$170M Cash";#N/A,#N/A,FALSE,"$250M Cash";#N/A,#N/A,FALSE,"$325M Cash"}</definedName>
    <definedName name="zzz" localSheetId="9" hidden="1">{#N/A,#N/A,FALSE,"$170M Cash";#N/A,#N/A,FALSE,"$250M Cash";#N/A,#N/A,FALSE,"$325M Cash"}</definedName>
    <definedName name="zzz" localSheetId="11" hidden="1">{#N/A,#N/A,FALSE,"$170M Cash";#N/A,#N/A,FALSE,"$250M Cash";#N/A,#N/A,FALSE,"$325M Cash"}</definedName>
    <definedName name="zzz" hidden="1">{#N/A,#N/A,FALSE,"$170M Cash";#N/A,#N/A,FALSE,"$250M Cash";#N/A,#N/A,FALSE,"$325M Cash"}</definedName>
    <definedName name="zzzz">#REF!</definedName>
    <definedName name="zzzzzzzzzzzzzzz" hidden="1">#REF!</definedName>
    <definedName name="ИНН_Поставщика">#REF!</definedName>
    <definedName name="курс">#REF!</definedName>
    <definedName name="もりた">#REF!</definedName>
    <definedName name="באור_זכאים">#REF!</definedName>
    <definedName name="הוצאות_הנהלה">#REF!,#REF!</definedName>
    <definedName name="הוצאות_הנהלה_נומינליות">#REF!</definedName>
    <definedName name="הוצאות_מכירה">#REF!,#REF!</definedName>
    <definedName name="הוצאות_מכירה_נומינליות">#REF!,#REF!,#REF!,#REF!,#REF!,#REF!,#REF!,#REF!,#REF!,#REF!,#REF!</definedName>
    <definedName name="הכל">#REF!,#REF!,#REF!,#REF!,#REF!</definedName>
    <definedName name="הנהלה_1997">#REF!,#REF!</definedName>
    <definedName name="הרכבה">#REF!,#REF!</definedName>
    <definedName name="הרכבהסו2">#REF!,#REF!,#REF!</definedName>
    <definedName name="השקעהבטכם">#REF!,#REF!</definedName>
    <definedName name="חוז_מס">#REF!</definedName>
    <definedName name="מכירה">#REF!</definedName>
    <definedName name="מכירה_מותאם">#REF!</definedName>
    <definedName name="מלאי_בסניפים">#REF!,#REF!,#REF!,#REF!</definedName>
    <definedName name="נתא">#REF!,#REF!,#REF!</definedName>
    <definedName name="נתוחים">#REF!,#REF!,#REF!</definedName>
    <definedName name="עמלות_זכיינים_ברווהפ">#REF!</definedName>
    <definedName name="פרופורמת_מס">#REF!</definedName>
    <definedName name="קומפרו">#REF!,#REF!,#REF!</definedName>
    <definedName name="קוננס">#REF!,#REF!</definedName>
    <definedName name="קונתהל">#REF!,#REF!,#REF!</definedName>
    <definedName name="רווח_גלמי_97">#REF!,#REF!</definedName>
    <definedName name="רווח_גלמי_נומינלי_עד_1996">#REF!,#REF!,#REF!,#REF!</definedName>
    <definedName name="שחיקת_מקדמות">#REF!</definedName>
    <definedName name="תזרים">#REF!</definedName>
    <definedName name="겉표지2" localSheetId="7">{#N/A,#N/A,TRUE,"토적및재료집계";#N/A,#N/A,TRUE,"토적및재료집계";#N/A,#N/A,TRUE,"단위량"}</definedName>
    <definedName name="겉표지2" localSheetId="10" hidden="1">{#N/A,#N/A,TRUE,"토적및재료집계";#N/A,#N/A,TRUE,"토적및재료집계";#N/A,#N/A,TRUE,"단위량"}</definedName>
    <definedName name="겉표지2" localSheetId="0" hidden="1">{#N/A,#N/A,TRUE,"토적및재료집계";#N/A,#N/A,TRUE,"토적및재료집계";#N/A,#N/A,TRUE,"단위량"}</definedName>
    <definedName name="겉표지2" localSheetId="9" hidden="1">{#N/A,#N/A,TRUE,"토적및재료집계";#N/A,#N/A,TRUE,"토적및재료집계";#N/A,#N/A,TRUE,"단위량"}</definedName>
    <definedName name="겉표지2" localSheetId="11" hidden="1">{#N/A,#N/A,TRUE,"토적및재료집계";#N/A,#N/A,TRUE,"토적및재료집계";#N/A,#N/A,TRUE,"단위량"}</definedName>
    <definedName name="겉표지2" hidden="1">{#N/A,#N/A,TRUE,"토적및재료집계";#N/A,#N/A,TRUE,"토적및재료집계";#N/A,#N/A,TRUE,"단위량"}</definedName>
    <definedName name="ㅇㄴ미미" localSheetId="7">{#N/A,#N/A,TRUE,"토적및재료집계";#N/A,#N/A,TRUE,"토적및재료집계";#N/A,#N/A,TRUE,"단위량"}</definedName>
    <definedName name="ㅇㄴ미미" localSheetId="10" hidden="1">{#N/A,#N/A,TRUE,"토적및재료집계";#N/A,#N/A,TRUE,"토적및재료집계";#N/A,#N/A,TRUE,"단위량"}</definedName>
    <definedName name="ㅇㄴ미미" localSheetId="0" hidden="1">{#N/A,#N/A,TRUE,"토적및재료집계";#N/A,#N/A,TRUE,"토적및재료집계";#N/A,#N/A,TRUE,"단위량"}</definedName>
    <definedName name="ㅇㄴ미미" localSheetId="9" hidden="1">{#N/A,#N/A,TRUE,"토적및재료집계";#N/A,#N/A,TRUE,"토적및재료집계";#N/A,#N/A,TRUE,"단위량"}</definedName>
    <definedName name="ㅇㄴ미미" localSheetId="11" hidden="1">{#N/A,#N/A,TRUE,"토적및재료집계";#N/A,#N/A,TRUE,"토적및재료집계";#N/A,#N/A,TRUE,"단위량"}</definedName>
    <definedName name="ㅇㄴ미미" hidden="1">{#N/A,#N/A,TRUE,"토적및재료집계";#N/A,#N/A,TRUE,"토적및재료집계";#N/A,#N/A,TRUE,"단위량"}</definedName>
    <definedName name="아" localSheetId="7">{#N/A,#N/A,TRUE,"토적및재료집계";#N/A,#N/A,TRUE,"토적및재료집계";#N/A,#N/A,TRUE,"단위량"}</definedName>
    <definedName name="아" localSheetId="10" hidden="1">{#N/A,#N/A,TRUE,"토적및재료집계";#N/A,#N/A,TRUE,"토적및재료집계";#N/A,#N/A,TRUE,"단위량"}</definedName>
    <definedName name="아" localSheetId="0" hidden="1">{#N/A,#N/A,TRUE,"토적및재료집계";#N/A,#N/A,TRUE,"토적및재료집계";#N/A,#N/A,TRUE,"단위량"}</definedName>
    <definedName name="아" localSheetId="9" hidden="1">{#N/A,#N/A,TRUE,"토적및재료집계";#N/A,#N/A,TRUE,"토적및재료집계";#N/A,#N/A,TRUE,"단위량"}</definedName>
    <definedName name="아" localSheetId="11" hidden="1">{#N/A,#N/A,TRUE,"토적및재료집계";#N/A,#N/A,TRUE,"토적및재료집계";#N/A,#N/A,TRUE,"단위량"}</definedName>
    <definedName name="아" hidden="1">{#N/A,#N/A,TRUE,"토적및재료집계";#N/A,#N/A,TRUE,"토적및재료집계";#N/A,#N/A,TRUE,"단위량"}</definedName>
    <definedName name="직매54P" localSheetId="7">{#N/A,#N/A,TRUE,"토적및재료집계";#N/A,#N/A,TRUE,"토적및재료집계";#N/A,#N/A,TRUE,"단위량"}</definedName>
    <definedName name="직매54P" localSheetId="10" hidden="1">{#N/A,#N/A,TRUE,"토적및재료집계";#N/A,#N/A,TRUE,"토적및재료집계";#N/A,#N/A,TRUE,"단위량"}</definedName>
    <definedName name="직매54P" localSheetId="0" hidden="1">{#N/A,#N/A,TRUE,"토적및재료집계";#N/A,#N/A,TRUE,"토적및재료집계";#N/A,#N/A,TRUE,"단위량"}</definedName>
    <definedName name="직매54P" localSheetId="9" hidden="1">{#N/A,#N/A,TRUE,"토적및재료집계";#N/A,#N/A,TRUE,"토적및재료집계";#N/A,#N/A,TRUE,"단위량"}</definedName>
    <definedName name="직매54P" localSheetId="11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토" localSheetId="7">{#N/A,#N/A,TRUE,"토적및재료집계";#N/A,#N/A,TRUE,"토적및재료집계";#N/A,#N/A,TRUE,"단위량"}</definedName>
    <definedName name="토" localSheetId="10" hidden="1">{#N/A,#N/A,TRUE,"토적및재료집계";#N/A,#N/A,TRUE,"토적및재료집계";#N/A,#N/A,TRUE,"단위량"}</definedName>
    <definedName name="토" localSheetId="0" hidden="1">{#N/A,#N/A,TRUE,"토적및재료집계";#N/A,#N/A,TRUE,"토적및재료집계";#N/A,#N/A,TRUE,"단위량"}</definedName>
    <definedName name="토" localSheetId="9" hidden="1">{#N/A,#N/A,TRUE,"토적및재료집계";#N/A,#N/A,TRUE,"토적및재료집계";#N/A,#N/A,TRUE,"단위량"}</definedName>
    <definedName name="토" localSheetId="11" hidden="1">{#N/A,#N/A,TRUE,"토적및재료집계";#N/A,#N/A,TRUE,"토적및재료집계";#N/A,#N/A,TRUE,"단위량"}</definedName>
    <definedName name="토" hidden="1">{#N/A,#N/A,TRUE,"토적및재료집계";#N/A,#N/A,TRUE,"토적및재료집계";#N/A,#N/A,TRUE,"단위량"}</definedName>
    <definedName name="토적집계1" localSheetId="7">{#N/A,#N/A,TRUE,"토적및재료집계";#N/A,#N/A,TRUE,"토적및재료집계";#N/A,#N/A,TRUE,"단위량"}</definedName>
    <definedName name="토적집계1" localSheetId="10" hidden="1">{#N/A,#N/A,TRUE,"토적및재료집계";#N/A,#N/A,TRUE,"토적및재료집계";#N/A,#N/A,TRUE,"단위량"}</definedName>
    <definedName name="토적집계1" localSheetId="0" hidden="1">{#N/A,#N/A,TRUE,"토적및재료집계";#N/A,#N/A,TRUE,"토적및재료집계";#N/A,#N/A,TRUE,"단위량"}</definedName>
    <definedName name="토적집계1" localSheetId="9" hidden="1">{#N/A,#N/A,TRUE,"토적및재료집계";#N/A,#N/A,TRUE,"토적및재료집계";#N/A,#N/A,TRUE,"단위량"}</definedName>
    <definedName name="토적집계1" localSheetId="11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토적집계2" localSheetId="7">{#N/A,#N/A,TRUE,"토적및재료집계";#N/A,#N/A,TRUE,"토적및재료집계";#N/A,#N/A,TRUE,"단위량"}</definedName>
    <definedName name="토적집계2" localSheetId="10" hidden="1">{#N/A,#N/A,TRUE,"토적및재료집계";#N/A,#N/A,TRUE,"토적및재료집계";#N/A,#N/A,TRUE,"단위량"}</definedName>
    <definedName name="토적집계2" localSheetId="0" hidden="1">{#N/A,#N/A,TRUE,"토적및재료집계";#N/A,#N/A,TRUE,"토적및재료집계";#N/A,#N/A,TRUE,"단위량"}</definedName>
    <definedName name="토적집계2" localSheetId="9" hidden="1">{#N/A,#N/A,TRUE,"토적및재료집계";#N/A,#N/A,TRUE,"토적및재료집계";#N/A,#N/A,TRUE,"단위량"}</definedName>
    <definedName name="토적집계2" localSheetId="11" hidden="1">{#N/A,#N/A,TRUE,"토적및재료집계";#N/A,#N/A,TRUE,"토적및재료집계";#N/A,#N/A,TRUE,"단위량"}</definedName>
    <definedName name="토적집계2" hidden="1">{#N/A,#N/A,TRUE,"토적및재료집계";#N/A,#N/A,TRUE,"토적및재료집계";#N/A,#N/A,TRUE,"단위량"}</definedName>
    <definedName name="勝">#REF!</definedName>
    <definedName name="工事">#REF!</definedName>
    <definedName name="現法">#REF!</definedName>
    <definedName name="直轄">#REF!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30" l="1"/>
  <c r="R9" i="30"/>
  <c r="R8" i="30"/>
  <c r="R7" i="30"/>
  <c r="Q12" i="30"/>
  <c r="Q11" i="30"/>
  <c r="Q9" i="30"/>
  <c r="Q8" i="30"/>
  <c r="Q7" i="30"/>
  <c r="P17" i="30"/>
  <c r="P16" i="30"/>
  <c r="P15" i="30"/>
  <c r="P14" i="30"/>
  <c r="P13" i="30"/>
  <c r="P12" i="30"/>
  <c r="P11" i="30"/>
  <c r="P10" i="30"/>
  <c r="P9" i="30"/>
  <c r="P8" i="30"/>
  <c r="P7" i="30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FF6" i="27"/>
  <c r="FE6" i="27"/>
  <c r="FD6" i="27"/>
  <c r="FC6" i="27"/>
  <c r="FA6" i="27"/>
  <c r="EZ6" i="27"/>
  <c r="EY6" i="27"/>
  <c r="EX6" i="27"/>
  <c r="EV6" i="27"/>
  <c r="EU6" i="27"/>
  <c r="ET6" i="27"/>
  <c r="ES6" i="27"/>
  <c r="EQ6" i="27"/>
  <c r="EP6" i="27"/>
  <c r="EO6" i="27"/>
  <c r="EN6" i="27"/>
  <c r="EL6" i="27"/>
  <c r="EK6" i="27"/>
  <c r="EJ6" i="27"/>
  <c r="EI6" i="27"/>
  <c r="EF6" i="27"/>
  <c r="EE6" i="27"/>
  <c r="EB6" i="27"/>
  <c r="EA6" i="27"/>
  <c r="DZ6" i="27"/>
  <c r="DY6" i="27"/>
  <c r="DW6" i="27"/>
  <c r="DV6" i="27"/>
  <c r="DU6" i="27"/>
  <c r="DT6" i="27"/>
  <c r="DR6" i="27"/>
  <c r="DQ6" i="27"/>
  <c r="DP6" i="27"/>
  <c r="DO6" i="27"/>
  <c r="DM6" i="27"/>
  <c r="DL6" i="27"/>
  <c r="DK6" i="27"/>
  <c r="DJ6" i="27"/>
  <c r="DH6" i="27"/>
  <c r="DG6" i="27"/>
  <c r="DF6" i="27"/>
  <c r="DE6" i="27"/>
  <c r="DC6" i="27"/>
  <c r="DB6" i="27"/>
  <c r="DA6" i="27"/>
  <c r="CZ6" i="27"/>
  <c r="CX6" i="27"/>
  <c r="CW6" i="27"/>
  <c r="CV6" i="27"/>
  <c r="CU6" i="27"/>
  <c r="CS6" i="27"/>
  <c r="CR6" i="27"/>
  <c r="CQ6" i="27"/>
  <c r="CP6" i="27"/>
  <c r="CN6" i="27"/>
  <c r="CM6" i="27"/>
  <c r="CL6" i="27"/>
  <c r="CK6" i="27"/>
  <c r="CI6" i="27"/>
  <c r="CH6" i="27"/>
  <c r="CG6" i="27"/>
  <c r="CF6" i="27"/>
  <c r="CD6" i="27"/>
  <c r="CC6" i="27"/>
  <c r="CB6" i="27"/>
  <c r="CA6" i="27"/>
  <c r="BY6" i="27"/>
  <c r="BX6" i="27"/>
  <c r="BW6" i="27"/>
  <c r="BV6" i="27"/>
  <c r="BO6" i="27"/>
  <c r="BN6" i="27"/>
  <c r="BM6" i="27"/>
  <c r="BL6" i="27"/>
  <c r="BJ6" i="27"/>
  <c r="BI6" i="27"/>
  <c r="BH6" i="27"/>
  <c r="BG6" i="27"/>
  <c r="BE6" i="27"/>
  <c r="BD6" i="27"/>
  <c r="BC6" i="27"/>
  <c r="BB6" i="27"/>
  <c r="AZ6" i="27"/>
  <c r="AY6" i="27"/>
  <c r="AX6" i="27"/>
  <c r="AW6" i="27"/>
  <c r="AU6" i="27"/>
  <c r="AT6" i="27"/>
  <c r="AS6" i="27"/>
  <c r="AR6" i="27"/>
  <c r="AP6" i="27"/>
  <c r="AO6" i="27"/>
  <c r="AN6" i="27"/>
  <c r="AM6" i="27"/>
  <c r="AK6" i="27"/>
  <c r="AJ6" i="27"/>
  <c r="AI6" i="27"/>
  <c r="AH6" i="27"/>
  <c r="AF6" i="27"/>
  <c r="AE6" i="27"/>
  <c r="AD6" i="27"/>
  <c r="AC6" i="27"/>
  <c r="AA6" i="27"/>
  <c r="Z6" i="27"/>
  <c r="Y6" i="27"/>
  <c r="X6" i="27"/>
  <c r="V6" i="27"/>
  <c r="U6" i="27"/>
  <c r="T6" i="27"/>
  <c r="S6" i="27"/>
  <c r="Q6" i="27"/>
  <c r="P6" i="27"/>
  <c r="O6" i="27"/>
  <c r="N6" i="27"/>
  <c r="L6" i="27"/>
  <c r="K6" i="27"/>
  <c r="J6" i="27"/>
  <c r="I6" i="27"/>
  <c r="G6" i="27"/>
  <c r="F6" i="27"/>
  <c r="E6" i="27"/>
  <c r="D6" i="27"/>
  <c r="U46" i="36"/>
  <c r="U45" i="36"/>
  <c r="U44" i="36"/>
  <c r="U43" i="36"/>
  <c r="U42" i="36"/>
  <c r="U41" i="36"/>
  <c r="U47" i="36"/>
  <c r="U35" i="36"/>
  <c r="T35" i="36"/>
  <c r="S35" i="36"/>
  <c r="R35" i="36"/>
  <c r="Q35" i="36"/>
  <c r="U29" i="36"/>
  <c r="U28" i="36"/>
  <c r="U27" i="36"/>
  <c r="U31" i="36"/>
  <c r="U22" i="36"/>
  <c r="U24" i="36"/>
  <c r="U16" i="36"/>
  <c r="U15" i="36"/>
  <c r="U14" i="36"/>
  <c r="U6" i="36"/>
  <c r="U9" i="36"/>
  <c r="T8" i="36"/>
  <c r="S8" i="36"/>
  <c r="R8" i="36"/>
  <c r="Q8" i="36"/>
  <c r="O46" i="36"/>
  <c r="O45" i="36"/>
  <c r="O44" i="36"/>
  <c r="O43" i="36"/>
  <c r="O42" i="36"/>
  <c r="O41" i="36"/>
  <c r="O29" i="36"/>
  <c r="O28" i="36"/>
  <c r="O27" i="36"/>
  <c r="O31" i="36"/>
  <c r="O22" i="36"/>
  <c r="O24" i="36"/>
  <c r="O18" i="36"/>
  <c r="O16" i="36"/>
  <c r="O15" i="36"/>
  <c r="O14" i="36"/>
  <c r="O9" i="36"/>
  <c r="O8" i="36"/>
  <c r="O6" i="36"/>
  <c r="DT112" i="9"/>
  <c r="DR112" i="9"/>
  <c r="DS112" i="9"/>
  <c r="CE112" i="9"/>
  <c r="CF112" i="9"/>
  <c r="CF111" i="9"/>
  <c r="CE111" i="9"/>
  <c r="CF110" i="9"/>
  <c r="CE110" i="9"/>
  <c r="CG112" i="9"/>
  <c r="DQ112" i="9"/>
  <c r="DN112" i="9"/>
  <c r="DK112" i="9"/>
  <c r="DH112" i="9"/>
  <c r="DE112" i="9"/>
  <c r="DB112" i="9"/>
  <c r="CY112" i="9"/>
  <c r="CV112" i="9"/>
  <c r="CS112" i="9"/>
  <c r="CP112" i="9"/>
  <c r="CM112" i="9"/>
  <c r="CJ112" i="9"/>
  <c r="DQ111" i="9"/>
  <c r="DN111" i="9"/>
  <c r="DK111" i="9"/>
  <c r="DH111" i="9"/>
  <c r="DE111" i="9"/>
  <c r="DB111" i="9"/>
  <c r="CY111" i="9"/>
  <c r="CV111" i="9"/>
  <c r="CS111" i="9"/>
  <c r="CP111" i="9"/>
  <c r="CM111" i="9"/>
  <c r="CJ111" i="9"/>
  <c r="DQ110" i="9"/>
  <c r="DN110" i="9"/>
  <c r="DK110" i="9"/>
  <c r="DH110" i="9"/>
  <c r="DE110" i="9"/>
  <c r="DB110" i="9"/>
  <c r="CY110" i="9"/>
  <c r="CV110" i="9"/>
  <c r="CS110" i="9"/>
  <c r="CP110" i="9"/>
  <c r="CM110" i="9"/>
  <c r="CJ110" i="9"/>
  <c r="CD112" i="9"/>
  <c r="CA112" i="9"/>
  <c r="BX112" i="9"/>
  <c r="BU112" i="9"/>
  <c r="BR112" i="9"/>
  <c r="BO112" i="9"/>
  <c r="BL112" i="9"/>
  <c r="BI112" i="9"/>
  <c r="BF112" i="9"/>
  <c r="BC112" i="9"/>
  <c r="AZ112" i="9"/>
  <c r="AW112" i="9"/>
  <c r="CD111" i="9"/>
  <c r="CA111" i="9"/>
  <c r="BX111" i="9"/>
  <c r="BU111" i="9"/>
  <c r="BR111" i="9"/>
  <c r="BO111" i="9"/>
  <c r="BL111" i="9"/>
  <c r="BI111" i="9"/>
  <c r="BF111" i="9"/>
  <c r="BC111" i="9"/>
  <c r="AZ111" i="9"/>
  <c r="AW111" i="9"/>
  <c r="CD110" i="9"/>
  <c r="CD109" i="9"/>
  <c r="CA110" i="9"/>
  <c r="BX110" i="9"/>
  <c r="BU110" i="9"/>
  <c r="BR110" i="9"/>
  <c r="BO110" i="9"/>
  <c r="BL110" i="9"/>
  <c r="BI110" i="9"/>
  <c r="BF110" i="9"/>
  <c r="BC110" i="9"/>
  <c r="AZ110" i="9"/>
  <c r="AW110" i="9"/>
  <c r="AT112" i="9"/>
  <c r="AR112" i="9"/>
  <c r="AS112" i="9"/>
  <c r="AQ112" i="9"/>
  <c r="AN112" i="9"/>
  <c r="AK112" i="9"/>
  <c r="AH112" i="9"/>
  <c r="AE112" i="9"/>
  <c r="AB112" i="9"/>
  <c r="Y112" i="9"/>
  <c r="V112" i="9"/>
  <c r="S112" i="9"/>
  <c r="P112" i="9"/>
  <c r="M112" i="9"/>
  <c r="J112" i="9"/>
  <c r="AQ111" i="9"/>
  <c r="AN111" i="9"/>
  <c r="AK111" i="9"/>
  <c r="AH111" i="9"/>
  <c r="AE111" i="9"/>
  <c r="AB111" i="9"/>
  <c r="Y111" i="9"/>
  <c r="V111" i="9"/>
  <c r="S111" i="9"/>
  <c r="P111" i="9"/>
  <c r="M111" i="9"/>
  <c r="J111" i="9"/>
  <c r="AQ110" i="9"/>
  <c r="AN110" i="9"/>
  <c r="AK110" i="9"/>
  <c r="AH110" i="9"/>
  <c r="AE110" i="9"/>
  <c r="AB110" i="9"/>
  <c r="Y110" i="9"/>
  <c r="V110" i="9"/>
  <c r="S110" i="9"/>
  <c r="P110" i="9"/>
  <c r="M110" i="9"/>
  <c r="J110" i="9"/>
  <c r="G112" i="9"/>
  <c r="G103" i="9"/>
  <c r="G102" i="9"/>
  <c r="AQ103" i="9"/>
  <c r="AN103" i="9"/>
  <c r="AK103" i="9"/>
  <c r="AH103" i="9"/>
  <c r="AE103" i="9"/>
  <c r="AB103" i="9"/>
  <c r="Y103" i="9"/>
  <c r="V103" i="9"/>
  <c r="S103" i="9"/>
  <c r="P103" i="9"/>
  <c r="M103" i="9"/>
  <c r="J103" i="9"/>
  <c r="AQ102" i="9"/>
  <c r="AN102" i="9"/>
  <c r="AK102" i="9"/>
  <c r="AH102" i="9"/>
  <c r="AE102" i="9"/>
  <c r="AB102" i="9"/>
  <c r="Y102" i="9"/>
  <c r="V102" i="9"/>
  <c r="S102" i="9"/>
  <c r="P102" i="9"/>
  <c r="M102" i="9"/>
  <c r="J102" i="9"/>
  <c r="CD103" i="9"/>
  <c r="CA103" i="9"/>
  <c r="BX103" i="9"/>
  <c r="BU103" i="9"/>
  <c r="BR103" i="9"/>
  <c r="BO103" i="9"/>
  <c r="BL103" i="9"/>
  <c r="BI103" i="9"/>
  <c r="BF103" i="9"/>
  <c r="BC103" i="9"/>
  <c r="AZ103" i="9"/>
  <c r="CD102" i="9"/>
  <c r="CD101" i="9"/>
  <c r="CA102" i="9"/>
  <c r="CA101" i="9"/>
  <c r="BX102" i="9"/>
  <c r="BX101" i="9"/>
  <c r="BU102" i="9"/>
  <c r="BU101" i="9"/>
  <c r="BR102" i="9"/>
  <c r="BR101" i="9"/>
  <c r="BO102" i="9"/>
  <c r="BO101" i="9"/>
  <c r="BL102" i="9"/>
  <c r="BL101" i="9"/>
  <c r="BI102" i="9"/>
  <c r="BI101" i="9"/>
  <c r="BF102" i="9"/>
  <c r="BF101" i="9"/>
  <c r="BC102" i="9"/>
  <c r="BC101" i="9"/>
  <c r="AZ102" i="9"/>
  <c r="AZ101" i="9"/>
  <c r="AW103" i="9"/>
  <c r="AW102" i="9"/>
  <c r="DQ103" i="9"/>
  <c r="DN103" i="9"/>
  <c r="DK103" i="9"/>
  <c r="DH103" i="9"/>
  <c r="DE103" i="9"/>
  <c r="DB103" i="9"/>
  <c r="CY103" i="9"/>
  <c r="CV103" i="9"/>
  <c r="CS103" i="9"/>
  <c r="CP103" i="9"/>
  <c r="CM103" i="9"/>
  <c r="CJ103" i="9"/>
  <c r="DQ102" i="9"/>
  <c r="DN102" i="9"/>
  <c r="DK102" i="9"/>
  <c r="DH102" i="9"/>
  <c r="DE102" i="9"/>
  <c r="DB102" i="9"/>
  <c r="CY102" i="9"/>
  <c r="CV102" i="9"/>
  <c r="CS102" i="9"/>
  <c r="CP102" i="9"/>
  <c r="CM102" i="9"/>
  <c r="CJ102" i="9"/>
  <c r="DQ99" i="9"/>
  <c r="DN99" i="9"/>
  <c r="DK99" i="9"/>
  <c r="DH99" i="9"/>
  <c r="DE99" i="9"/>
  <c r="DB99" i="9"/>
  <c r="CY99" i="9"/>
  <c r="CV99" i="9"/>
  <c r="CS99" i="9"/>
  <c r="CP99" i="9"/>
  <c r="DQ98" i="9"/>
  <c r="DN98" i="9"/>
  <c r="DK98" i="9"/>
  <c r="DH98" i="9"/>
  <c r="DE98" i="9"/>
  <c r="DB98" i="9"/>
  <c r="CY98" i="9"/>
  <c r="CV98" i="9"/>
  <c r="CS98" i="9"/>
  <c r="CP98" i="9"/>
  <c r="CM99" i="9"/>
  <c r="CM98" i="9"/>
  <c r="AQ99" i="9"/>
  <c r="AQ107" i="9"/>
  <c r="AN99" i="9"/>
  <c r="AN107" i="9"/>
  <c r="AK99" i="9"/>
  <c r="AK107" i="9"/>
  <c r="AH99" i="9"/>
  <c r="AH107" i="9"/>
  <c r="AE99" i="9"/>
  <c r="AE107" i="9"/>
  <c r="AB99" i="9"/>
  <c r="AB107" i="9"/>
  <c r="Y99" i="9"/>
  <c r="Y107" i="9"/>
  <c r="V99" i="9"/>
  <c r="V107" i="9"/>
  <c r="S99" i="9"/>
  <c r="S107" i="9"/>
  <c r="P99" i="9"/>
  <c r="P107" i="9"/>
  <c r="M99" i="9"/>
  <c r="M107" i="9"/>
  <c r="J99" i="9"/>
  <c r="AQ98" i="9"/>
  <c r="AN98" i="9"/>
  <c r="AK98" i="9"/>
  <c r="AH98" i="9"/>
  <c r="AE98" i="9"/>
  <c r="AB98" i="9"/>
  <c r="Y98" i="9"/>
  <c r="V98" i="9"/>
  <c r="S98" i="9"/>
  <c r="P98" i="9"/>
  <c r="M98" i="9"/>
  <c r="J98" i="9"/>
  <c r="CF83" i="9"/>
  <c r="CE83" i="9"/>
  <c r="CF82" i="9"/>
  <c r="CE82" i="9"/>
  <c r="CF81" i="9"/>
  <c r="CE81" i="9"/>
  <c r="CF80" i="9"/>
  <c r="CE80" i="9"/>
  <c r="DQ65" i="9"/>
  <c r="DN65" i="9"/>
  <c r="DK65" i="9"/>
  <c r="DH65" i="9"/>
  <c r="DE65" i="9"/>
  <c r="DB65" i="9"/>
  <c r="CY65" i="9"/>
  <c r="CV65" i="9"/>
  <c r="CS65" i="9"/>
  <c r="CP65" i="9"/>
  <c r="CM65" i="9"/>
  <c r="CJ65" i="9"/>
  <c r="DQ64" i="9"/>
  <c r="DN64" i="9"/>
  <c r="DK64" i="9"/>
  <c r="DH64" i="9"/>
  <c r="DE64" i="9"/>
  <c r="DB64" i="9"/>
  <c r="CY64" i="9"/>
  <c r="CV64" i="9"/>
  <c r="CS64" i="9"/>
  <c r="CP64" i="9"/>
  <c r="CM64" i="9"/>
  <c r="CJ64" i="9"/>
  <c r="DQ63" i="9"/>
  <c r="DN63" i="9"/>
  <c r="DK63" i="9"/>
  <c r="DH63" i="9"/>
  <c r="DE63" i="9"/>
  <c r="DB63" i="9"/>
  <c r="CY63" i="9"/>
  <c r="CV63" i="9"/>
  <c r="CS63" i="9"/>
  <c r="CP63" i="9"/>
  <c r="CM63" i="9"/>
  <c r="CJ63" i="9"/>
  <c r="DQ62" i="9"/>
  <c r="DN62" i="9"/>
  <c r="DK62" i="9"/>
  <c r="DH62" i="9"/>
  <c r="DE62" i="9"/>
  <c r="DB62" i="9"/>
  <c r="CY62" i="9"/>
  <c r="CV62" i="9"/>
  <c r="CS62" i="9"/>
  <c r="CP62" i="9"/>
  <c r="CM62" i="9"/>
  <c r="CJ62" i="9"/>
  <c r="AQ65" i="9"/>
  <c r="AN65" i="9"/>
  <c r="AK65" i="9"/>
  <c r="AH65" i="9"/>
  <c r="AE65" i="9"/>
  <c r="AB65" i="9"/>
  <c r="Y65" i="9"/>
  <c r="V65" i="9"/>
  <c r="S65" i="9"/>
  <c r="P65" i="9"/>
  <c r="M65" i="9"/>
  <c r="J65" i="9"/>
  <c r="AQ64" i="9"/>
  <c r="AN64" i="9"/>
  <c r="AK64" i="9"/>
  <c r="AH64" i="9"/>
  <c r="AE64" i="9"/>
  <c r="AB64" i="9"/>
  <c r="Y64" i="9"/>
  <c r="V64" i="9"/>
  <c r="S64" i="9"/>
  <c r="P64" i="9"/>
  <c r="M64" i="9"/>
  <c r="J64" i="9"/>
  <c r="AQ63" i="9"/>
  <c r="AN63" i="9"/>
  <c r="AK63" i="9"/>
  <c r="AH63" i="9"/>
  <c r="AE63" i="9"/>
  <c r="AB63" i="9"/>
  <c r="Y63" i="9"/>
  <c r="V63" i="9"/>
  <c r="S63" i="9"/>
  <c r="P63" i="9"/>
  <c r="M63" i="9"/>
  <c r="J63" i="9"/>
  <c r="AQ62" i="9"/>
  <c r="AN62" i="9"/>
  <c r="AK62" i="9"/>
  <c r="AH62" i="9"/>
  <c r="AE62" i="9"/>
  <c r="AB62" i="9"/>
  <c r="Y62" i="9"/>
  <c r="V62" i="9"/>
  <c r="S62" i="9"/>
  <c r="P62" i="9"/>
  <c r="M62" i="9"/>
  <c r="J62" i="9"/>
  <c r="AQ71" i="9"/>
  <c r="AN71" i="9"/>
  <c r="AK71" i="9"/>
  <c r="AH71" i="9"/>
  <c r="AE71" i="9"/>
  <c r="AB71" i="9"/>
  <c r="Y71" i="9"/>
  <c r="V71" i="9"/>
  <c r="S71" i="9"/>
  <c r="P71" i="9"/>
  <c r="M71" i="9"/>
  <c r="J71" i="9"/>
  <c r="AQ70" i="9"/>
  <c r="AN70" i="9"/>
  <c r="AK70" i="9"/>
  <c r="AH70" i="9"/>
  <c r="AE70" i="9"/>
  <c r="AB70" i="9"/>
  <c r="Y70" i="9"/>
  <c r="V70" i="9"/>
  <c r="S70" i="9"/>
  <c r="P70" i="9"/>
  <c r="M70" i="9"/>
  <c r="J70" i="9"/>
  <c r="AQ69" i="9"/>
  <c r="AN69" i="9"/>
  <c r="AK69" i="9"/>
  <c r="AH69" i="9"/>
  <c r="AE69" i="9"/>
  <c r="AB69" i="9"/>
  <c r="Y69" i="9"/>
  <c r="V69" i="9"/>
  <c r="S69" i="9"/>
  <c r="P69" i="9"/>
  <c r="M69" i="9"/>
  <c r="J69" i="9"/>
  <c r="AQ68" i="9"/>
  <c r="AN68" i="9"/>
  <c r="AK68" i="9"/>
  <c r="AH68" i="9"/>
  <c r="AE68" i="9"/>
  <c r="AB68" i="9"/>
  <c r="Y68" i="9"/>
  <c r="V68" i="9"/>
  <c r="S68" i="9"/>
  <c r="P68" i="9"/>
  <c r="M68" i="9"/>
  <c r="J68" i="9"/>
  <c r="CD71" i="9"/>
  <c r="CA71" i="9"/>
  <c r="BX71" i="9"/>
  <c r="BU71" i="9"/>
  <c r="BR71" i="9"/>
  <c r="BO71" i="9"/>
  <c r="BL71" i="9"/>
  <c r="BI71" i="9"/>
  <c r="BF71" i="9"/>
  <c r="BC71" i="9"/>
  <c r="AZ71" i="9"/>
  <c r="AW71" i="9"/>
  <c r="CD70" i="9"/>
  <c r="CA70" i="9"/>
  <c r="BX70" i="9"/>
  <c r="BU70" i="9"/>
  <c r="BR70" i="9"/>
  <c r="BO70" i="9"/>
  <c r="BL70" i="9"/>
  <c r="BI70" i="9"/>
  <c r="BF70" i="9"/>
  <c r="BC70" i="9"/>
  <c r="AZ70" i="9"/>
  <c r="AW70" i="9"/>
  <c r="CD69" i="9"/>
  <c r="CA69" i="9"/>
  <c r="BX69" i="9"/>
  <c r="BU69" i="9"/>
  <c r="BR69" i="9"/>
  <c r="BO69" i="9"/>
  <c r="BL69" i="9"/>
  <c r="BI69" i="9"/>
  <c r="BF69" i="9"/>
  <c r="BC69" i="9"/>
  <c r="AZ69" i="9"/>
  <c r="AW69" i="9"/>
  <c r="CD68" i="9"/>
  <c r="CA68" i="9"/>
  <c r="BX68" i="9"/>
  <c r="BU68" i="9"/>
  <c r="BR68" i="9"/>
  <c r="BO68" i="9"/>
  <c r="BL68" i="9"/>
  <c r="BI68" i="9"/>
  <c r="BF68" i="9"/>
  <c r="BC68" i="9"/>
  <c r="AZ68" i="9"/>
  <c r="AW68" i="9"/>
  <c r="DQ71" i="9"/>
  <c r="DN71" i="9"/>
  <c r="DK71" i="9"/>
  <c r="DH71" i="9"/>
  <c r="DE71" i="9"/>
  <c r="DB71" i="9"/>
  <c r="CY71" i="9"/>
  <c r="CV71" i="9"/>
  <c r="CS71" i="9"/>
  <c r="CP71" i="9"/>
  <c r="CM71" i="9"/>
  <c r="CJ71" i="9"/>
  <c r="DQ70" i="9"/>
  <c r="DN70" i="9"/>
  <c r="DK70" i="9"/>
  <c r="DH70" i="9"/>
  <c r="DE70" i="9"/>
  <c r="DB70" i="9"/>
  <c r="CY70" i="9"/>
  <c r="CV70" i="9"/>
  <c r="CS70" i="9"/>
  <c r="CP70" i="9"/>
  <c r="CM70" i="9"/>
  <c r="CJ70" i="9"/>
  <c r="DQ69" i="9"/>
  <c r="DN69" i="9"/>
  <c r="DK69" i="9"/>
  <c r="DH69" i="9"/>
  <c r="DE69" i="9"/>
  <c r="DB69" i="9"/>
  <c r="CY69" i="9"/>
  <c r="CV69" i="9"/>
  <c r="CS69" i="9"/>
  <c r="CP69" i="9"/>
  <c r="CM69" i="9"/>
  <c r="CJ69" i="9"/>
  <c r="DQ68" i="9"/>
  <c r="DN68" i="9"/>
  <c r="DK68" i="9"/>
  <c r="DH68" i="9"/>
  <c r="DE68" i="9"/>
  <c r="DB68" i="9"/>
  <c r="CY68" i="9"/>
  <c r="CV68" i="9"/>
  <c r="CS68" i="9"/>
  <c r="CP68" i="9"/>
  <c r="CM68" i="9"/>
  <c r="CJ68" i="9"/>
  <c r="DQ83" i="9"/>
  <c r="DN83" i="9"/>
  <c r="DK83" i="9"/>
  <c r="DH83" i="9"/>
  <c r="DE83" i="9"/>
  <c r="DB83" i="9"/>
  <c r="CY83" i="9"/>
  <c r="CV83" i="9"/>
  <c r="CS83" i="9"/>
  <c r="CP83" i="9"/>
  <c r="CM83" i="9"/>
  <c r="CJ83" i="9"/>
  <c r="CJ95" i="9"/>
  <c r="DQ82" i="9"/>
  <c r="DN82" i="9"/>
  <c r="DK82" i="9"/>
  <c r="DH82" i="9"/>
  <c r="DE82" i="9"/>
  <c r="DB82" i="9"/>
  <c r="CY82" i="9"/>
  <c r="CV82" i="9"/>
  <c r="CS82" i="9"/>
  <c r="CP82" i="9"/>
  <c r="CM82" i="9"/>
  <c r="CJ82" i="9"/>
  <c r="DQ81" i="9"/>
  <c r="DN81" i="9"/>
  <c r="DK81" i="9"/>
  <c r="DH81" i="9"/>
  <c r="DE81" i="9"/>
  <c r="DB81" i="9"/>
  <c r="CY81" i="9"/>
  <c r="CV81" i="9"/>
  <c r="CS81" i="9"/>
  <c r="CP81" i="9"/>
  <c r="CM81" i="9"/>
  <c r="CJ81" i="9"/>
  <c r="CJ93" i="9"/>
  <c r="DQ80" i="9"/>
  <c r="DN80" i="9"/>
  <c r="DK80" i="9"/>
  <c r="DH80" i="9"/>
  <c r="DE80" i="9"/>
  <c r="DB80" i="9"/>
  <c r="CY80" i="9"/>
  <c r="CV80" i="9"/>
  <c r="CS80" i="9"/>
  <c r="CP80" i="9"/>
  <c r="CM80" i="9"/>
  <c r="CJ80" i="9"/>
  <c r="CJ92" i="9"/>
  <c r="AQ83" i="9"/>
  <c r="AN83" i="9"/>
  <c r="AK83" i="9"/>
  <c r="AH83" i="9"/>
  <c r="AE83" i="9"/>
  <c r="AB83" i="9"/>
  <c r="Y83" i="9"/>
  <c r="V83" i="9"/>
  <c r="S83" i="9"/>
  <c r="P83" i="9"/>
  <c r="M83" i="9"/>
  <c r="J83" i="9"/>
  <c r="AQ82" i="9"/>
  <c r="AN82" i="9"/>
  <c r="AK82" i="9"/>
  <c r="AH82" i="9"/>
  <c r="AE82" i="9"/>
  <c r="AB82" i="9"/>
  <c r="Y82" i="9"/>
  <c r="V82" i="9"/>
  <c r="S82" i="9"/>
  <c r="P82" i="9"/>
  <c r="M82" i="9"/>
  <c r="J82" i="9"/>
  <c r="AQ81" i="9"/>
  <c r="AN81" i="9"/>
  <c r="AK81" i="9"/>
  <c r="AH81" i="9"/>
  <c r="AE81" i="9"/>
  <c r="AB81" i="9"/>
  <c r="Y81" i="9"/>
  <c r="V81" i="9"/>
  <c r="S81" i="9"/>
  <c r="P81" i="9"/>
  <c r="M81" i="9"/>
  <c r="J81" i="9"/>
  <c r="AQ80" i="9"/>
  <c r="AN80" i="9"/>
  <c r="AK80" i="9"/>
  <c r="AH80" i="9"/>
  <c r="AE80" i="9"/>
  <c r="AB80" i="9"/>
  <c r="Y80" i="9"/>
  <c r="V80" i="9"/>
  <c r="S80" i="9"/>
  <c r="P80" i="9"/>
  <c r="M80" i="9"/>
  <c r="J80" i="9"/>
  <c r="AQ89" i="9"/>
  <c r="AN89" i="9"/>
  <c r="AK89" i="9"/>
  <c r="AH89" i="9"/>
  <c r="AE89" i="9"/>
  <c r="AB89" i="9"/>
  <c r="Y89" i="9"/>
  <c r="V89" i="9"/>
  <c r="S89" i="9"/>
  <c r="P89" i="9"/>
  <c r="M89" i="9"/>
  <c r="J89" i="9"/>
  <c r="AQ88" i="9"/>
  <c r="AN88" i="9"/>
  <c r="AK88" i="9"/>
  <c r="AH88" i="9"/>
  <c r="AE88" i="9"/>
  <c r="AB88" i="9"/>
  <c r="Y88" i="9"/>
  <c r="V88" i="9"/>
  <c r="S88" i="9"/>
  <c r="P88" i="9"/>
  <c r="M88" i="9"/>
  <c r="J88" i="9"/>
  <c r="AQ87" i="9"/>
  <c r="AN87" i="9"/>
  <c r="AK87" i="9"/>
  <c r="AH87" i="9"/>
  <c r="AE87" i="9"/>
  <c r="AB87" i="9"/>
  <c r="Y87" i="9"/>
  <c r="V87" i="9"/>
  <c r="S87" i="9"/>
  <c r="P87" i="9"/>
  <c r="M87" i="9"/>
  <c r="J87" i="9"/>
  <c r="AQ86" i="9"/>
  <c r="AN86" i="9"/>
  <c r="AK86" i="9"/>
  <c r="AH86" i="9"/>
  <c r="AE86" i="9"/>
  <c r="AB86" i="9"/>
  <c r="Y86" i="9"/>
  <c r="V86" i="9"/>
  <c r="S86" i="9"/>
  <c r="P86" i="9"/>
  <c r="M86" i="9"/>
  <c r="J86" i="9"/>
  <c r="DQ89" i="9"/>
  <c r="DN89" i="9"/>
  <c r="DK89" i="9"/>
  <c r="DH89" i="9"/>
  <c r="DE89" i="9"/>
  <c r="DB89" i="9"/>
  <c r="CY89" i="9"/>
  <c r="CV89" i="9"/>
  <c r="CS89" i="9"/>
  <c r="CP89" i="9"/>
  <c r="CM89" i="9"/>
  <c r="CJ89" i="9"/>
  <c r="DQ88" i="9"/>
  <c r="DN88" i="9"/>
  <c r="DK88" i="9"/>
  <c r="DH88" i="9"/>
  <c r="DE88" i="9"/>
  <c r="DB88" i="9"/>
  <c r="CY88" i="9"/>
  <c r="CV88" i="9"/>
  <c r="CS88" i="9"/>
  <c r="CP88" i="9"/>
  <c r="CM88" i="9"/>
  <c r="CJ88" i="9"/>
  <c r="DQ87" i="9"/>
  <c r="DN87" i="9"/>
  <c r="DK87" i="9"/>
  <c r="DH87" i="9"/>
  <c r="DE87" i="9"/>
  <c r="DB87" i="9"/>
  <c r="CY87" i="9"/>
  <c r="CV87" i="9"/>
  <c r="CS87" i="9"/>
  <c r="CP87" i="9"/>
  <c r="CM87" i="9"/>
  <c r="CJ87" i="9"/>
  <c r="DQ86" i="9"/>
  <c r="DN86" i="9"/>
  <c r="DK86" i="9"/>
  <c r="DH86" i="9"/>
  <c r="DE86" i="9"/>
  <c r="DB86" i="9"/>
  <c r="CY86" i="9"/>
  <c r="CV86" i="9"/>
  <c r="CS86" i="9"/>
  <c r="CP86" i="9"/>
  <c r="CM86" i="9"/>
  <c r="CJ86" i="9"/>
  <c r="CD89" i="9"/>
  <c r="CA89" i="9"/>
  <c r="BX89" i="9"/>
  <c r="BU89" i="9"/>
  <c r="BR89" i="9"/>
  <c r="BO89" i="9"/>
  <c r="BL89" i="9"/>
  <c r="BI89" i="9"/>
  <c r="BF89" i="9"/>
  <c r="BC89" i="9"/>
  <c r="AZ89" i="9"/>
  <c r="AW89" i="9"/>
  <c r="CD88" i="9"/>
  <c r="CA88" i="9"/>
  <c r="BX88" i="9"/>
  <c r="BU88" i="9"/>
  <c r="BR88" i="9"/>
  <c r="BO88" i="9"/>
  <c r="BL88" i="9"/>
  <c r="BI88" i="9"/>
  <c r="BF88" i="9"/>
  <c r="BC88" i="9"/>
  <c r="AZ88" i="9"/>
  <c r="AW88" i="9"/>
  <c r="CD87" i="9"/>
  <c r="CA87" i="9"/>
  <c r="BX87" i="9"/>
  <c r="BU87" i="9"/>
  <c r="BR87" i="9"/>
  <c r="BO87" i="9"/>
  <c r="BL87" i="9"/>
  <c r="BI87" i="9"/>
  <c r="BF87" i="9"/>
  <c r="BC87" i="9"/>
  <c r="AZ87" i="9"/>
  <c r="AW87" i="9"/>
  <c r="CD86" i="9"/>
  <c r="CA86" i="9"/>
  <c r="BX86" i="9"/>
  <c r="BU86" i="9"/>
  <c r="BR86" i="9"/>
  <c r="BO86" i="9"/>
  <c r="BL86" i="9"/>
  <c r="BI86" i="9"/>
  <c r="BF86" i="9"/>
  <c r="BC86" i="9"/>
  <c r="AZ86" i="9"/>
  <c r="AW86" i="9"/>
  <c r="CJ99" i="9"/>
  <c r="CJ98" i="9"/>
  <c r="AC19" i="19"/>
  <c r="AC20" i="19"/>
  <c r="P19" i="19"/>
  <c r="FG18" i="27"/>
  <c r="FB18" i="27"/>
  <c r="EW18" i="27"/>
  <c r="EW19" i="27" s="1"/>
  <c r="ER18" i="27"/>
  <c r="EM18" i="27"/>
  <c r="EG18" i="27"/>
  <c r="EF18" i="27"/>
  <c r="EE18" i="27"/>
  <c r="ED18" i="27"/>
  <c r="ED19" i="27" s="1"/>
  <c r="BT18" i="27"/>
  <c r="BT19" i="27" s="1"/>
  <c r="BS18" i="27"/>
  <c r="BS19" i="27" s="1"/>
  <c r="BR18" i="27"/>
  <c r="BU18" i="27" s="1"/>
  <c r="BQ18" i="27"/>
  <c r="EC18" i="27"/>
  <c r="DX18" i="27"/>
  <c r="DS18" i="27"/>
  <c r="DN18" i="27"/>
  <c r="DN19" i="27" s="1"/>
  <c r="DI18" i="27"/>
  <c r="DI19" i="27" s="1"/>
  <c r="DD18" i="27"/>
  <c r="CY18" i="27"/>
  <c r="CY19" i="27" s="1"/>
  <c r="CT18" i="27"/>
  <c r="CO18" i="27"/>
  <c r="CJ18" i="27"/>
  <c r="CE18" i="27"/>
  <c r="BZ18" i="27"/>
  <c r="BP18" i="27"/>
  <c r="BP19" i="27" s="1"/>
  <c r="BK18" i="27"/>
  <c r="BF18" i="27"/>
  <c r="BA18" i="27"/>
  <c r="AV18" i="27"/>
  <c r="AV19" i="27" s="1"/>
  <c r="AQ18" i="27"/>
  <c r="AL18" i="27"/>
  <c r="AL19" i="27" s="1"/>
  <c r="AG18" i="27"/>
  <c r="AB18" i="27"/>
  <c r="W18" i="27"/>
  <c r="R18" i="27"/>
  <c r="M18" i="27"/>
  <c r="G19" i="27"/>
  <c r="F19" i="27"/>
  <c r="E19" i="27"/>
  <c r="D19" i="27"/>
  <c r="H18" i="27"/>
  <c r="AC8" i="19"/>
  <c r="AC9" i="19"/>
  <c r="AC7" i="19"/>
  <c r="AC11" i="19"/>
  <c r="AC17" i="19"/>
  <c r="AC16" i="19"/>
  <c r="P17" i="19"/>
  <c r="P16" i="19"/>
  <c r="FF14" i="27"/>
  <c r="FE14" i="27"/>
  <c r="FD14" i="27"/>
  <c r="FC14" i="27"/>
  <c r="FA14" i="27"/>
  <c r="EZ14" i="27"/>
  <c r="EY14" i="27"/>
  <c r="EX14" i="27"/>
  <c r="EV14" i="27"/>
  <c r="EU14" i="27"/>
  <c r="ET14" i="27"/>
  <c r="ES14" i="27"/>
  <c r="EQ14" i="27"/>
  <c r="EP14" i="27"/>
  <c r="EO14" i="27"/>
  <c r="EN14" i="27"/>
  <c r="EL14" i="27"/>
  <c r="EK14" i="27"/>
  <c r="EJ14" i="27"/>
  <c r="EI14" i="27"/>
  <c r="EB14" i="27"/>
  <c r="EA14" i="27"/>
  <c r="DZ14" i="27"/>
  <c r="DY14" i="27"/>
  <c r="DW14" i="27"/>
  <c r="DV14" i="27"/>
  <c r="DU14" i="27"/>
  <c r="DT14" i="27"/>
  <c r="DR14" i="27"/>
  <c r="DQ14" i="27"/>
  <c r="DP14" i="27"/>
  <c r="DO14" i="27"/>
  <c r="DM14" i="27"/>
  <c r="DL14" i="27"/>
  <c r="DK14" i="27"/>
  <c r="DJ14" i="27"/>
  <c r="DH14" i="27"/>
  <c r="DG14" i="27"/>
  <c r="DF14" i="27"/>
  <c r="DE14" i="27"/>
  <c r="DC14" i="27"/>
  <c r="DB14" i="27"/>
  <c r="DA14" i="27"/>
  <c r="CZ14" i="27"/>
  <c r="CX14" i="27"/>
  <c r="CW14" i="27"/>
  <c r="CV14" i="27"/>
  <c r="CU14" i="27"/>
  <c r="CS14" i="27"/>
  <c r="CR14" i="27"/>
  <c r="CQ14" i="27"/>
  <c r="CP14" i="27"/>
  <c r="CN14" i="27"/>
  <c r="CM14" i="27"/>
  <c r="CL14" i="27"/>
  <c r="CK14" i="27"/>
  <c r="CI14" i="27"/>
  <c r="CH14" i="27"/>
  <c r="CG14" i="27"/>
  <c r="CF14" i="27"/>
  <c r="CD14" i="27"/>
  <c r="CC14" i="27"/>
  <c r="CB14" i="27"/>
  <c r="CA14" i="27"/>
  <c r="BY14" i="27"/>
  <c r="BX14" i="27"/>
  <c r="BW14" i="27"/>
  <c r="BV14" i="27"/>
  <c r="BO14" i="27"/>
  <c r="BN14" i="27"/>
  <c r="BM14" i="27"/>
  <c r="BL14" i="27"/>
  <c r="BJ14" i="27"/>
  <c r="BI14" i="27"/>
  <c r="BH14" i="27"/>
  <c r="BG14" i="27"/>
  <c r="BE14" i="27"/>
  <c r="BD14" i="27"/>
  <c r="BC14" i="27"/>
  <c r="BB14" i="27"/>
  <c r="AZ14" i="27"/>
  <c r="AY14" i="27"/>
  <c r="AX14" i="27"/>
  <c r="AW14" i="27"/>
  <c r="AU14" i="27"/>
  <c r="AT14" i="27"/>
  <c r="AS14" i="27"/>
  <c r="AR14" i="27"/>
  <c r="AP14" i="27"/>
  <c r="AO14" i="27"/>
  <c r="AN14" i="27"/>
  <c r="AM14" i="27"/>
  <c r="AK14" i="27"/>
  <c r="AJ14" i="27"/>
  <c r="AI14" i="27"/>
  <c r="AH14" i="27"/>
  <c r="AF14" i="27"/>
  <c r="AE14" i="27"/>
  <c r="AD14" i="27"/>
  <c r="AC14" i="27"/>
  <c r="AA14" i="27"/>
  <c r="Z14" i="27"/>
  <c r="Y14" i="27"/>
  <c r="X14" i="27"/>
  <c r="V14" i="27"/>
  <c r="U14" i="27"/>
  <c r="T14" i="27"/>
  <c r="S14" i="27"/>
  <c r="Q14" i="27"/>
  <c r="P14" i="27"/>
  <c r="O14" i="27"/>
  <c r="N14" i="27"/>
  <c r="L14" i="27"/>
  <c r="K14" i="27"/>
  <c r="J14" i="27"/>
  <c r="I14" i="27"/>
  <c r="G14" i="27"/>
  <c r="F14" i="27"/>
  <c r="E14" i="27"/>
  <c r="D14" i="27"/>
  <c r="FG16" i="27"/>
  <c r="FG15" i="27"/>
  <c r="FB16" i="27"/>
  <c r="FB14" i="27" s="1"/>
  <c r="FB15" i="27"/>
  <c r="EW16" i="27"/>
  <c r="EW15" i="27"/>
  <c r="ER16" i="27"/>
  <c r="ER15" i="27"/>
  <c r="EM16" i="27"/>
  <c r="EM15" i="27"/>
  <c r="EH16" i="27"/>
  <c r="EC16" i="27"/>
  <c r="EC15" i="27"/>
  <c r="ED15" i="27"/>
  <c r="DX16" i="27"/>
  <c r="DX15" i="27"/>
  <c r="DS16" i="27"/>
  <c r="DS15" i="27"/>
  <c r="DN16" i="27"/>
  <c r="DN15" i="27"/>
  <c r="DI16" i="27"/>
  <c r="DI15" i="27"/>
  <c r="DD16" i="27"/>
  <c r="DD15" i="27"/>
  <c r="CY16" i="27"/>
  <c r="CY15" i="27"/>
  <c r="CT16" i="27"/>
  <c r="CT15" i="27"/>
  <c r="CO16" i="27"/>
  <c r="CO15" i="27"/>
  <c r="CJ16" i="27"/>
  <c r="CJ15" i="27"/>
  <c r="CE16" i="27"/>
  <c r="CE15" i="27"/>
  <c r="BZ16" i="27"/>
  <c r="BZ15" i="27"/>
  <c r="BU16" i="27"/>
  <c r="BK16" i="27"/>
  <c r="BK15" i="27"/>
  <c r="BF16" i="27"/>
  <c r="BF14" i="27" s="1"/>
  <c r="BF15" i="27"/>
  <c r="BA16" i="27"/>
  <c r="BA15" i="27"/>
  <c r="AV16" i="27"/>
  <c r="AV15" i="27"/>
  <c r="AQ16" i="27"/>
  <c r="AQ15" i="27"/>
  <c r="AL16" i="27"/>
  <c r="AL15" i="27"/>
  <c r="AG16" i="27"/>
  <c r="AG15" i="27"/>
  <c r="AB16" i="27"/>
  <c r="AB15" i="27"/>
  <c r="W16" i="27"/>
  <c r="W15" i="27"/>
  <c r="R16" i="27"/>
  <c r="R15" i="27"/>
  <c r="M16" i="27"/>
  <c r="M15" i="27"/>
  <c r="H16" i="27"/>
  <c r="EG15" i="27"/>
  <c r="BT15" i="27"/>
  <c r="BS15" i="27"/>
  <c r="BR15" i="27"/>
  <c r="BQ15" i="27"/>
  <c r="BU15" i="27"/>
  <c r="BP15" i="27"/>
  <c r="H15" i="27"/>
  <c r="DP14" i="9"/>
  <c r="DO14" i="9"/>
  <c r="DM14" i="9"/>
  <c r="DL14" i="9"/>
  <c r="DJ14" i="9"/>
  <c r="DI14" i="9"/>
  <c r="DG14" i="9"/>
  <c r="DF14" i="9"/>
  <c r="DD14" i="9"/>
  <c r="DC14" i="9"/>
  <c r="DA14" i="9"/>
  <c r="CZ14" i="9"/>
  <c r="CX14" i="9"/>
  <c r="CW14" i="9"/>
  <c r="CU14" i="9"/>
  <c r="CT14" i="9"/>
  <c r="CR14" i="9"/>
  <c r="CQ14" i="9"/>
  <c r="CO14" i="9"/>
  <c r="CN14" i="9"/>
  <c r="CL14" i="9"/>
  <c r="CK14" i="9"/>
  <c r="CI14" i="9"/>
  <c r="CH14" i="9"/>
  <c r="CC14" i="9"/>
  <c r="CB14" i="9"/>
  <c r="BZ14" i="9"/>
  <c r="BY14" i="9"/>
  <c r="BW14" i="9"/>
  <c r="BV14" i="9"/>
  <c r="BT14" i="9"/>
  <c r="BS14" i="9"/>
  <c r="BQ14" i="9"/>
  <c r="BP14" i="9"/>
  <c r="BN14" i="9"/>
  <c r="BM14" i="9"/>
  <c r="BK14" i="9"/>
  <c r="BJ14" i="9"/>
  <c r="BH14" i="9"/>
  <c r="BG14" i="9"/>
  <c r="BE14" i="9"/>
  <c r="BD14" i="9"/>
  <c r="BB14" i="9"/>
  <c r="BA14" i="9"/>
  <c r="AY14" i="9"/>
  <c r="AX14" i="9"/>
  <c r="AV14" i="9"/>
  <c r="AU14" i="9"/>
  <c r="AP14" i="9"/>
  <c r="AO14" i="9"/>
  <c r="AM14" i="9"/>
  <c r="AL14" i="9"/>
  <c r="AJ14" i="9"/>
  <c r="AI14" i="9"/>
  <c r="AG14" i="9"/>
  <c r="AF14" i="9"/>
  <c r="AD14" i="9"/>
  <c r="AC14" i="9"/>
  <c r="AA14" i="9"/>
  <c r="Z14" i="9"/>
  <c r="X14" i="9"/>
  <c r="W14" i="9"/>
  <c r="U14" i="9"/>
  <c r="T14" i="9"/>
  <c r="R14" i="9"/>
  <c r="Q14" i="9"/>
  <c r="O14" i="9"/>
  <c r="N14" i="9"/>
  <c r="L14" i="9"/>
  <c r="K14" i="9"/>
  <c r="I14" i="9"/>
  <c r="H14" i="9"/>
  <c r="F14" i="9"/>
  <c r="E14" i="9"/>
  <c r="DR110" i="9"/>
  <c r="DS110" i="9"/>
  <c r="DR111" i="9"/>
  <c r="DS111" i="9"/>
  <c r="DT111" i="9"/>
  <c r="CG111" i="9"/>
  <c r="AS111" i="9"/>
  <c r="AR111" i="9"/>
  <c r="AT111" i="9"/>
  <c r="G111" i="9"/>
  <c r="DT110" i="9"/>
  <c r="DT109" i="9"/>
  <c r="CG110" i="9"/>
  <c r="CG109" i="9"/>
  <c r="AS110" i="9"/>
  <c r="AS109" i="9"/>
  <c r="AR110" i="9"/>
  <c r="G110" i="9"/>
  <c r="DS109" i="9"/>
  <c r="DR109" i="9"/>
  <c r="DQ109" i="9"/>
  <c r="DP109" i="9"/>
  <c r="DO109" i="9"/>
  <c r="DN109" i="9"/>
  <c r="DM109" i="9"/>
  <c r="DL109" i="9"/>
  <c r="DK109" i="9"/>
  <c r="DJ109" i="9"/>
  <c r="DI109" i="9"/>
  <c r="DH109" i="9"/>
  <c r="DG109" i="9"/>
  <c r="DF109" i="9"/>
  <c r="DE109" i="9"/>
  <c r="DD109" i="9"/>
  <c r="DC109" i="9"/>
  <c r="DB109" i="9"/>
  <c r="DA109" i="9"/>
  <c r="CZ109" i="9"/>
  <c r="CY109" i="9"/>
  <c r="CX109" i="9"/>
  <c r="CW109" i="9"/>
  <c r="CV109" i="9"/>
  <c r="CU109" i="9"/>
  <c r="CT109" i="9"/>
  <c r="CS109" i="9"/>
  <c r="CR109" i="9"/>
  <c r="CQ109" i="9"/>
  <c r="CP109" i="9"/>
  <c r="CO109" i="9"/>
  <c r="CN109" i="9"/>
  <c r="CM109" i="9"/>
  <c r="CL109" i="9"/>
  <c r="CK109" i="9"/>
  <c r="CJ109" i="9"/>
  <c r="CI109" i="9"/>
  <c r="CH109" i="9"/>
  <c r="CF109" i="9"/>
  <c r="CE109" i="9"/>
  <c r="CC109" i="9"/>
  <c r="CB109" i="9"/>
  <c r="CA109" i="9"/>
  <c r="BZ109" i="9"/>
  <c r="BY109" i="9"/>
  <c r="BX109" i="9"/>
  <c r="BW109" i="9"/>
  <c r="BV109" i="9"/>
  <c r="BU109" i="9"/>
  <c r="BT109" i="9"/>
  <c r="BS109" i="9"/>
  <c r="BR109" i="9"/>
  <c r="BQ109" i="9"/>
  <c r="BP109" i="9"/>
  <c r="BO109" i="9"/>
  <c r="BN109" i="9"/>
  <c r="BM109" i="9"/>
  <c r="BL109" i="9"/>
  <c r="BK109" i="9"/>
  <c r="BJ109" i="9"/>
  <c r="BI109" i="9"/>
  <c r="BH109" i="9"/>
  <c r="BG109" i="9"/>
  <c r="BF109" i="9"/>
  <c r="BE109" i="9"/>
  <c r="BD109" i="9"/>
  <c r="BC109" i="9"/>
  <c r="BB109" i="9"/>
  <c r="BA109" i="9"/>
  <c r="AZ109" i="9"/>
  <c r="AY109" i="9"/>
  <c r="AX109" i="9"/>
  <c r="AW109" i="9"/>
  <c r="AV109" i="9"/>
  <c r="AU109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P8" i="19"/>
  <c r="P9" i="19"/>
  <c r="P7" i="19"/>
  <c r="FG8" i="27"/>
  <c r="FG7" i="27"/>
  <c r="FB8" i="27"/>
  <c r="FB7" i="27"/>
  <c r="EW8" i="27"/>
  <c r="EW7" i="27"/>
  <c r="ER8" i="27"/>
  <c r="ER7" i="27"/>
  <c r="EM8" i="27"/>
  <c r="EM7" i="27"/>
  <c r="EH8" i="27"/>
  <c r="EH7" i="27"/>
  <c r="EC8" i="27"/>
  <c r="EC7" i="27"/>
  <c r="DX8" i="27"/>
  <c r="DX6" i="27" s="1"/>
  <c r="DX7" i="27"/>
  <c r="DS8" i="27"/>
  <c r="DS7" i="27"/>
  <c r="DN8" i="27"/>
  <c r="DN6" i="27" s="1"/>
  <c r="DN7" i="27"/>
  <c r="DI8" i="27"/>
  <c r="DI7" i="27"/>
  <c r="DD8" i="27"/>
  <c r="DD7" i="27"/>
  <c r="CY8" i="27"/>
  <c r="CY6" i="27" s="1"/>
  <c r="CY7" i="27"/>
  <c r="CT8" i="27"/>
  <c r="CT7" i="27"/>
  <c r="CO8" i="27"/>
  <c r="CO6" i="27" s="1"/>
  <c r="CO7" i="27"/>
  <c r="CJ8" i="27"/>
  <c r="CJ6" i="27" s="1"/>
  <c r="CJ7" i="27"/>
  <c r="CE8" i="27"/>
  <c r="CE7" i="27"/>
  <c r="BZ8" i="27"/>
  <c r="BZ7" i="27"/>
  <c r="BU8" i="27"/>
  <c r="BU7" i="27"/>
  <c r="BP8" i="27"/>
  <c r="BP6" i="27"/>
  <c r="BP7" i="27"/>
  <c r="BK8" i="27"/>
  <c r="BK6" i="27"/>
  <c r="BK7" i="27"/>
  <c r="BF8" i="27"/>
  <c r="BF7" i="27"/>
  <c r="BA8" i="27"/>
  <c r="BA6" i="27"/>
  <c r="BA7" i="27"/>
  <c r="AV8" i="27"/>
  <c r="AV7" i="27"/>
  <c r="AQ8" i="27"/>
  <c r="AQ6" i="27" s="1"/>
  <c r="AQ7" i="27"/>
  <c r="AL8" i="27"/>
  <c r="AL7" i="27"/>
  <c r="AG8" i="27"/>
  <c r="AG7" i="27"/>
  <c r="AB8" i="27"/>
  <c r="AB6" i="27" s="1"/>
  <c r="AB7" i="27"/>
  <c r="W8" i="27"/>
  <c r="W7" i="27"/>
  <c r="R8" i="27"/>
  <c r="R6" i="27" s="1"/>
  <c r="R7" i="27"/>
  <c r="M8" i="27"/>
  <c r="M7" i="27"/>
  <c r="H8" i="27"/>
  <c r="H7" i="27"/>
  <c r="B25" i="27"/>
  <c r="B26" i="27"/>
  <c r="B27" i="27"/>
  <c r="B28" i="27"/>
  <c r="B32" i="27"/>
  <c r="B33" i="27"/>
  <c r="B34" i="27"/>
  <c r="F28" i="27"/>
  <c r="E28" i="27"/>
  <c r="D28" i="27"/>
  <c r="L14" i="28"/>
  <c r="K14" i="28"/>
  <c r="J14" i="28"/>
  <c r="I14" i="28"/>
  <c r="H14" i="28"/>
  <c r="G14" i="28"/>
  <c r="F14" i="28"/>
  <c r="E14" i="28"/>
  <c r="D14" i="28"/>
  <c r="N13" i="28"/>
  <c r="M13" i="28"/>
  <c r="B13" i="28"/>
  <c r="N12" i="28"/>
  <c r="N14" i="28"/>
  <c r="M12" i="28"/>
  <c r="M14" i="28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CE79" i="9"/>
  <c r="DP95" i="9"/>
  <c r="DO95" i="9"/>
  <c r="DM95" i="9"/>
  <c r="DL95" i="9"/>
  <c r="DJ95" i="9"/>
  <c r="DI95" i="9"/>
  <c r="DG95" i="9"/>
  <c r="DF95" i="9"/>
  <c r="DD95" i="9"/>
  <c r="DC95" i="9"/>
  <c r="DA95" i="9"/>
  <c r="CZ95" i="9"/>
  <c r="CX95" i="9"/>
  <c r="CW95" i="9"/>
  <c r="CU95" i="9"/>
  <c r="CT95" i="9"/>
  <c r="CR95" i="9"/>
  <c r="CQ95" i="9"/>
  <c r="CO95" i="9"/>
  <c r="CN95" i="9"/>
  <c r="CL95" i="9"/>
  <c r="CK95" i="9"/>
  <c r="CI95" i="9"/>
  <c r="CH95" i="9"/>
  <c r="CC95" i="9"/>
  <c r="CB95" i="9"/>
  <c r="BZ95" i="9"/>
  <c r="BY95" i="9"/>
  <c r="BW95" i="9"/>
  <c r="BV95" i="9"/>
  <c r="BT95" i="9"/>
  <c r="BS95" i="9"/>
  <c r="BQ95" i="9"/>
  <c r="BP95" i="9"/>
  <c r="BN95" i="9"/>
  <c r="BM95" i="9"/>
  <c r="BK95" i="9"/>
  <c r="BJ95" i="9"/>
  <c r="BH95" i="9"/>
  <c r="BG95" i="9"/>
  <c r="BE95" i="9"/>
  <c r="BD95" i="9"/>
  <c r="BB95" i="9"/>
  <c r="BA95" i="9"/>
  <c r="AY95" i="9"/>
  <c r="AX95" i="9"/>
  <c r="AV95" i="9"/>
  <c r="AU95" i="9"/>
  <c r="AQ95" i="9"/>
  <c r="AP95" i="9"/>
  <c r="AO95" i="9"/>
  <c r="AN95" i="9"/>
  <c r="AM95" i="9"/>
  <c r="AL95" i="9"/>
  <c r="AK95" i="9"/>
  <c r="AJ95" i="9"/>
  <c r="AI95" i="9"/>
  <c r="AH95" i="9"/>
  <c r="AG95" i="9"/>
  <c r="AF95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F95" i="9"/>
  <c r="E95" i="9"/>
  <c r="DQ94" i="9"/>
  <c r="DP94" i="9"/>
  <c r="DO94" i="9"/>
  <c r="DN94" i="9"/>
  <c r="DM94" i="9"/>
  <c r="DL94" i="9"/>
  <c r="DK94" i="9"/>
  <c r="DJ94" i="9"/>
  <c r="DI94" i="9"/>
  <c r="DH94" i="9"/>
  <c r="DG94" i="9"/>
  <c r="DF94" i="9"/>
  <c r="DE94" i="9"/>
  <c r="DD94" i="9"/>
  <c r="DC94" i="9"/>
  <c r="DB94" i="9"/>
  <c r="DA94" i="9"/>
  <c r="CZ94" i="9"/>
  <c r="CY94" i="9"/>
  <c r="CX94" i="9"/>
  <c r="CW94" i="9"/>
  <c r="CV94" i="9"/>
  <c r="CU94" i="9"/>
  <c r="CT94" i="9"/>
  <c r="CS94" i="9"/>
  <c r="CR94" i="9"/>
  <c r="CQ94" i="9"/>
  <c r="CP94" i="9"/>
  <c r="CO94" i="9"/>
  <c r="CN94" i="9"/>
  <c r="CM94" i="9"/>
  <c r="CL94" i="9"/>
  <c r="CK94" i="9"/>
  <c r="CI94" i="9"/>
  <c r="CH94" i="9"/>
  <c r="CC94" i="9"/>
  <c r="CB94" i="9"/>
  <c r="BZ94" i="9"/>
  <c r="BY94" i="9"/>
  <c r="BW94" i="9"/>
  <c r="BV94" i="9"/>
  <c r="BT94" i="9"/>
  <c r="BS94" i="9"/>
  <c r="BQ94" i="9"/>
  <c r="BP94" i="9"/>
  <c r="BN94" i="9"/>
  <c r="BM94" i="9"/>
  <c r="BK94" i="9"/>
  <c r="BJ94" i="9"/>
  <c r="BH94" i="9"/>
  <c r="BG94" i="9"/>
  <c r="BE94" i="9"/>
  <c r="BD94" i="9"/>
  <c r="BB94" i="9"/>
  <c r="BA94" i="9"/>
  <c r="AY94" i="9"/>
  <c r="AX94" i="9"/>
  <c r="AV94" i="9"/>
  <c r="AU94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F94" i="9"/>
  <c r="E94" i="9"/>
  <c r="DP93" i="9"/>
  <c r="DO93" i="9"/>
  <c r="DM93" i="9"/>
  <c r="DL93" i="9"/>
  <c r="DJ93" i="9"/>
  <c r="DI93" i="9"/>
  <c r="DG93" i="9"/>
  <c r="DF93" i="9"/>
  <c r="DD93" i="9"/>
  <c r="DC93" i="9"/>
  <c r="DA93" i="9"/>
  <c r="CZ93" i="9"/>
  <c r="CX93" i="9"/>
  <c r="CW93" i="9"/>
  <c r="CU93" i="9"/>
  <c r="CT93" i="9"/>
  <c r="CR93" i="9"/>
  <c r="CQ93" i="9"/>
  <c r="CO93" i="9"/>
  <c r="CN93" i="9"/>
  <c r="CL93" i="9"/>
  <c r="CK93" i="9"/>
  <c r="CI93" i="9"/>
  <c r="CH93" i="9"/>
  <c r="CC93" i="9"/>
  <c r="CB93" i="9"/>
  <c r="BZ93" i="9"/>
  <c r="BY93" i="9"/>
  <c r="BW93" i="9"/>
  <c r="BV93" i="9"/>
  <c r="BT93" i="9"/>
  <c r="BS93" i="9"/>
  <c r="BQ93" i="9"/>
  <c r="BP93" i="9"/>
  <c r="BN93" i="9"/>
  <c r="BM93" i="9"/>
  <c r="BK93" i="9"/>
  <c r="BJ93" i="9"/>
  <c r="BH93" i="9"/>
  <c r="BG93" i="9"/>
  <c r="BE93" i="9"/>
  <c r="BD93" i="9"/>
  <c r="BB93" i="9"/>
  <c r="BA93" i="9"/>
  <c r="AY93" i="9"/>
  <c r="AX93" i="9"/>
  <c r="AV93" i="9"/>
  <c r="AU93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F93" i="9"/>
  <c r="E93" i="9"/>
  <c r="DP92" i="9"/>
  <c r="DO92" i="9"/>
  <c r="DM92" i="9"/>
  <c r="DL92" i="9"/>
  <c r="DJ92" i="9"/>
  <c r="DI92" i="9"/>
  <c r="DG92" i="9"/>
  <c r="DF92" i="9"/>
  <c r="DD92" i="9"/>
  <c r="DC92" i="9"/>
  <c r="DA92" i="9"/>
  <c r="CZ92" i="9"/>
  <c r="CX92" i="9"/>
  <c r="CW92" i="9"/>
  <c r="CU92" i="9"/>
  <c r="CT92" i="9"/>
  <c r="CR92" i="9"/>
  <c r="CQ92" i="9"/>
  <c r="CO92" i="9"/>
  <c r="CN92" i="9"/>
  <c r="CL92" i="9"/>
  <c r="CK92" i="9"/>
  <c r="CI92" i="9"/>
  <c r="CH92" i="9"/>
  <c r="CC92" i="9"/>
  <c r="CB92" i="9"/>
  <c r="BZ92" i="9"/>
  <c r="BY92" i="9"/>
  <c r="BW92" i="9"/>
  <c r="BV92" i="9"/>
  <c r="BT92" i="9"/>
  <c r="BS92" i="9"/>
  <c r="BQ92" i="9"/>
  <c r="BP92" i="9"/>
  <c r="BN92" i="9"/>
  <c r="BM92" i="9"/>
  <c r="BK92" i="9"/>
  <c r="BJ92" i="9"/>
  <c r="BH92" i="9"/>
  <c r="BG92" i="9"/>
  <c r="BE92" i="9"/>
  <c r="BD92" i="9"/>
  <c r="BB92" i="9"/>
  <c r="BA92" i="9"/>
  <c r="AY92" i="9"/>
  <c r="AX92" i="9"/>
  <c r="AV92" i="9"/>
  <c r="AU92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F92" i="9"/>
  <c r="E92" i="9"/>
  <c r="DS89" i="9"/>
  <c r="DR89" i="9"/>
  <c r="DT89" i="9"/>
  <c r="CF89" i="9"/>
  <c r="CE89" i="9"/>
  <c r="CG89" i="9"/>
  <c r="AS89" i="9"/>
  <c r="AR89" i="9"/>
  <c r="AT89" i="9"/>
  <c r="G89" i="9"/>
  <c r="DS88" i="9"/>
  <c r="DR88" i="9"/>
  <c r="CF88" i="9"/>
  <c r="CE88" i="9"/>
  <c r="AS88" i="9"/>
  <c r="AR88" i="9"/>
  <c r="G88" i="9"/>
  <c r="DS87" i="9"/>
  <c r="DR87" i="9"/>
  <c r="CF87" i="9"/>
  <c r="CE87" i="9"/>
  <c r="AS87" i="9"/>
  <c r="AR87" i="9"/>
  <c r="G87" i="9"/>
  <c r="DS86" i="9"/>
  <c r="DR86" i="9"/>
  <c r="CF86" i="9"/>
  <c r="CE86" i="9"/>
  <c r="AS86" i="9"/>
  <c r="AR86" i="9"/>
  <c r="G86" i="9"/>
  <c r="DP85" i="9"/>
  <c r="DO85" i="9"/>
  <c r="DM85" i="9"/>
  <c r="DL85" i="9"/>
  <c r="DJ85" i="9"/>
  <c r="DI85" i="9"/>
  <c r="DG85" i="9"/>
  <c r="DF85" i="9"/>
  <c r="DD85" i="9"/>
  <c r="DC85" i="9"/>
  <c r="DA85" i="9"/>
  <c r="CZ85" i="9"/>
  <c r="CX85" i="9"/>
  <c r="CW85" i="9"/>
  <c r="CU85" i="9"/>
  <c r="CT85" i="9"/>
  <c r="CR85" i="9"/>
  <c r="CQ85" i="9"/>
  <c r="CO85" i="9"/>
  <c r="CN85" i="9"/>
  <c r="CL85" i="9"/>
  <c r="CK85" i="9"/>
  <c r="CJ85" i="9"/>
  <c r="CI85" i="9"/>
  <c r="CH85" i="9"/>
  <c r="CD85" i="9"/>
  <c r="CC85" i="9"/>
  <c r="CB85" i="9"/>
  <c r="CA85" i="9"/>
  <c r="BZ85" i="9"/>
  <c r="BY85" i="9"/>
  <c r="BX85" i="9"/>
  <c r="BW85" i="9"/>
  <c r="BV85" i="9"/>
  <c r="BU85" i="9"/>
  <c r="BT85" i="9"/>
  <c r="BS85" i="9"/>
  <c r="BR85" i="9"/>
  <c r="BQ85" i="9"/>
  <c r="BP85" i="9"/>
  <c r="BO85" i="9"/>
  <c r="BN85" i="9"/>
  <c r="BM85" i="9"/>
  <c r="BL85" i="9"/>
  <c r="BK85" i="9"/>
  <c r="BJ85" i="9"/>
  <c r="BI85" i="9"/>
  <c r="BH85" i="9"/>
  <c r="BG85" i="9"/>
  <c r="BF85" i="9"/>
  <c r="BE85" i="9"/>
  <c r="BD85" i="9"/>
  <c r="BC85" i="9"/>
  <c r="BB85" i="9"/>
  <c r="BA85" i="9"/>
  <c r="AZ85" i="9"/>
  <c r="AY85" i="9"/>
  <c r="AX85" i="9"/>
  <c r="AW85" i="9"/>
  <c r="AV85" i="9"/>
  <c r="AU85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F85" i="9"/>
  <c r="E85" i="9"/>
  <c r="DS83" i="9"/>
  <c r="DR83" i="9"/>
  <c r="CD83" i="9"/>
  <c r="CA83" i="9"/>
  <c r="CA95" i="9"/>
  <c r="BX83" i="9"/>
  <c r="BX95" i="9"/>
  <c r="BU83" i="9"/>
  <c r="BU95" i="9"/>
  <c r="BR83" i="9"/>
  <c r="BR95" i="9"/>
  <c r="BO83" i="9"/>
  <c r="BO95" i="9"/>
  <c r="BL83" i="9"/>
  <c r="BL95" i="9"/>
  <c r="BI83" i="9"/>
  <c r="BI95" i="9"/>
  <c r="BF83" i="9"/>
  <c r="BF95" i="9"/>
  <c r="BC83" i="9"/>
  <c r="BC95" i="9"/>
  <c r="AW83" i="9"/>
  <c r="AW95" i="9"/>
  <c r="AS83" i="9"/>
  <c r="AR83" i="9"/>
  <c r="G83" i="9"/>
  <c r="DS82" i="9"/>
  <c r="DR82" i="9"/>
  <c r="DT82" i="9"/>
  <c r="CD82" i="9"/>
  <c r="CD94" i="9"/>
  <c r="CA82" i="9"/>
  <c r="CA94" i="9"/>
  <c r="BX82" i="9"/>
  <c r="BX94" i="9"/>
  <c r="BU82" i="9"/>
  <c r="BU94" i="9"/>
  <c r="BR82" i="9"/>
  <c r="BR94" i="9"/>
  <c r="BO82" i="9"/>
  <c r="BO94" i="9"/>
  <c r="BL82" i="9"/>
  <c r="BL94" i="9"/>
  <c r="BI82" i="9"/>
  <c r="BI94" i="9"/>
  <c r="BF82" i="9"/>
  <c r="BF94" i="9"/>
  <c r="BC82" i="9"/>
  <c r="BC94" i="9"/>
  <c r="AZ82" i="9"/>
  <c r="AZ94" i="9"/>
  <c r="AW82" i="9"/>
  <c r="AW94" i="9"/>
  <c r="AS82" i="9"/>
  <c r="AR82" i="9"/>
  <c r="AT82" i="9"/>
  <c r="G82" i="9"/>
  <c r="DS81" i="9"/>
  <c r="DR81" i="9"/>
  <c r="CD81" i="9"/>
  <c r="CD93" i="9"/>
  <c r="CA81" i="9"/>
  <c r="BX81" i="9"/>
  <c r="BX93" i="9"/>
  <c r="BU81" i="9"/>
  <c r="BU93" i="9"/>
  <c r="BR81" i="9"/>
  <c r="BR93" i="9"/>
  <c r="BO81" i="9"/>
  <c r="BO93" i="9"/>
  <c r="BL81" i="9"/>
  <c r="BL93" i="9"/>
  <c r="BI81" i="9"/>
  <c r="BI93" i="9"/>
  <c r="BF81" i="9"/>
  <c r="BF93" i="9"/>
  <c r="BC81" i="9"/>
  <c r="BC93" i="9"/>
  <c r="AZ81" i="9"/>
  <c r="AZ93" i="9"/>
  <c r="AW81" i="9"/>
  <c r="AW93" i="9"/>
  <c r="AS81" i="9"/>
  <c r="AR81" i="9"/>
  <c r="AT81" i="9"/>
  <c r="G81" i="9"/>
  <c r="DS80" i="9"/>
  <c r="DR80" i="9"/>
  <c r="CD80" i="9"/>
  <c r="CD92" i="9"/>
  <c r="CA80" i="9"/>
  <c r="CA92" i="9"/>
  <c r="BX80" i="9"/>
  <c r="BX92" i="9"/>
  <c r="BU80" i="9"/>
  <c r="BR80" i="9"/>
  <c r="BO80" i="9"/>
  <c r="BO92" i="9"/>
  <c r="BL80" i="9"/>
  <c r="BI80" i="9"/>
  <c r="BF80" i="9"/>
  <c r="BC80" i="9"/>
  <c r="BC92" i="9"/>
  <c r="AZ80" i="9"/>
  <c r="AZ92" i="9"/>
  <c r="AW80" i="9"/>
  <c r="AW92" i="9"/>
  <c r="AS80" i="9"/>
  <c r="AR80" i="9"/>
  <c r="AT80" i="9"/>
  <c r="G80" i="9"/>
  <c r="DS79" i="9"/>
  <c r="DQ79" i="9"/>
  <c r="DP79" i="9"/>
  <c r="DO79" i="9"/>
  <c r="DN79" i="9"/>
  <c r="DM79" i="9"/>
  <c r="DL79" i="9"/>
  <c r="DK79" i="9"/>
  <c r="DJ79" i="9"/>
  <c r="DI79" i="9"/>
  <c r="DH79" i="9"/>
  <c r="DG79" i="9"/>
  <c r="DF79" i="9"/>
  <c r="DE79" i="9"/>
  <c r="DD79" i="9"/>
  <c r="DC79" i="9"/>
  <c r="DB79" i="9"/>
  <c r="DA79" i="9"/>
  <c r="CZ79" i="9"/>
  <c r="CY79" i="9"/>
  <c r="CX79" i="9"/>
  <c r="CW79" i="9"/>
  <c r="CV79" i="9"/>
  <c r="CU79" i="9"/>
  <c r="CT79" i="9"/>
  <c r="CS79" i="9"/>
  <c r="CR79" i="9"/>
  <c r="CQ79" i="9"/>
  <c r="CP79" i="9"/>
  <c r="CO79" i="9"/>
  <c r="CN79" i="9"/>
  <c r="CM79" i="9"/>
  <c r="CL79" i="9"/>
  <c r="CK79" i="9"/>
  <c r="CI79" i="9"/>
  <c r="CH79" i="9"/>
  <c r="CC79" i="9"/>
  <c r="CB79" i="9"/>
  <c r="BZ79" i="9"/>
  <c r="BY79" i="9"/>
  <c r="BX79" i="9"/>
  <c r="BW79" i="9"/>
  <c r="BV79" i="9"/>
  <c r="BT79" i="9"/>
  <c r="BS79" i="9"/>
  <c r="BQ79" i="9"/>
  <c r="BP79" i="9"/>
  <c r="BO79" i="9"/>
  <c r="BN79" i="9"/>
  <c r="BM79" i="9"/>
  <c r="BK79" i="9"/>
  <c r="BJ79" i="9"/>
  <c r="BH79" i="9"/>
  <c r="BG79" i="9"/>
  <c r="BE79" i="9"/>
  <c r="BD79" i="9"/>
  <c r="BC79" i="9"/>
  <c r="BB79" i="9"/>
  <c r="BA79" i="9"/>
  <c r="AY79" i="9"/>
  <c r="AX79" i="9"/>
  <c r="AW79" i="9"/>
  <c r="AV79" i="9"/>
  <c r="AU79" i="9"/>
  <c r="AS79" i="9"/>
  <c r="AR79" i="9"/>
  <c r="AQ79" i="9"/>
  <c r="AQ91" i="9"/>
  <c r="AP79" i="9"/>
  <c r="AP91" i="9"/>
  <c r="AO79" i="9"/>
  <c r="AO91" i="9"/>
  <c r="AN79" i="9"/>
  <c r="AN91" i="9"/>
  <c r="AM79" i="9"/>
  <c r="AM91" i="9"/>
  <c r="AL79" i="9"/>
  <c r="AL91" i="9"/>
  <c r="AK79" i="9"/>
  <c r="AK91" i="9"/>
  <c r="AJ79" i="9"/>
  <c r="AJ91" i="9"/>
  <c r="AI79" i="9"/>
  <c r="AI91" i="9"/>
  <c r="AH79" i="9"/>
  <c r="AH91" i="9"/>
  <c r="AG79" i="9"/>
  <c r="AG91" i="9"/>
  <c r="AF79" i="9"/>
  <c r="AF91" i="9"/>
  <c r="AE79" i="9"/>
  <c r="AE91" i="9"/>
  <c r="AD79" i="9"/>
  <c r="AD91" i="9"/>
  <c r="AC79" i="9"/>
  <c r="AC91" i="9"/>
  <c r="AB79" i="9"/>
  <c r="AB91" i="9"/>
  <c r="AA79" i="9"/>
  <c r="AA91" i="9"/>
  <c r="Z79" i="9"/>
  <c r="Z91" i="9"/>
  <c r="Y79" i="9"/>
  <c r="Y91" i="9"/>
  <c r="X79" i="9"/>
  <c r="X91" i="9"/>
  <c r="W79" i="9"/>
  <c r="W91" i="9"/>
  <c r="V79" i="9"/>
  <c r="V91" i="9"/>
  <c r="U79" i="9"/>
  <c r="U91" i="9"/>
  <c r="T79" i="9"/>
  <c r="T91" i="9"/>
  <c r="S79" i="9"/>
  <c r="S91" i="9"/>
  <c r="R79" i="9"/>
  <c r="R91" i="9"/>
  <c r="Q79" i="9"/>
  <c r="Q91" i="9"/>
  <c r="P79" i="9"/>
  <c r="P91" i="9"/>
  <c r="O79" i="9"/>
  <c r="O91" i="9"/>
  <c r="N79" i="9"/>
  <c r="N91" i="9"/>
  <c r="M79" i="9"/>
  <c r="M91" i="9"/>
  <c r="L79" i="9"/>
  <c r="L91" i="9"/>
  <c r="K79" i="9"/>
  <c r="K91" i="9"/>
  <c r="J79" i="9"/>
  <c r="J91" i="9"/>
  <c r="I79" i="9"/>
  <c r="I91" i="9"/>
  <c r="H79" i="9"/>
  <c r="H91" i="9"/>
  <c r="G79" i="9"/>
  <c r="F79" i="9"/>
  <c r="F91" i="9"/>
  <c r="E79" i="9"/>
  <c r="E91" i="9"/>
  <c r="DP60" i="9"/>
  <c r="DO60" i="9"/>
  <c r="DM60" i="9"/>
  <c r="DL60" i="9"/>
  <c r="DJ60" i="9"/>
  <c r="DI60" i="9"/>
  <c r="DG60" i="9"/>
  <c r="DF60" i="9"/>
  <c r="DD60" i="9"/>
  <c r="DC60" i="9"/>
  <c r="DA60" i="9"/>
  <c r="CZ60" i="9"/>
  <c r="CX60" i="9"/>
  <c r="CW60" i="9"/>
  <c r="CU60" i="9"/>
  <c r="CT60" i="9"/>
  <c r="CR60" i="9"/>
  <c r="CQ60" i="9"/>
  <c r="CO60" i="9"/>
  <c r="CN60" i="9"/>
  <c r="CL60" i="9"/>
  <c r="CK60" i="9"/>
  <c r="CI60" i="9"/>
  <c r="CH60" i="9"/>
  <c r="CC60" i="9"/>
  <c r="CB60" i="9"/>
  <c r="BZ60" i="9"/>
  <c r="BY60" i="9"/>
  <c r="BW60" i="9"/>
  <c r="BV60" i="9"/>
  <c r="BT60" i="9"/>
  <c r="BS60" i="9"/>
  <c r="BQ60" i="9"/>
  <c r="BP60" i="9"/>
  <c r="BN60" i="9"/>
  <c r="BM60" i="9"/>
  <c r="BK60" i="9"/>
  <c r="BJ60" i="9"/>
  <c r="BH60" i="9"/>
  <c r="BG60" i="9"/>
  <c r="BE60" i="9"/>
  <c r="BD60" i="9"/>
  <c r="BB60" i="9"/>
  <c r="BA60" i="9"/>
  <c r="AY60" i="9"/>
  <c r="AX60" i="9"/>
  <c r="AV60" i="9"/>
  <c r="AU60" i="9"/>
  <c r="AP60" i="9"/>
  <c r="AO60" i="9"/>
  <c r="AM60" i="9"/>
  <c r="AL60" i="9"/>
  <c r="AJ60" i="9"/>
  <c r="AI60" i="9"/>
  <c r="AG60" i="9"/>
  <c r="AF60" i="9"/>
  <c r="AD60" i="9"/>
  <c r="AC60" i="9"/>
  <c r="AA60" i="9"/>
  <c r="Z60" i="9"/>
  <c r="X60" i="9"/>
  <c r="W60" i="9"/>
  <c r="U60" i="9"/>
  <c r="T60" i="9"/>
  <c r="R60" i="9"/>
  <c r="Q60" i="9"/>
  <c r="O60" i="9"/>
  <c r="N60" i="9"/>
  <c r="L60" i="9"/>
  <c r="K60" i="9"/>
  <c r="I60" i="9"/>
  <c r="H60" i="9"/>
  <c r="F60" i="9"/>
  <c r="E60" i="9"/>
  <c r="DP59" i="9"/>
  <c r="DO59" i="9"/>
  <c r="DM59" i="9"/>
  <c r="DL59" i="9"/>
  <c r="DJ59" i="9"/>
  <c r="DI59" i="9"/>
  <c r="DG59" i="9"/>
  <c r="DF59" i="9"/>
  <c r="DD59" i="9"/>
  <c r="DC59" i="9"/>
  <c r="DA59" i="9"/>
  <c r="CZ59" i="9"/>
  <c r="CX59" i="9"/>
  <c r="CW59" i="9"/>
  <c r="CU59" i="9"/>
  <c r="CT59" i="9"/>
  <c r="CR59" i="9"/>
  <c r="CQ59" i="9"/>
  <c r="CO59" i="9"/>
  <c r="CN59" i="9"/>
  <c r="CL59" i="9"/>
  <c r="CK59" i="9"/>
  <c r="CI59" i="9"/>
  <c r="CH59" i="9"/>
  <c r="CC59" i="9"/>
  <c r="CB59" i="9"/>
  <c r="BZ59" i="9"/>
  <c r="BY59" i="9"/>
  <c r="BW59" i="9"/>
  <c r="BV59" i="9"/>
  <c r="BT59" i="9"/>
  <c r="BS59" i="9"/>
  <c r="BQ59" i="9"/>
  <c r="BP59" i="9"/>
  <c r="BN59" i="9"/>
  <c r="BM59" i="9"/>
  <c r="BK59" i="9"/>
  <c r="BJ59" i="9"/>
  <c r="BH59" i="9"/>
  <c r="BG59" i="9"/>
  <c r="BE59" i="9"/>
  <c r="BD59" i="9"/>
  <c r="BB59" i="9"/>
  <c r="BA59" i="9"/>
  <c r="AY59" i="9"/>
  <c r="AX59" i="9"/>
  <c r="AV59" i="9"/>
  <c r="AU59" i="9"/>
  <c r="AP59" i="9"/>
  <c r="AO59" i="9"/>
  <c r="AM59" i="9"/>
  <c r="AL59" i="9"/>
  <c r="AJ59" i="9"/>
  <c r="AI59" i="9"/>
  <c r="AG59" i="9"/>
  <c r="AF59" i="9"/>
  <c r="AD59" i="9"/>
  <c r="AC59" i="9"/>
  <c r="AA59" i="9"/>
  <c r="Z59" i="9"/>
  <c r="X59" i="9"/>
  <c r="W59" i="9"/>
  <c r="U59" i="9"/>
  <c r="T59" i="9"/>
  <c r="R59" i="9"/>
  <c r="Q59" i="9"/>
  <c r="O59" i="9"/>
  <c r="N59" i="9"/>
  <c r="L59" i="9"/>
  <c r="K59" i="9"/>
  <c r="I59" i="9"/>
  <c r="H59" i="9"/>
  <c r="F59" i="9"/>
  <c r="E59" i="9"/>
  <c r="DP58" i="9"/>
  <c r="DO58" i="9"/>
  <c r="DM58" i="9"/>
  <c r="DL58" i="9"/>
  <c r="DJ58" i="9"/>
  <c r="DI58" i="9"/>
  <c r="DG58" i="9"/>
  <c r="DF58" i="9"/>
  <c r="DD58" i="9"/>
  <c r="DC58" i="9"/>
  <c r="DA58" i="9"/>
  <c r="CZ58" i="9"/>
  <c r="CX58" i="9"/>
  <c r="CW58" i="9"/>
  <c r="CU58" i="9"/>
  <c r="CT58" i="9"/>
  <c r="CR58" i="9"/>
  <c r="CQ58" i="9"/>
  <c r="CO58" i="9"/>
  <c r="CN58" i="9"/>
  <c r="CL58" i="9"/>
  <c r="CK58" i="9"/>
  <c r="CI58" i="9"/>
  <c r="CH58" i="9"/>
  <c r="CC58" i="9"/>
  <c r="CB58" i="9"/>
  <c r="BZ58" i="9"/>
  <c r="BY58" i="9"/>
  <c r="BW58" i="9"/>
  <c r="BV58" i="9"/>
  <c r="BT58" i="9"/>
  <c r="BS58" i="9"/>
  <c r="BQ58" i="9"/>
  <c r="BP58" i="9"/>
  <c r="BN58" i="9"/>
  <c r="BM58" i="9"/>
  <c r="BK58" i="9"/>
  <c r="BJ58" i="9"/>
  <c r="BH58" i="9"/>
  <c r="BG58" i="9"/>
  <c r="BE58" i="9"/>
  <c r="BD58" i="9"/>
  <c r="BB58" i="9"/>
  <c r="BA58" i="9"/>
  <c r="AY58" i="9"/>
  <c r="AX58" i="9"/>
  <c r="AV58" i="9"/>
  <c r="AU58" i="9"/>
  <c r="AP58" i="9"/>
  <c r="AO58" i="9"/>
  <c r="AM58" i="9"/>
  <c r="AL58" i="9"/>
  <c r="AJ58" i="9"/>
  <c r="AI58" i="9"/>
  <c r="AG58" i="9"/>
  <c r="AF58" i="9"/>
  <c r="AD58" i="9"/>
  <c r="AC58" i="9"/>
  <c r="AA58" i="9"/>
  <c r="Z58" i="9"/>
  <c r="X58" i="9"/>
  <c r="W58" i="9"/>
  <c r="U58" i="9"/>
  <c r="T58" i="9"/>
  <c r="R58" i="9"/>
  <c r="Q58" i="9"/>
  <c r="O58" i="9"/>
  <c r="N58" i="9"/>
  <c r="L58" i="9"/>
  <c r="K58" i="9"/>
  <c r="I58" i="9"/>
  <c r="H58" i="9"/>
  <c r="F58" i="9"/>
  <c r="E58" i="9"/>
  <c r="DP57" i="9"/>
  <c r="DO57" i="9"/>
  <c r="DM57" i="9"/>
  <c r="DL57" i="9"/>
  <c r="DJ57" i="9"/>
  <c r="DI57" i="9"/>
  <c r="DG57" i="9"/>
  <c r="DF57" i="9"/>
  <c r="DD57" i="9"/>
  <c r="DC57" i="9"/>
  <c r="DA57" i="9"/>
  <c r="CZ57" i="9"/>
  <c r="CX57" i="9"/>
  <c r="CW57" i="9"/>
  <c r="CU57" i="9"/>
  <c r="CT57" i="9"/>
  <c r="CR57" i="9"/>
  <c r="CQ57" i="9"/>
  <c r="CO57" i="9"/>
  <c r="CN57" i="9"/>
  <c r="CL57" i="9"/>
  <c r="CK57" i="9"/>
  <c r="CI57" i="9"/>
  <c r="CH57" i="9"/>
  <c r="CC57" i="9"/>
  <c r="CB57" i="9"/>
  <c r="BZ57" i="9"/>
  <c r="BY57" i="9"/>
  <c r="BW57" i="9"/>
  <c r="BV57" i="9"/>
  <c r="BT57" i="9"/>
  <c r="BS57" i="9"/>
  <c r="BQ57" i="9"/>
  <c r="BP57" i="9"/>
  <c r="BN57" i="9"/>
  <c r="BM57" i="9"/>
  <c r="BK57" i="9"/>
  <c r="BJ57" i="9"/>
  <c r="BH57" i="9"/>
  <c r="BG57" i="9"/>
  <c r="BE57" i="9"/>
  <c r="BD57" i="9"/>
  <c r="BB57" i="9"/>
  <c r="BA57" i="9"/>
  <c r="AY57" i="9"/>
  <c r="AX57" i="9"/>
  <c r="AV57" i="9"/>
  <c r="AU57" i="9"/>
  <c r="AP57" i="9"/>
  <c r="AO57" i="9"/>
  <c r="AM57" i="9"/>
  <c r="AL57" i="9"/>
  <c r="AJ57" i="9"/>
  <c r="AI57" i="9"/>
  <c r="AG57" i="9"/>
  <c r="AF57" i="9"/>
  <c r="AD57" i="9"/>
  <c r="AC57" i="9"/>
  <c r="AA57" i="9"/>
  <c r="Z57" i="9"/>
  <c r="X57" i="9"/>
  <c r="W57" i="9"/>
  <c r="U57" i="9"/>
  <c r="T57" i="9"/>
  <c r="R57" i="9"/>
  <c r="Q57" i="9"/>
  <c r="O57" i="9"/>
  <c r="N57" i="9"/>
  <c r="L57" i="9"/>
  <c r="K57" i="9"/>
  <c r="I57" i="9"/>
  <c r="H57" i="9"/>
  <c r="F57" i="9"/>
  <c r="E57" i="9"/>
  <c r="DP56" i="9"/>
  <c r="DO56" i="9"/>
  <c r="DM56" i="9"/>
  <c r="DL56" i="9"/>
  <c r="DJ56" i="9"/>
  <c r="DI56" i="9"/>
  <c r="DG56" i="9"/>
  <c r="DF56" i="9"/>
  <c r="DD56" i="9"/>
  <c r="DC56" i="9"/>
  <c r="DA56" i="9"/>
  <c r="CZ56" i="9"/>
  <c r="CX56" i="9"/>
  <c r="CW56" i="9"/>
  <c r="CU56" i="9"/>
  <c r="CT56" i="9"/>
  <c r="CR56" i="9"/>
  <c r="CQ56" i="9"/>
  <c r="CO56" i="9"/>
  <c r="CN56" i="9"/>
  <c r="CL56" i="9"/>
  <c r="CK56" i="9"/>
  <c r="CI56" i="9"/>
  <c r="CH56" i="9"/>
  <c r="CC56" i="9"/>
  <c r="CB56" i="9"/>
  <c r="BZ56" i="9"/>
  <c r="BY56" i="9"/>
  <c r="BW56" i="9"/>
  <c r="BV56" i="9"/>
  <c r="BT56" i="9"/>
  <c r="BS56" i="9"/>
  <c r="BQ56" i="9"/>
  <c r="BP56" i="9"/>
  <c r="BN56" i="9"/>
  <c r="BM56" i="9"/>
  <c r="BK56" i="9"/>
  <c r="BJ56" i="9"/>
  <c r="BH56" i="9"/>
  <c r="BG56" i="9"/>
  <c r="BE56" i="9"/>
  <c r="BD56" i="9"/>
  <c r="BB56" i="9"/>
  <c r="BA56" i="9"/>
  <c r="AY56" i="9"/>
  <c r="AX56" i="9"/>
  <c r="AV56" i="9"/>
  <c r="AU56" i="9"/>
  <c r="AP56" i="9"/>
  <c r="AO56" i="9"/>
  <c r="AM56" i="9"/>
  <c r="AL56" i="9"/>
  <c r="AJ56" i="9"/>
  <c r="AI56" i="9"/>
  <c r="AG56" i="9"/>
  <c r="AF56" i="9"/>
  <c r="AD56" i="9"/>
  <c r="AC56" i="9"/>
  <c r="AA56" i="9"/>
  <c r="Z56" i="9"/>
  <c r="X56" i="9"/>
  <c r="W56" i="9"/>
  <c r="U56" i="9"/>
  <c r="T56" i="9"/>
  <c r="R56" i="9"/>
  <c r="Q56" i="9"/>
  <c r="O56" i="9"/>
  <c r="N56" i="9"/>
  <c r="L56" i="9"/>
  <c r="K56" i="9"/>
  <c r="I56" i="9"/>
  <c r="H56" i="9"/>
  <c r="F56" i="9"/>
  <c r="E56" i="9"/>
  <c r="DP55" i="9"/>
  <c r="DO55" i="9"/>
  <c r="DM55" i="9"/>
  <c r="DL55" i="9"/>
  <c r="DJ55" i="9"/>
  <c r="DI55" i="9"/>
  <c r="DG55" i="9"/>
  <c r="DF55" i="9"/>
  <c r="DD55" i="9"/>
  <c r="DC55" i="9"/>
  <c r="DA55" i="9"/>
  <c r="CZ55" i="9"/>
  <c r="CX55" i="9"/>
  <c r="CW55" i="9"/>
  <c r="CU55" i="9"/>
  <c r="CT55" i="9"/>
  <c r="CR55" i="9"/>
  <c r="CQ55" i="9"/>
  <c r="CO55" i="9"/>
  <c r="CN55" i="9"/>
  <c r="CL55" i="9"/>
  <c r="CK55" i="9"/>
  <c r="CI55" i="9"/>
  <c r="CH55" i="9"/>
  <c r="CC55" i="9"/>
  <c r="CB55" i="9"/>
  <c r="BZ55" i="9"/>
  <c r="BY55" i="9"/>
  <c r="BW55" i="9"/>
  <c r="BV55" i="9"/>
  <c r="BT55" i="9"/>
  <c r="BS55" i="9"/>
  <c r="BQ55" i="9"/>
  <c r="BP55" i="9"/>
  <c r="BN55" i="9"/>
  <c r="BM55" i="9"/>
  <c r="BK55" i="9"/>
  <c r="BJ55" i="9"/>
  <c r="BH55" i="9"/>
  <c r="BG55" i="9"/>
  <c r="BE55" i="9"/>
  <c r="BD55" i="9"/>
  <c r="BB55" i="9"/>
  <c r="BA55" i="9"/>
  <c r="AY55" i="9"/>
  <c r="AX55" i="9"/>
  <c r="AV55" i="9"/>
  <c r="AU55" i="9"/>
  <c r="AP55" i="9"/>
  <c r="AO55" i="9"/>
  <c r="AM55" i="9"/>
  <c r="AL55" i="9"/>
  <c r="AJ55" i="9"/>
  <c r="AI55" i="9"/>
  <c r="AG55" i="9"/>
  <c r="AF55" i="9"/>
  <c r="AD55" i="9"/>
  <c r="AC55" i="9"/>
  <c r="AA55" i="9"/>
  <c r="Z55" i="9"/>
  <c r="X55" i="9"/>
  <c r="W55" i="9"/>
  <c r="U55" i="9"/>
  <c r="T55" i="9"/>
  <c r="R55" i="9"/>
  <c r="Q55" i="9"/>
  <c r="O55" i="9"/>
  <c r="N55" i="9"/>
  <c r="L55" i="9"/>
  <c r="K55" i="9"/>
  <c r="I55" i="9"/>
  <c r="H55" i="9"/>
  <c r="F55" i="9"/>
  <c r="E55" i="9"/>
  <c r="DS50" i="9"/>
  <c r="DR50" i="9"/>
  <c r="DT50" i="9"/>
  <c r="DQ50" i="9"/>
  <c r="DN50" i="9"/>
  <c r="DK50" i="9"/>
  <c r="DH50" i="9"/>
  <c r="DE50" i="9"/>
  <c r="DB50" i="9"/>
  <c r="CY50" i="9"/>
  <c r="CV50" i="9"/>
  <c r="CS50" i="9"/>
  <c r="CP50" i="9"/>
  <c r="CM50" i="9"/>
  <c r="CJ50" i="9"/>
  <c r="CF50" i="9"/>
  <c r="CE50" i="9"/>
  <c r="CG50" i="9"/>
  <c r="CD50" i="9"/>
  <c r="CA50" i="9"/>
  <c r="BX50" i="9"/>
  <c r="BU50" i="9"/>
  <c r="BR50" i="9"/>
  <c r="BO50" i="9"/>
  <c r="BL50" i="9"/>
  <c r="BI50" i="9"/>
  <c r="BF50" i="9"/>
  <c r="BC50" i="9"/>
  <c r="AZ50" i="9"/>
  <c r="AW50" i="9"/>
  <c r="AS50" i="9"/>
  <c r="AR50" i="9"/>
  <c r="AT50" i="9"/>
  <c r="AQ50" i="9"/>
  <c r="AN50" i="9"/>
  <c r="AK50" i="9"/>
  <c r="AH50" i="9"/>
  <c r="AE50" i="9"/>
  <c r="AB50" i="9"/>
  <c r="Y50" i="9"/>
  <c r="V50" i="9"/>
  <c r="S50" i="9"/>
  <c r="P50" i="9"/>
  <c r="M50" i="9"/>
  <c r="J50" i="9"/>
  <c r="G50" i="9"/>
  <c r="DS48" i="9"/>
  <c r="DR48" i="9"/>
  <c r="DT48" i="9"/>
  <c r="DQ48" i="9"/>
  <c r="DN48" i="9"/>
  <c r="DK48" i="9"/>
  <c r="DH48" i="9"/>
  <c r="DE48" i="9"/>
  <c r="DB48" i="9"/>
  <c r="CY48" i="9"/>
  <c r="CV48" i="9"/>
  <c r="CS48" i="9"/>
  <c r="CP48" i="9"/>
  <c r="CM48" i="9"/>
  <c r="CJ48" i="9"/>
  <c r="CF48" i="9"/>
  <c r="CE48" i="9"/>
  <c r="CG48" i="9"/>
  <c r="CD48" i="9"/>
  <c r="CA48" i="9"/>
  <c r="BX48" i="9"/>
  <c r="BU48" i="9"/>
  <c r="BR48" i="9"/>
  <c r="BO48" i="9"/>
  <c r="BL48" i="9"/>
  <c r="BI48" i="9"/>
  <c r="BF48" i="9"/>
  <c r="BC48" i="9"/>
  <c r="AZ48" i="9"/>
  <c r="AW48" i="9"/>
  <c r="AS48" i="9"/>
  <c r="AR48" i="9"/>
  <c r="AT48" i="9"/>
  <c r="AQ48" i="9"/>
  <c r="AN48" i="9"/>
  <c r="AK48" i="9"/>
  <c r="AH48" i="9"/>
  <c r="AE48" i="9"/>
  <c r="AB48" i="9"/>
  <c r="Y48" i="9"/>
  <c r="V48" i="9"/>
  <c r="S48" i="9"/>
  <c r="P48" i="9"/>
  <c r="M48" i="9"/>
  <c r="J48" i="9"/>
  <c r="G48" i="9"/>
  <c r="DS47" i="9"/>
  <c r="DR47" i="9"/>
  <c r="DT47" i="9"/>
  <c r="DQ47" i="9"/>
  <c r="DN47" i="9"/>
  <c r="DK47" i="9"/>
  <c r="DH47" i="9"/>
  <c r="DE47" i="9"/>
  <c r="DB47" i="9"/>
  <c r="CY47" i="9"/>
  <c r="CV47" i="9"/>
  <c r="CS47" i="9"/>
  <c r="CP47" i="9"/>
  <c r="CM47" i="9"/>
  <c r="CJ47" i="9"/>
  <c r="CF47" i="9"/>
  <c r="CE47" i="9"/>
  <c r="CD47" i="9"/>
  <c r="CA47" i="9"/>
  <c r="BX47" i="9"/>
  <c r="BU47" i="9"/>
  <c r="BR47" i="9"/>
  <c r="BO47" i="9"/>
  <c r="BL47" i="9"/>
  <c r="BI47" i="9"/>
  <c r="BF47" i="9"/>
  <c r="BC47" i="9"/>
  <c r="AZ47" i="9"/>
  <c r="AW47" i="9"/>
  <c r="AS47" i="9"/>
  <c r="AR47" i="9"/>
  <c r="AQ47" i="9"/>
  <c r="AN47" i="9"/>
  <c r="AK47" i="9"/>
  <c r="AH47" i="9"/>
  <c r="AE47" i="9"/>
  <c r="AB47" i="9"/>
  <c r="Y47" i="9"/>
  <c r="V47" i="9"/>
  <c r="S47" i="9"/>
  <c r="P47" i="9"/>
  <c r="M47" i="9"/>
  <c r="J47" i="9"/>
  <c r="G47" i="9"/>
  <c r="DS46" i="9"/>
  <c r="DR46" i="9"/>
  <c r="DQ46" i="9"/>
  <c r="DN46" i="9"/>
  <c r="DK46" i="9"/>
  <c r="DH46" i="9"/>
  <c r="DE46" i="9"/>
  <c r="DB46" i="9"/>
  <c r="CY46" i="9"/>
  <c r="CV46" i="9"/>
  <c r="CS46" i="9"/>
  <c r="CP46" i="9"/>
  <c r="CM46" i="9"/>
  <c r="CJ46" i="9"/>
  <c r="CF46" i="9"/>
  <c r="CE46" i="9"/>
  <c r="CG46" i="9"/>
  <c r="CD46" i="9"/>
  <c r="CA46" i="9"/>
  <c r="BX46" i="9"/>
  <c r="BU46" i="9"/>
  <c r="BR46" i="9"/>
  <c r="BO46" i="9"/>
  <c r="BL46" i="9"/>
  <c r="BI46" i="9"/>
  <c r="BF46" i="9"/>
  <c r="BC46" i="9"/>
  <c r="AZ46" i="9"/>
  <c r="AW46" i="9"/>
  <c r="AS46" i="9"/>
  <c r="AR46" i="9"/>
  <c r="AQ46" i="9"/>
  <c r="AN46" i="9"/>
  <c r="AK46" i="9"/>
  <c r="AH46" i="9"/>
  <c r="AE46" i="9"/>
  <c r="AB46" i="9"/>
  <c r="Y46" i="9"/>
  <c r="V46" i="9"/>
  <c r="S46" i="9"/>
  <c r="P46" i="9"/>
  <c r="M46" i="9"/>
  <c r="J46" i="9"/>
  <c r="G46" i="9"/>
  <c r="DS45" i="9"/>
  <c r="DR45" i="9"/>
  <c r="DT45" i="9"/>
  <c r="DQ45" i="9"/>
  <c r="DN45" i="9"/>
  <c r="DK45" i="9"/>
  <c r="DH45" i="9"/>
  <c r="DE45" i="9"/>
  <c r="DB45" i="9"/>
  <c r="CY45" i="9"/>
  <c r="CV45" i="9"/>
  <c r="CS45" i="9"/>
  <c r="CP45" i="9"/>
  <c r="CM45" i="9"/>
  <c r="CJ45" i="9"/>
  <c r="CF45" i="9"/>
  <c r="CE45" i="9"/>
  <c r="CG45" i="9"/>
  <c r="CD45" i="9"/>
  <c r="CA45" i="9"/>
  <c r="BX45" i="9"/>
  <c r="BU45" i="9"/>
  <c r="BR45" i="9"/>
  <c r="BO45" i="9"/>
  <c r="BL45" i="9"/>
  <c r="BI45" i="9"/>
  <c r="BF45" i="9"/>
  <c r="BC45" i="9"/>
  <c r="AZ45" i="9"/>
  <c r="AW45" i="9"/>
  <c r="AS45" i="9"/>
  <c r="AR45" i="9"/>
  <c r="AQ45" i="9"/>
  <c r="AN45" i="9"/>
  <c r="AK45" i="9"/>
  <c r="AH45" i="9"/>
  <c r="AE45" i="9"/>
  <c r="AB45" i="9"/>
  <c r="Y45" i="9"/>
  <c r="V45" i="9"/>
  <c r="S45" i="9"/>
  <c r="P45" i="9"/>
  <c r="M45" i="9"/>
  <c r="J45" i="9"/>
  <c r="G45" i="9"/>
  <c r="DS44" i="9"/>
  <c r="DR44" i="9"/>
  <c r="DQ44" i="9"/>
  <c r="DN44" i="9"/>
  <c r="DK44" i="9"/>
  <c r="DH44" i="9"/>
  <c r="DE44" i="9"/>
  <c r="DB44" i="9"/>
  <c r="CY44" i="9"/>
  <c r="CV44" i="9"/>
  <c r="CS44" i="9"/>
  <c r="CP44" i="9"/>
  <c r="CM44" i="9"/>
  <c r="CJ44" i="9"/>
  <c r="CF44" i="9"/>
  <c r="CE44" i="9"/>
  <c r="CG44" i="9"/>
  <c r="CD44" i="9"/>
  <c r="CA44" i="9"/>
  <c r="BX44" i="9"/>
  <c r="BU44" i="9"/>
  <c r="BR44" i="9"/>
  <c r="BO44" i="9"/>
  <c r="BL44" i="9"/>
  <c r="BI44" i="9"/>
  <c r="BF44" i="9"/>
  <c r="BC44" i="9"/>
  <c r="AZ44" i="9"/>
  <c r="AW44" i="9"/>
  <c r="AS44" i="9"/>
  <c r="AR44" i="9"/>
  <c r="AQ44" i="9"/>
  <c r="AN44" i="9"/>
  <c r="AK44" i="9"/>
  <c r="AH44" i="9"/>
  <c r="AE44" i="9"/>
  <c r="AB44" i="9"/>
  <c r="Y44" i="9"/>
  <c r="V44" i="9"/>
  <c r="S44" i="9"/>
  <c r="P44" i="9"/>
  <c r="M44" i="9"/>
  <c r="J44" i="9"/>
  <c r="G44" i="9"/>
  <c r="DS43" i="9"/>
  <c r="DR43" i="9"/>
  <c r="DT43" i="9"/>
  <c r="DQ43" i="9"/>
  <c r="DN43" i="9"/>
  <c r="DK43" i="9"/>
  <c r="DH43" i="9"/>
  <c r="DE43" i="9"/>
  <c r="DB43" i="9"/>
  <c r="CY43" i="9"/>
  <c r="CV43" i="9"/>
  <c r="CS43" i="9"/>
  <c r="CP43" i="9"/>
  <c r="CM43" i="9"/>
  <c r="CJ43" i="9"/>
  <c r="CF43" i="9"/>
  <c r="CE43" i="9"/>
  <c r="CD43" i="9"/>
  <c r="CA43" i="9"/>
  <c r="BX43" i="9"/>
  <c r="BU43" i="9"/>
  <c r="BR43" i="9"/>
  <c r="BO43" i="9"/>
  <c r="BL43" i="9"/>
  <c r="BI43" i="9"/>
  <c r="BF43" i="9"/>
  <c r="BC43" i="9"/>
  <c r="AZ43" i="9"/>
  <c r="AW43" i="9"/>
  <c r="AS43" i="9"/>
  <c r="AR43" i="9"/>
  <c r="AQ43" i="9"/>
  <c r="AN43" i="9"/>
  <c r="AK43" i="9"/>
  <c r="AH43" i="9"/>
  <c r="AE43" i="9"/>
  <c r="AB43" i="9"/>
  <c r="Y43" i="9"/>
  <c r="V43" i="9"/>
  <c r="S43" i="9"/>
  <c r="P43" i="9"/>
  <c r="M43" i="9"/>
  <c r="J43" i="9"/>
  <c r="G43" i="9"/>
  <c r="DP42" i="9"/>
  <c r="DO42" i="9"/>
  <c r="DM42" i="9"/>
  <c r="DL42" i="9"/>
  <c r="DJ42" i="9"/>
  <c r="DI42" i="9"/>
  <c r="DG42" i="9"/>
  <c r="DF42" i="9"/>
  <c r="DD42" i="9"/>
  <c r="DC42" i="9"/>
  <c r="DA42" i="9"/>
  <c r="CZ42" i="9"/>
  <c r="CX42" i="9"/>
  <c r="CW42" i="9"/>
  <c r="CU42" i="9"/>
  <c r="CT42" i="9"/>
  <c r="CR42" i="9"/>
  <c r="CQ42" i="9"/>
  <c r="CO42" i="9"/>
  <c r="CN42" i="9"/>
  <c r="CL42" i="9"/>
  <c r="CK42" i="9"/>
  <c r="CI42" i="9"/>
  <c r="CH42" i="9"/>
  <c r="CC42" i="9"/>
  <c r="CB42" i="9"/>
  <c r="BZ42" i="9"/>
  <c r="BY42" i="9"/>
  <c r="BW42" i="9"/>
  <c r="BV42" i="9"/>
  <c r="BT42" i="9"/>
  <c r="BS42" i="9"/>
  <c r="BQ42" i="9"/>
  <c r="BP42" i="9"/>
  <c r="BN42" i="9"/>
  <c r="BM42" i="9"/>
  <c r="BK42" i="9"/>
  <c r="BJ42" i="9"/>
  <c r="BH42" i="9"/>
  <c r="BG42" i="9"/>
  <c r="BE42" i="9"/>
  <c r="BD42" i="9"/>
  <c r="BB42" i="9"/>
  <c r="BA42" i="9"/>
  <c r="AY42" i="9"/>
  <c r="AX42" i="9"/>
  <c r="AV42" i="9"/>
  <c r="AU42" i="9"/>
  <c r="AP42" i="9"/>
  <c r="AO42" i="9"/>
  <c r="AM42" i="9"/>
  <c r="AL42" i="9"/>
  <c r="AJ42" i="9"/>
  <c r="AI42" i="9"/>
  <c r="AG42" i="9"/>
  <c r="AF42" i="9"/>
  <c r="AD42" i="9"/>
  <c r="AC42" i="9"/>
  <c r="AA42" i="9"/>
  <c r="Z42" i="9"/>
  <c r="X42" i="9"/>
  <c r="W42" i="9"/>
  <c r="U42" i="9"/>
  <c r="T42" i="9"/>
  <c r="R42" i="9"/>
  <c r="Q42" i="9"/>
  <c r="O42" i="9"/>
  <c r="N42" i="9"/>
  <c r="L42" i="9"/>
  <c r="K42" i="9"/>
  <c r="I42" i="9"/>
  <c r="H42" i="9"/>
  <c r="F42" i="9"/>
  <c r="E42" i="9"/>
  <c r="DS40" i="9"/>
  <c r="DR40" i="9"/>
  <c r="DQ40" i="9"/>
  <c r="DN40" i="9"/>
  <c r="DK40" i="9"/>
  <c r="DH40" i="9"/>
  <c r="DE40" i="9"/>
  <c r="DB40" i="9"/>
  <c r="CY40" i="9"/>
  <c r="CV40" i="9"/>
  <c r="CS40" i="9"/>
  <c r="CP40" i="9"/>
  <c r="CM40" i="9"/>
  <c r="CJ40" i="9"/>
  <c r="CF40" i="9"/>
  <c r="CE40" i="9"/>
  <c r="CD40" i="9"/>
  <c r="CA40" i="9"/>
  <c r="BX40" i="9"/>
  <c r="BU40" i="9"/>
  <c r="BR40" i="9"/>
  <c r="BO40" i="9"/>
  <c r="BL40" i="9"/>
  <c r="BI40" i="9"/>
  <c r="BF40" i="9"/>
  <c r="BC40" i="9"/>
  <c r="AZ40" i="9"/>
  <c r="AW40" i="9"/>
  <c r="AS40" i="9"/>
  <c r="AR40" i="9"/>
  <c r="AQ40" i="9"/>
  <c r="AN40" i="9"/>
  <c r="AK40" i="9"/>
  <c r="AH40" i="9"/>
  <c r="AE40" i="9"/>
  <c r="AB40" i="9"/>
  <c r="Y40" i="9"/>
  <c r="V40" i="9"/>
  <c r="S40" i="9"/>
  <c r="P40" i="9"/>
  <c r="M40" i="9"/>
  <c r="J40" i="9"/>
  <c r="G40" i="9"/>
  <c r="DS39" i="9"/>
  <c r="DR39" i="9"/>
  <c r="DQ39" i="9"/>
  <c r="DN39" i="9"/>
  <c r="DK39" i="9"/>
  <c r="DH39" i="9"/>
  <c r="DE39" i="9"/>
  <c r="DB39" i="9"/>
  <c r="CY39" i="9"/>
  <c r="CV39" i="9"/>
  <c r="CS39" i="9"/>
  <c r="CP39" i="9"/>
  <c r="CM39" i="9"/>
  <c r="CJ39" i="9"/>
  <c r="CF39" i="9"/>
  <c r="CE39" i="9"/>
  <c r="CD39" i="9"/>
  <c r="CA39" i="9"/>
  <c r="BX39" i="9"/>
  <c r="BU39" i="9"/>
  <c r="BR39" i="9"/>
  <c r="BO39" i="9"/>
  <c r="BL39" i="9"/>
  <c r="BI39" i="9"/>
  <c r="BF39" i="9"/>
  <c r="BC39" i="9"/>
  <c r="AZ39" i="9"/>
  <c r="AW39" i="9"/>
  <c r="AS39" i="9"/>
  <c r="AR39" i="9"/>
  <c r="AQ39" i="9"/>
  <c r="AN39" i="9"/>
  <c r="AK39" i="9"/>
  <c r="AH39" i="9"/>
  <c r="AE39" i="9"/>
  <c r="AB39" i="9"/>
  <c r="Y39" i="9"/>
  <c r="V39" i="9"/>
  <c r="S39" i="9"/>
  <c r="P39" i="9"/>
  <c r="M39" i="9"/>
  <c r="J39" i="9"/>
  <c r="G39" i="9"/>
  <c r="DS38" i="9"/>
  <c r="DR38" i="9"/>
  <c r="DQ38" i="9"/>
  <c r="DN38" i="9"/>
  <c r="DK38" i="9"/>
  <c r="DH38" i="9"/>
  <c r="DE38" i="9"/>
  <c r="DB38" i="9"/>
  <c r="CY38" i="9"/>
  <c r="CV38" i="9"/>
  <c r="CS38" i="9"/>
  <c r="CP38" i="9"/>
  <c r="CM38" i="9"/>
  <c r="CJ38" i="9"/>
  <c r="CF38" i="9"/>
  <c r="CE38" i="9"/>
  <c r="CD38" i="9"/>
  <c r="CA38" i="9"/>
  <c r="BX38" i="9"/>
  <c r="BU38" i="9"/>
  <c r="BR38" i="9"/>
  <c r="BO38" i="9"/>
  <c r="BL38" i="9"/>
  <c r="BI38" i="9"/>
  <c r="BF38" i="9"/>
  <c r="BC38" i="9"/>
  <c r="AZ38" i="9"/>
  <c r="AW38" i="9"/>
  <c r="AS38" i="9"/>
  <c r="AR38" i="9"/>
  <c r="AQ38" i="9"/>
  <c r="AN38" i="9"/>
  <c r="AK38" i="9"/>
  <c r="AH38" i="9"/>
  <c r="AE38" i="9"/>
  <c r="AB38" i="9"/>
  <c r="Y38" i="9"/>
  <c r="V38" i="9"/>
  <c r="S38" i="9"/>
  <c r="P38" i="9"/>
  <c r="M38" i="9"/>
  <c r="J38" i="9"/>
  <c r="G38" i="9"/>
  <c r="DS37" i="9"/>
  <c r="DR37" i="9"/>
  <c r="DQ37" i="9"/>
  <c r="DN37" i="9"/>
  <c r="DK37" i="9"/>
  <c r="DH37" i="9"/>
  <c r="DE37" i="9"/>
  <c r="DB37" i="9"/>
  <c r="CY37" i="9"/>
  <c r="CV37" i="9"/>
  <c r="CS37" i="9"/>
  <c r="CP37" i="9"/>
  <c r="CM37" i="9"/>
  <c r="CJ37" i="9"/>
  <c r="CF37" i="9"/>
  <c r="CE37" i="9"/>
  <c r="CD37" i="9"/>
  <c r="CA37" i="9"/>
  <c r="BX37" i="9"/>
  <c r="BU37" i="9"/>
  <c r="BR37" i="9"/>
  <c r="BO37" i="9"/>
  <c r="BL37" i="9"/>
  <c r="BI37" i="9"/>
  <c r="BF37" i="9"/>
  <c r="BC37" i="9"/>
  <c r="AZ37" i="9"/>
  <c r="AW37" i="9"/>
  <c r="AS37" i="9"/>
  <c r="AR37" i="9"/>
  <c r="AQ37" i="9"/>
  <c r="AN37" i="9"/>
  <c r="AK37" i="9"/>
  <c r="AH37" i="9"/>
  <c r="AE37" i="9"/>
  <c r="AB37" i="9"/>
  <c r="Y37" i="9"/>
  <c r="V37" i="9"/>
  <c r="S37" i="9"/>
  <c r="P37" i="9"/>
  <c r="M37" i="9"/>
  <c r="J37" i="9"/>
  <c r="G37" i="9"/>
  <c r="DS36" i="9"/>
  <c r="DR36" i="9"/>
  <c r="DQ36" i="9"/>
  <c r="DN36" i="9"/>
  <c r="DK36" i="9"/>
  <c r="DH36" i="9"/>
  <c r="DE36" i="9"/>
  <c r="DB36" i="9"/>
  <c r="CY36" i="9"/>
  <c r="CV36" i="9"/>
  <c r="CS36" i="9"/>
  <c r="CP36" i="9"/>
  <c r="CM36" i="9"/>
  <c r="CJ36" i="9"/>
  <c r="CF36" i="9"/>
  <c r="CE36" i="9"/>
  <c r="CD36" i="9"/>
  <c r="CA36" i="9"/>
  <c r="BX36" i="9"/>
  <c r="BU36" i="9"/>
  <c r="BR36" i="9"/>
  <c r="BO36" i="9"/>
  <c r="BL36" i="9"/>
  <c r="BI36" i="9"/>
  <c r="BF36" i="9"/>
  <c r="BC36" i="9"/>
  <c r="AZ36" i="9"/>
  <c r="AW36" i="9"/>
  <c r="AS36" i="9"/>
  <c r="AR36" i="9"/>
  <c r="AQ36" i="9"/>
  <c r="AN36" i="9"/>
  <c r="AK36" i="9"/>
  <c r="AH36" i="9"/>
  <c r="AE36" i="9"/>
  <c r="AB36" i="9"/>
  <c r="Y36" i="9"/>
  <c r="V36" i="9"/>
  <c r="S36" i="9"/>
  <c r="P36" i="9"/>
  <c r="M36" i="9"/>
  <c r="J36" i="9"/>
  <c r="G36" i="9"/>
  <c r="DS35" i="9"/>
  <c r="DR35" i="9"/>
  <c r="DQ35" i="9"/>
  <c r="DN35" i="9"/>
  <c r="DK35" i="9"/>
  <c r="DH35" i="9"/>
  <c r="DE35" i="9"/>
  <c r="DB35" i="9"/>
  <c r="CY35" i="9"/>
  <c r="CV35" i="9"/>
  <c r="CS35" i="9"/>
  <c r="CP35" i="9"/>
  <c r="CM35" i="9"/>
  <c r="CJ35" i="9"/>
  <c r="CF35" i="9"/>
  <c r="CE35" i="9"/>
  <c r="CD35" i="9"/>
  <c r="CA35" i="9"/>
  <c r="BX35" i="9"/>
  <c r="BU35" i="9"/>
  <c r="BR35" i="9"/>
  <c r="BO35" i="9"/>
  <c r="BL35" i="9"/>
  <c r="BI35" i="9"/>
  <c r="BF35" i="9"/>
  <c r="BC35" i="9"/>
  <c r="AZ35" i="9"/>
  <c r="AW35" i="9"/>
  <c r="AS35" i="9"/>
  <c r="AR35" i="9"/>
  <c r="AQ35" i="9"/>
  <c r="AN35" i="9"/>
  <c r="AK35" i="9"/>
  <c r="AH35" i="9"/>
  <c r="AE35" i="9"/>
  <c r="AB35" i="9"/>
  <c r="Y35" i="9"/>
  <c r="V35" i="9"/>
  <c r="S35" i="9"/>
  <c r="P35" i="9"/>
  <c r="M35" i="9"/>
  <c r="J35" i="9"/>
  <c r="G35" i="9"/>
  <c r="DQ34" i="9"/>
  <c r="DP34" i="9"/>
  <c r="DO34" i="9"/>
  <c r="DN34" i="9"/>
  <c r="DM34" i="9"/>
  <c r="DL34" i="9"/>
  <c r="DK34" i="9"/>
  <c r="DJ34" i="9"/>
  <c r="DI34" i="9"/>
  <c r="DH34" i="9"/>
  <c r="DG34" i="9"/>
  <c r="DF34" i="9"/>
  <c r="DE34" i="9"/>
  <c r="DD34" i="9"/>
  <c r="DC34" i="9"/>
  <c r="DB34" i="9"/>
  <c r="DA34" i="9"/>
  <c r="CZ34" i="9"/>
  <c r="CY34" i="9"/>
  <c r="CX34" i="9"/>
  <c r="CW34" i="9"/>
  <c r="CV34" i="9"/>
  <c r="CU34" i="9"/>
  <c r="CT34" i="9"/>
  <c r="CS34" i="9"/>
  <c r="CR34" i="9"/>
  <c r="CQ34" i="9"/>
  <c r="CP34" i="9"/>
  <c r="CO34" i="9"/>
  <c r="CN34" i="9"/>
  <c r="CM34" i="9"/>
  <c r="CL34" i="9"/>
  <c r="CK34" i="9"/>
  <c r="CJ34" i="9"/>
  <c r="CI34" i="9"/>
  <c r="CH34" i="9"/>
  <c r="CE34" i="9"/>
  <c r="CD34" i="9"/>
  <c r="CC34" i="9"/>
  <c r="CB34" i="9"/>
  <c r="CA34" i="9"/>
  <c r="BZ34" i="9"/>
  <c r="BY34" i="9"/>
  <c r="BX34" i="9"/>
  <c r="BW34" i="9"/>
  <c r="BV34" i="9"/>
  <c r="BU34" i="9"/>
  <c r="BT34" i="9"/>
  <c r="BS34" i="9"/>
  <c r="BR34" i="9"/>
  <c r="BQ34" i="9"/>
  <c r="BP34" i="9"/>
  <c r="BO34" i="9"/>
  <c r="BN34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P47" i="36"/>
  <c r="N47" i="36"/>
  <c r="M47" i="36"/>
  <c r="L47" i="36"/>
  <c r="K47" i="36"/>
  <c r="J47" i="36"/>
  <c r="I47" i="36"/>
  <c r="H47" i="36"/>
  <c r="G47" i="36"/>
  <c r="F47" i="36"/>
  <c r="E47" i="36"/>
  <c r="P35" i="36"/>
  <c r="N35" i="36"/>
  <c r="M35" i="36"/>
  <c r="L35" i="36"/>
  <c r="K35" i="36"/>
  <c r="J35" i="36"/>
  <c r="I35" i="36"/>
  <c r="H35" i="36"/>
  <c r="G35" i="36"/>
  <c r="F35" i="36"/>
  <c r="E35" i="36"/>
  <c r="C47" i="36"/>
  <c r="C35" i="36"/>
  <c r="P31" i="36"/>
  <c r="N31" i="36"/>
  <c r="M31" i="36"/>
  <c r="L31" i="36"/>
  <c r="K31" i="36"/>
  <c r="J31" i="36"/>
  <c r="I31" i="36"/>
  <c r="H31" i="36"/>
  <c r="G31" i="36"/>
  <c r="F31" i="36"/>
  <c r="E31" i="36"/>
  <c r="C31" i="36"/>
  <c r="D31" i="36"/>
  <c r="P24" i="36"/>
  <c r="N24" i="36"/>
  <c r="M24" i="36"/>
  <c r="L24" i="36"/>
  <c r="K24" i="36"/>
  <c r="J24" i="36"/>
  <c r="I24" i="36"/>
  <c r="H24" i="36"/>
  <c r="G24" i="36"/>
  <c r="F24" i="36"/>
  <c r="E24" i="36"/>
  <c r="C24" i="36"/>
  <c r="U8" i="36"/>
  <c r="P8" i="36"/>
  <c r="P12" i="36"/>
  <c r="P17" i="36"/>
  <c r="P19" i="36"/>
  <c r="P33" i="36"/>
  <c r="P36" i="36"/>
  <c r="N8" i="36"/>
  <c r="N12" i="36"/>
  <c r="N17" i="36"/>
  <c r="N19" i="36"/>
  <c r="N33" i="36"/>
  <c r="N36" i="36"/>
  <c r="M8" i="36"/>
  <c r="M12" i="36"/>
  <c r="M17" i="36"/>
  <c r="M19" i="36"/>
  <c r="M33" i="36"/>
  <c r="M36" i="36"/>
  <c r="L8" i="36"/>
  <c r="L12" i="36"/>
  <c r="L17" i="36"/>
  <c r="L19" i="36"/>
  <c r="L33" i="36"/>
  <c r="L36" i="36"/>
  <c r="K8" i="36"/>
  <c r="K12" i="36"/>
  <c r="K17" i="36"/>
  <c r="K19" i="36"/>
  <c r="K33" i="36"/>
  <c r="K36" i="36"/>
  <c r="J8" i="36"/>
  <c r="J12" i="36"/>
  <c r="J17" i="36"/>
  <c r="J19" i="36"/>
  <c r="J33" i="36"/>
  <c r="J36" i="36"/>
  <c r="I8" i="36"/>
  <c r="I12" i="36"/>
  <c r="I17" i="36"/>
  <c r="I19" i="36"/>
  <c r="I33" i="36"/>
  <c r="I36" i="36"/>
  <c r="H8" i="36"/>
  <c r="H12" i="36"/>
  <c r="H17" i="36"/>
  <c r="H19" i="36"/>
  <c r="H33" i="36"/>
  <c r="H36" i="36"/>
  <c r="G8" i="36"/>
  <c r="G12" i="36"/>
  <c r="G17" i="36"/>
  <c r="G19" i="36"/>
  <c r="G33" i="36"/>
  <c r="G36" i="36"/>
  <c r="F8" i="36"/>
  <c r="F12" i="36"/>
  <c r="F17" i="36"/>
  <c r="F19" i="36"/>
  <c r="F33" i="36"/>
  <c r="F36" i="36"/>
  <c r="E8" i="36"/>
  <c r="E12" i="36"/>
  <c r="E17" i="36"/>
  <c r="E19" i="36"/>
  <c r="E33" i="36"/>
  <c r="E36" i="36"/>
  <c r="D8" i="36"/>
  <c r="C8" i="36"/>
  <c r="C12" i="36"/>
  <c r="C17" i="36"/>
  <c r="C19" i="36"/>
  <c r="C33" i="36"/>
  <c r="CD64" i="9"/>
  <c r="CD76" i="9"/>
  <c r="CD63" i="9"/>
  <c r="CD75" i="9"/>
  <c r="CA64" i="9"/>
  <c r="CA76" i="9"/>
  <c r="CA63" i="9"/>
  <c r="CA75" i="9"/>
  <c r="CF64" i="9"/>
  <c r="BE61" i="9"/>
  <c r="AW62" i="9"/>
  <c r="AW74" i="9"/>
  <c r="AZ62" i="9"/>
  <c r="AZ74" i="9"/>
  <c r="BC62" i="9"/>
  <c r="BC74" i="9"/>
  <c r="BF62" i="9"/>
  <c r="AW63" i="9"/>
  <c r="AZ63" i="9"/>
  <c r="BC63" i="9"/>
  <c r="AW64" i="9"/>
  <c r="AW76" i="9"/>
  <c r="AZ64" i="9"/>
  <c r="AZ76" i="9"/>
  <c r="BC64" i="9"/>
  <c r="BC76" i="9"/>
  <c r="BF64" i="9"/>
  <c r="BF76" i="9"/>
  <c r="AW65" i="9"/>
  <c r="AW77" i="9"/>
  <c r="AZ65" i="9"/>
  <c r="AZ77" i="9"/>
  <c r="BC65" i="9"/>
  <c r="BC77" i="9"/>
  <c r="BF65" i="9"/>
  <c r="BF77" i="9"/>
  <c r="G71" i="9"/>
  <c r="G70" i="9"/>
  <c r="G69" i="9"/>
  <c r="G68" i="9"/>
  <c r="G67" i="9"/>
  <c r="G65" i="9"/>
  <c r="G64" i="9"/>
  <c r="G63" i="9"/>
  <c r="G62" i="9"/>
  <c r="DP77" i="9"/>
  <c r="DO77" i="9"/>
  <c r="DM77" i="9"/>
  <c r="DL77" i="9"/>
  <c r="DJ77" i="9"/>
  <c r="DI77" i="9"/>
  <c r="DG77" i="9"/>
  <c r="DF77" i="9"/>
  <c r="DD77" i="9"/>
  <c r="DC77" i="9"/>
  <c r="DA77" i="9"/>
  <c r="CZ77" i="9"/>
  <c r="CX77" i="9"/>
  <c r="CW77" i="9"/>
  <c r="CU77" i="9"/>
  <c r="CT77" i="9"/>
  <c r="CR77" i="9"/>
  <c r="CQ77" i="9"/>
  <c r="CO77" i="9"/>
  <c r="CN77" i="9"/>
  <c r="CL77" i="9"/>
  <c r="CK77" i="9"/>
  <c r="CI77" i="9"/>
  <c r="CH77" i="9"/>
  <c r="CC77" i="9"/>
  <c r="CB77" i="9"/>
  <c r="BZ77" i="9"/>
  <c r="BY77" i="9"/>
  <c r="BW77" i="9"/>
  <c r="BV77" i="9"/>
  <c r="BT77" i="9"/>
  <c r="BS77" i="9"/>
  <c r="BQ77" i="9"/>
  <c r="BP77" i="9"/>
  <c r="BN77" i="9"/>
  <c r="BM77" i="9"/>
  <c r="BK77" i="9"/>
  <c r="BJ77" i="9"/>
  <c r="BH77" i="9"/>
  <c r="BG77" i="9"/>
  <c r="BE77" i="9"/>
  <c r="BD77" i="9"/>
  <c r="BB77" i="9"/>
  <c r="BA77" i="9"/>
  <c r="AY77" i="9"/>
  <c r="AX77" i="9"/>
  <c r="AV77" i="9"/>
  <c r="AU77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Q76" i="9"/>
  <c r="DP76" i="9"/>
  <c r="DO76" i="9"/>
  <c r="DN76" i="9"/>
  <c r="DM76" i="9"/>
  <c r="DL76" i="9"/>
  <c r="DK76" i="9"/>
  <c r="DJ76" i="9"/>
  <c r="DI76" i="9"/>
  <c r="DH76" i="9"/>
  <c r="DG76" i="9"/>
  <c r="DF76" i="9"/>
  <c r="DE76" i="9"/>
  <c r="DD76" i="9"/>
  <c r="DC76" i="9"/>
  <c r="DB76" i="9"/>
  <c r="DA76" i="9"/>
  <c r="CZ76" i="9"/>
  <c r="CY76" i="9"/>
  <c r="CX76" i="9"/>
  <c r="CW76" i="9"/>
  <c r="CV76" i="9"/>
  <c r="CU76" i="9"/>
  <c r="CT76" i="9"/>
  <c r="CS76" i="9"/>
  <c r="CR76" i="9"/>
  <c r="CQ76" i="9"/>
  <c r="CP76" i="9"/>
  <c r="CO76" i="9"/>
  <c r="CN76" i="9"/>
  <c r="CM76" i="9"/>
  <c r="CL76" i="9"/>
  <c r="CK76" i="9"/>
  <c r="CI76" i="9"/>
  <c r="CH76" i="9"/>
  <c r="CC76" i="9"/>
  <c r="CB76" i="9"/>
  <c r="BZ76" i="9"/>
  <c r="BY76" i="9"/>
  <c r="BW76" i="9"/>
  <c r="BV76" i="9"/>
  <c r="BT76" i="9"/>
  <c r="BS76" i="9"/>
  <c r="BQ76" i="9"/>
  <c r="BP76" i="9"/>
  <c r="BN76" i="9"/>
  <c r="BM76" i="9"/>
  <c r="BK76" i="9"/>
  <c r="BJ76" i="9"/>
  <c r="BH76" i="9"/>
  <c r="BG76" i="9"/>
  <c r="BE76" i="9"/>
  <c r="BD76" i="9"/>
  <c r="BB76" i="9"/>
  <c r="BA76" i="9"/>
  <c r="AY76" i="9"/>
  <c r="AX76" i="9"/>
  <c r="AV76" i="9"/>
  <c r="AU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P75" i="9"/>
  <c r="DO75" i="9"/>
  <c r="DM75" i="9"/>
  <c r="DL75" i="9"/>
  <c r="DJ75" i="9"/>
  <c r="DI75" i="9"/>
  <c r="DG75" i="9"/>
  <c r="DF75" i="9"/>
  <c r="DD75" i="9"/>
  <c r="DC75" i="9"/>
  <c r="DA75" i="9"/>
  <c r="CZ75" i="9"/>
  <c r="CX75" i="9"/>
  <c r="CW75" i="9"/>
  <c r="CU75" i="9"/>
  <c r="CT75" i="9"/>
  <c r="CR75" i="9"/>
  <c r="CQ75" i="9"/>
  <c r="CO75" i="9"/>
  <c r="CN75" i="9"/>
  <c r="CL75" i="9"/>
  <c r="CK75" i="9"/>
  <c r="CI75" i="9"/>
  <c r="CH75" i="9"/>
  <c r="CC75" i="9"/>
  <c r="CB75" i="9"/>
  <c r="BZ75" i="9"/>
  <c r="BY75" i="9"/>
  <c r="BW75" i="9"/>
  <c r="BV75" i="9"/>
  <c r="BT75" i="9"/>
  <c r="BS75" i="9"/>
  <c r="BQ75" i="9"/>
  <c r="BP75" i="9"/>
  <c r="BN75" i="9"/>
  <c r="BM75" i="9"/>
  <c r="BK75" i="9"/>
  <c r="BJ75" i="9"/>
  <c r="BH75" i="9"/>
  <c r="BG75" i="9"/>
  <c r="BE75" i="9"/>
  <c r="BD75" i="9"/>
  <c r="BB75" i="9"/>
  <c r="BA75" i="9"/>
  <c r="AY75" i="9"/>
  <c r="AX75" i="9"/>
  <c r="AV75" i="9"/>
  <c r="AU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P74" i="9"/>
  <c r="DO74" i="9"/>
  <c r="DM74" i="9"/>
  <c r="DL74" i="9"/>
  <c r="DJ74" i="9"/>
  <c r="DI74" i="9"/>
  <c r="DG74" i="9"/>
  <c r="DF74" i="9"/>
  <c r="DD74" i="9"/>
  <c r="DC74" i="9"/>
  <c r="DA74" i="9"/>
  <c r="CZ74" i="9"/>
  <c r="CX74" i="9"/>
  <c r="CW74" i="9"/>
  <c r="CU74" i="9"/>
  <c r="CT74" i="9"/>
  <c r="CR74" i="9"/>
  <c r="CQ74" i="9"/>
  <c r="CO74" i="9"/>
  <c r="CN74" i="9"/>
  <c r="CL74" i="9"/>
  <c r="CK74" i="9"/>
  <c r="CI74" i="9"/>
  <c r="CH74" i="9"/>
  <c r="CC74" i="9"/>
  <c r="CB74" i="9"/>
  <c r="BZ74" i="9"/>
  <c r="BY74" i="9"/>
  <c r="BW74" i="9"/>
  <c r="BV74" i="9"/>
  <c r="BT74" i="9"/>
  <c r="BS74" i="9"/>
  <c r="BQ74" i="9"/>
  <c r="BP74" i="9"/>
  <c r="BN74" i="9"/>
  <c r="BM74" i="9"/>
  <c r="BK74" i="9"/>
  <c r="BJ74" i="9"/>
  <c r="BH74" i="9"/>
  <c r="BG74" i="9"/>
  <c r="BE74" i="9"/>
  <c r="BD74" i="9"/>
  <c r="BB74" i="9"/>
  <c r="BA74" i="9"/>
  <c r="AY74" i="9"/>
  <c r="AX74" i="9"/>
  <c r="AV74" i="9"/>
  <c r="AU74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S71" i="9"/>
  <c r="DR71" i="9"/>
  <c r="DT71" i="9"/>
  <c r="CF71" i="9"/>
  <c r="CE71" i="9"/>
  <c r="CG71" i="9"/>
  <c r="AS71" i="9"/>
  <c r="AR71" i="9"/>
  <c r="AT71" i="9"/>
  <c r="DS70" i="9"/>
  <c r="DR70" i="9"/>
  <c r="DT70" i="9"/>
  <c r="CF70" i="9"/>
  <c r="CE70" i="9"/>
  <c r="CG70" i="9"/>
  <c r="AS70" i="9"/>
  <c r="AR70" i="9"/>
  <c r="AT70" i="9"/>
  <c r="DS69" i="9"/>
  <c r="DR69" i="9"/>
  <c r="DT69" i="9"/>
  <c r="CF69" i="9"/>
  <c r="CE69" i="9"/>
  <c r="AS69" i="9"/>
  <c r="AR69" i="9"/>
  <c r="DS68" i="9"/>
  <c r="DS67" i="9"/>
  <c r="DR68" i="9"/>
  <c r="CF68" i="9"/>
  <c r="CE68" i="9"/>
  <c r="AS68" i="9"/>
  <c r="AR68" i="9"/>
  <c r="AT68" i="9"/>
  <c r="DP67" i="9"/>
  <c r="DO67" i="9"/>
  <c r="DM67" i="9"/>
  <c r="DL67" i="9"/>
  <c r="DJ67" i="9"/>
  <c r="DI67" i="9"/>
  <c r="DG67" i="9"/>
  <c r="DF67" i="9"/>
  <c r="DD67" i="9"/>
  <c r="DC67" i="9"/>
  <c r="DA67" i="9"/>
  <c r="CZ67" i="9"/>
  <c r="CX67" i="9"/>
  <c r="CW67" i="9"/>
  <c r="CU67" i="9"/>
  <c r="CT67" i="9"/>
  <c r="CR67" i="9"/>
  <c r="CQ67" i="9"/>
  <c r="CO67" i="9"/>
  <c r="CN67" i="9"/>
  <c r="CL67" i="9"/>
  <c r="CK67" i="9"/>
  <c r="CJ67" i="9"/>
  <c r="CI67" i="9"/>
  <c r="CH67" i="9"/>
  <c r="CD67" i="9"/>
  <c r="CC67" i="9"/>
  <c r="CB67" i="9"/>
  <c r="CA67" i="9"/>
  <c r="BZ67" i="9"/>
  <c r="BY67" i="9"/>
  <c r="BX67" i="9"/>
  <c r="BW67" i="9"/>
  <c r="BV67" i="9"/>
  <c r="BU67" i="9"/>
  <c r="BT67" i="9"/>
  <c r="BS67" i="9"/>
  <c r="BR67" i="9"/>
  <c r="BQ67" i="9"/>
  <c r="BP67" i="9"/>
  <c r="BO67" i="9"/>
  <c r="BN67" i="9"/>
  <c r="BM67" i="9"/>
  <c r="BL67" i="9"/>
  <c r="BK67" i="9"/>
  <c r="BJ67" i="9"/>
  <c r="BI67" i="9"/>
  <c r="BH67" i="9"/>
  <c r="BG67" i="9"/>
  <c r="BF67" i="9"/>
  <c r="BE67" i="9"/>
  <c r="BD67" i="9"/>
  <c r="BC67" i="9"/>
  <c r="BB67" i="9"/>
  <c r="BA67" i="9"/>
  <c r="AZ67" i="9"/>
  <c r="AY67" i="9"/>
  <c r="AX67" i="9"/>
  <c r="AW67" i="9"/>
  <c r="AV67" i="9"/>
  <c r="AU67" i="9"/>
  <c r="AQ67" i="9"/>
  <c r="AP67" i="9"/>
  <c r="AO67" i="9"/>
  <c r="AN67" i="9"/>
  <c r="AM67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F67" i="9"/>
  <c r="E67" i="9"/>
  <c r="DS65" i="9"/>
  <c r="DR65" i="9"/>
  <c r="CJ77" i="9"/>
  <c r="CE65" i="9"/>
  <c r="CA65" i="9"/>
  <c r="CA77" i="9"/>
  <c r="BX65" i="9"/>
  <c r="BX77" i="9"/>
  <c r="BU65" i="9"/>
  <c r="BU77" i="9"/>
  <c r="BR65" i="9"/>
  <c r="BR77" i="9"/>
  <c r="BO65" i="9"/>
  <c r="BO77" i="9"/>
  <c r="BL65" i="9"/>
  <c r="BL77" i="9"/>
  <c r="BI65" i="9"/>
  <c r="BI77" i="9"/>
  <c r="AS65" i="9"/>
  <c r="AR65" i="9"/>
  <c r="DS64" i="9"/>
  <c r="DR64" i="9"/>
  <c r="CJ76" i="9"/>
  <c r="CE64" i="9"/>
  <c r="BX64" i="9"/>
  <c r="BX76" i="9"/>
  <c r="BU64" i="9"/>
  <c r="BU76" i="9"/>
  <c r="BR64" i="9"/>
  <c r="BR76" i="9"/>
  <c r="BO64" i="9"/>
  <c r="BO76" i="9"/>
  <c r="BL64" i="9"/>
  <c r="BL76" i="9"/>
  <c r="BI64" i="9"/>
  <c r="BI76" i="9"/>
  <c r="AS64" i="9"/>
  <c r="AR64" i="9"/>
  <c r="DS63" i="9"/>
  <c r="DR63" i="9"/>
  <c r="CJ75" i="9"/>
  <c r="CE63" i="9"/>
  <c r="BX63" i="9"/>
  <c r="BX75" i="9"/>
  <c r="BU63" i="9"/>
  <c r="BU75" i="9"/>
  <c r="BR63" i="9"/>
  <c r="BR75" i="9"/>
  <c r="BO63" i="9"/>
  <c r="BO75" i="9"/>
  <c r="BL63" i="9"/>
  <c r="BL75" i="9"/>
  <c r="BI63" i="9"/>
  <c r="BI75" i="9"/>
  <c r="AS63" i="9"/>
  <c r="AR63" i="9"/>
  <c r="DS62" i="9"/>
  <c r="DR62" i="9"/>
  <c r="CE62" i="9"/>
  <c r="BX62" i="9"/>
  <c r="BU62" i="9"/>
  <c r="BR62" i="9"/>
  <c r="BO62" i="9"/>
  <c r="BL62" i="9"/>
  <c r="BI62" i="9"/>
  <c r="AS62" i="9"/>
  <c r="AR62" i="9"/>
  <c r="DP61" i="9"/>
  <c r="DO61" i="9"/>
  <c r="DM61" i="9"/>
  <c r="DL61" i="9"/>
  <c r="DJ61" i="9"/>
  <c r="DI61" i="9"/>
  <c r="DG61" i="9"/>
  <c r="DF61" i="9"/>
  <c r="DD61" i="9"/>
  <c r="DC61" i="9"/>
  <c r="DA61" i="9"/>
  <c r="CZ61" i="9"/>
  <c r="CX61" i="9"/>
  <c r="CW61" i="9"/>
  <c r="CU61" i="9"/>
  <c r="CT61" i="9"/>
  <c r="CR61" i="9"/>
  <c r="CQ61" i="9"/>
  <c r="CO61" i="9"/>
  <c r="CN61" i="9"/>
  <c r="CL61" i="9"/>
  <c r="CK61" i="9"/>
  <c r="CI61" i="9"/>
  <c r="CH61" i="9"/>
  <c r="CB61" i="9"/>
  <c r="BY61" i="9"/>
  <c r="BW61" i="9"/>
  <c r="BV61" i="9"/>
  <c r="BT61" i="9"/>
  <c r="BS61" i="9"/>
  <c r="BQ61" i="9"/>
  <c r="BP61" i="9"/>
  <c r="BN61" i="9"/>
  <c r="BM61" i="9"/>
  <c r="BK61" i="9"/>
  <c r="BJ61" i="9"/>
  <c r="BH61" i="9"/>
  <c r="BG61" i="9"/>
  <c r="BD61" i="9"/>
  <c r="BB61" i="9"/>
  <c r="BA61" i="9"/>
  <c r="AX61" i="9"/>
  <c r="AV61" i="9"/>
  <c r="AU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V73" i="9"/>
  <c r="U61" i="9"/>
  <c r="U73" i="9"/>
  <c r="T61" i="9"/>
  <c r="T73" i="9"/>
  <c r="S61" i="9"/>
  <c r="S73" i="9"/>
  <c r="R61" i="9"/>
  <c r="R73" i="9"/>
  <c r="Q61" i="9"/>
  <c r="Q73" i="9"/>
  <c r="P61" i="9"/>
  <c r="P73" i="9"/>
  <c r="O61" i="9"/>
  <c r="O73" i="9"/>
  <c r="N61" i="9"/>
  <c r="N73" i="9"/>
  <c r="M61" i="9"/>
  <c r="M73" i="9"/>
  <c r="L61" i="9"/>
  <c r="L73" i="9"/>
  <c r="K61" i="9"/>
  <c r="K73" i="9"/>
  <c r="J61" i="9"/>
  <c r="J73" i="9"/>
  <c r="I61" i="9"/>
  <c r="H61" i="9"/>
  <c r="F61" i="9"/>
  <c r="E61" i="9"/>
  <c r="EM21" i="27"/>
  <c r="EG21" i="27"/>
  <c r="EF21" i="27"/>
  <c r="EE21" i="27"/>
  <c r="ED21" i="27"/>
  <c r="EH21" i="27" s="1"/>
  <c r="EC21" i="27"/>
  <c r="DX21" i="27"/>
  <c r="DS21" i="27"/>
  <c r="DN21" i="27"/>
  <c r="DI21" i="27"/>
  <c r="DD21" i="27"/>
  <c r="CY21" i="27"/>
  <c r="CT21" i="27"/>
  <c r="CO21" i="27"/>
  <c r="CJ21" i="27"/>
  <c r="CE21" i="27"/>
  <c r="BZ21" i="27"/>
  <c r="BT21" i="27"/>
  <c r="BS21" i="27"/>
  <c r="BR21" i="27"/>
  <c r="BQ21" i="27"/>
  <c r="BU21" i="27" s="1"/>
  <c r="BP21" i="27"/>
  <c r="BK21" i="27"/>
  <c r="BF21" i="27"/>
  <c r="BA21" i="27"/>
  <c r="AV21" i="27"/>
  <c r="AQ21" i="27"/>
  <c r="AL21" i="27"/>
  <c r="AG21" i="27"/>
  <c r="AB21" i="27"/>
  <c r="W21" i="27"/>
  <c r="R21" i="27"/>
  <c r="M21" i="27"/>
  <c r="H21" i="27"/>
  <c r="AX24" i="8"/>
  <c r="AR24" i="8"/>
  <c r="AE24" i="8"/>
  <c r="F24" i="8"/>
  <c r="R24" i="8" s="1"/>
  <c r="G99" i="9"/>
  <c r="G107" i="9"/>
  <c r="G98" i="9"/>
  <c r="CD99" i="9"/>
  <c r="CD98" i="9"/>
  <c r="CA99" i="9"/>
  <c r="CA98" i="9"/>
  <c r="BX99" i="9"/>
  <c r="BX98" i="9"/>
  <c r="BU99" i="9"/>
  <c r="BU98" i="9"/>
  <c r="BR99" i="9"/>
  <c r="BR98" i="9"/>
  <c r="BO99" i="9"/>
  <c r="BO98" i="9"/>
  <c r="BL98" i="9"/>
  <c r="BI99" i="9"/>
  <c r="BI98" i="9"/>
  <c r="BF99" i="9"/>
  <c r="BF98" i="9"/>
  <c r="BE107" i="9"/>
  <c r="BC99" i="9"/>
  <c r="BC98" i="9"/>
  <c r="AZ98" i="9"/>
  <c r="AW99" i="9"/>
  <c r="AW107" i="9"/>
  <c r="AW98" i="9"/>
  <c r="CJ107" i="9"/>
  <c r="CI107" i="9"/>
  <c r="CH107" i="9"/>
  <c r="CJ106" i="9"/>
  <c r="CI106" i="9"/>
  <c r="CH106" i="9"/>
  <c r="CJ101" i="9"/>
  <c r="CI101" i="9"/>
  <c r="CH101" i="9"/>
  <c r="CJ97" i="9"/>
  <c r="CI97" i="9"/>
  <c r="CI105" i="9"/>
  <c r="CH97" i="9"/>
  <c r="CH105" i="9"/>
  <c r="CI32" i="9"/>
  <c r="CH32" i="9"/>
  <c r="CI31" i="9"/>
  <c r="CH31" i="9"/>
  <c r="CI30" i="9"/>
  <c r="CH30" i="9"/>
  <c r="CI29" i="9"/>
  <c r="CH29" i="9"/>
  <c r="CI28" i="9"/>
  <c r="CH28" i="9"/>
  <c r="CI27" i="9"/>
  <c r="CH27" i="9"/>
  <c r="CJ22" i="9"/>
  <c r="CJ20" i="9"/>
  <c r="CJ19" i="9"/>
  <c r="CJ18" i="9"/>
  <c r="CJ17" i="9"/>
  <c r="CJ16" i="9"/>
  <c r="CJ15" i="9"/>
  <c r="CJ14" i="9"/>
  <c r="CJ12" i="9"/>
  <c r="CJ32" i="9"/>
  <c r="CJ11" i="9"/>
  <c r="CJ31" i="9"/>
  <c r="CJ10" i="9"/>
  <c r="CJ30" i="9"/>
  <c r="CJ9" i="9"/>
  <c r="CJ29" i="9"/>
  <c r="CJ8" i="9"/>
  <c r="CJ28" i="9"/>
  <c r="CJ7" i="9"/>
  <c r="CJ27" i="9"/>
  <c r="CJ6" i="9"/>
  <c r="CI6" i="9"/>
  <c r="CH6" i="9"/>
  <c r="DS102" i="9"/>
  <c r="DR102" i="9"/>
  <c r="DS15" i="9"/>
  <c r="DS14" i="9"/>
  <c r="DR15" i="9"/>
  <c r="DR14" i="9"/>
  <c r="CC107" i="9"/>
  <c r="CB107" i="9"/>
  <c r="CC106" i="9"/>
  <c r="CB106" i="9"/>
  <c r="CC101" i="9"/>
  <c r="CB101" i="9"/>
  <c r="CC97" i="9"/>
  <c r="CC105" i="9"/>
  <c r="CB97" i="9"/>
  <c r="CB105" i="9"/>
  <c r="CC32" i="9"/>
  <c r="CB32" i="9"/>
  <c r="CC31" i="9"/>
  <c r="CB31" i="9"/>
  <c r="CC30" i="9"/>
  <c r="CB30" i="9"/>
  <c r="CC29" i="9"/>
  <c r="CB29" i="9"/>
  <c r="CC28" i="9"/>
  <c r="CB28" i="9"/>
  <c r="CC27" i="9"/>
  <c r="CB27" i="9"/>
  <c r="CD22" i="9"/>
  <c r="CD20" i="9"/>
  <c r="CD19" i="9"/>
  <c r="CD18" i="9"/>
  <c r="CD17" i="9"/>
  <c r="CD16" i="9"/>
  <c r="CD15" i="9"/>
  <c r="CD14" i="9"/>
  <c r="CD12" i="9"/>
  <c r="CD32" i="9"/>
  <c r="CD11" i="9"/>
  <c r="CD31" i="9"/>
  <c r="CD10" i="9"/>
  <c r="CD30" i="9"/>
  <c r="CD9" i="9"/>
  <c r="CD8" i="9"/>
  <c r="CD7" i="9"/>
  <c r="CC6" i="9"/>
  <c r="CB6" i="9"/>
  <c r="BZ107" i="9"/>
  <c r="BY107" i="9"/>
  <c r="BZ106" i="9"/>
  <c r="BY106" i="9"/>
  <c r="BZ101" i="9"/>
  <c r="BY101" i="9"/>
  <c r="BZ97" i="9"/>
  <c r="BZ105" i="9"/>
  <c r="BY97" i="9"/>
  <c r="BZ32" i="9"/>
  <c r="BY32" i="9"/>
  <c r="BZ31" i="9"/>
  <c r="BY31" i="9"/>
  <c r="BZ30" i="9"/>
  <c r="BY30" i="9"/>
  <c r="BZ29" i="9"/>
  <c r="BY29" i="9"/>
  <c r="BZ28" i="9"/>
  <c r="BY28" i="9"/>
  <c r="BZ27" i="9"/>
  <c r="BY27" i="9"/>
  <c r="CA22" i="9"/>
  <c r="CA20" i="9"/>
  <c r="CA19" i="9"/>
  <c r="CA18" i="9"/>
  <c r="CA17" i="9"/>
  <c r="CA16" i="9"/>
  <c r="CA15" i="9"/>
  <c r="CA14" i="9"/>
  <c r="CA12" i="9"/>
  <c r="CA32" i="9"/>
  <c r="CA11" i="9"/>
  <c r="CA31" i="9"/>
  <c r="CA10" i="9"/>
  <c r="CA30" i="9"/>
  <c r="CA9" i="9"/>
  <c r="CA29" i="9"/>
  <c r="CA8" i="9"/>
  <c r="CA28" i="9"/>
  <c r="CA7" i="9"/>
  <c r="BZ6" i="9"/>
  <c r="BY6" i="9"/>
  <c r="BW107" i="9"/>
  <c r="BV107" i="9"/>
  <c r="BW106" i="9"/>
  <c r="BV106" i="9"/>
  <c r="BW101" i="9"/>
  <c r="BV101" i="9"/>
  <c r="BW97" i="9"/>
  <c r="BW105" i="9"/>
  <c r="BV97" i="9"/>
  <c r="BV105" i="9"/>
  <c r="BW32" i="9"/>
  <c r="BV32" i="9"/>
  <c r="BW31" i="9"/>
  <c r="BV31" i="9"/>
  <c r="BW30" i="9"/>
  <c r="BV30" i="9"/>
  <c r="BW29" i="9"/>
  <c r="BV29" i="9"/>
  <c r="BW28" i="9"/>
  <c r="BV28" i="9"/>
  <c r="BW27" i="9"/>
  <c r="BV27" i="9"/>
  <c r="BX22" i="9"/>
  <c r="BX20" i="9"/>
  <c r="BX19" i="9"/>
  <c r="BX18" i="9"/>
  <c r="BX17" i="9"/>
  <c r="BX16" i="9"/>
  <c r="BX15" i="9"/>
  <c r="BX14" i="9"/>
  <c r="BX12" i="9"/>
  <c r="BX32" i="9"/>
  <c r="BX11" i="9"/>
  <c r="BX31" i="9"/>
  <c r="BX10" i="9"/>
  <c r="BX30" i="9"/>
  <c r="BX9" i="9"/>
  <c r="BX29" i="9"/>
  <c r="BX8" i="9"/>
  <c r="BX28" i="9"/>
  <c r="BX7" i="9"/>
  <c r="BW6" i="9"/>
  <c r="BV6" i="9"/>
  <c r="BT107" i="9"/>
  <c r="BS107" i="9"/>
  <c r="BT106" i="9"/>
  <c r="BS106" i="9"/>
  <c r="BT101" i="9"/>
  <c r="BS101" i="9"/>
  <c r="BT97" i="9"/>
  <c r="BT105" i="9"/>
  <c r="BS97" i="9"/>
  <c r="BS105" i="9"/>
  <c r="BT32" i="9"/>
  <c r="BS32" i="9"/>
  <c r="BT31" i="9"/>
  <c r="BS31" i="9"/>
  <c r="BT30" i="9"/>
  <c r="BS30" i="9"/>
  <c r="BT29" i="9"/>
  <c r="BS29" i="9"/>
  <c r="BT28" i="9"/>
  <c r="BS28" i="9"/>
  <c r="BT27" i="9"/>
  <c r="BS27" i="9"/>
  <c r="BU22" i="9"/>
  <c r="BU20" i="9"/>
  <c r="BU19" i="9"/>
  <c r="BU18" i="9"/>
  <c r="BU17" i="9"/>
  <c r="BU16" i="9"/>
  <c r="BU15" i="9"/>
  <c r="BU14" i="9"/>
  <c r="BU12" i="9"/>
  <c r="BU11" i="9"/>
  <c r="BU10" i="9"/>
  <c r="BU9" i="9"/>
  <c r="BU8" i="9"/>
  <c r="BU7" i="9"/>
  <c r="BU6" i="9"/>
  <c r="BT6" i="9"/>
  <c r="BS6" i="9"/>
  <c r="BQ107" i="9"/>
  <c r="BP107" i="9"/>
  <c r="BQ106" i="9"/>
  <c r="BP106" i="9"/>
  <c r="BQ101" i="9"/>
  <c r="BP101" i="9"/>
  <c r="BQ97" i="9"/>
  <c r="BQ105" i="9"/>
  <c r="BP97" i="9"/>
  <c r="BP105" i="9"/>
  <c r="BQ32" i="9"/>
  <c r="BP32" i="9"/>
  <c r="BQ31" i="9"/>
  <c r="BP31" i="9"/>
  <c r="BQ30" i="9"/>
  <c r="BP30" i="9"/>
  <c r="BQ29" i="9"/>
  <c r="BP29" i="9"/>
  <c r="BQ28" i="9"/>
  <c r="BP28" i="9"/>
  <c r="BQ27" i="9"/>
  <c r="BP27" i="9"/>
  <c r="BR22" i="9"/>
  <c r="BR20" i="9"/>
  <c r="BR19" i="9"/>
  <c r="BR18" i="9"/>
  <c r="BR17" i="9"/>
  <c r="BR16" i="9"/>
  <c r="BR15" i="9"/>
  <c r="BR14" i="9"/>
  <c r="BR12" i="9"/>
  <c r="BR32" i="9"/>
  <c r="BR11" i="9"/>
  <c r="BR31" i="9"/>
  <c r="BR10" i="9"/>
  <c r="BR30" i="9"/>
  <c r="BR9" i="9"/>
  <c r="BR8" i="9"/>
  <c r="BR7" i="9"/>
  <c r="BQ6" i="9"/>
  <c r="BP6" i="9"/>
  <c r="BN101" i="9"/>
  <c r="BM101" i="9"/>
  <c r="BN32" i="9"/>
  <c r="BM32" i="9"/>
  <c r="BN31" i="9"/>
  <c r="BM31" i="9"/>
  <c r="BN30" i="9"/>
  <c r="BM30" i="9"/>
  <c r="BN29" i="9"/>
  <c r="BM29" i="9"/>
  <c r="BN28" i="9"/>
  <c r="BM28" i="9"/>
  <c r="BN27" i="9"/>
  <c r="BM27" i="9"/>
  <c r="BO22" i="9"/>
  <c r="BO20" i="9"/>
  <c r="BO19" i="9"/>
  <c r="BO18" i="9"/>
  <c r="BO17" i="9"/>
  <c r="BO16" i="9"/>
  <c r="BO15" i="9"/>
  <c r="BO14" i="9"/>
  <c r="BO12" i="9"/>
  <c r="BO32" i="9"/>
  <c r="BO11" i="9"/>
  <c r="BO31" i="9"/>
  <c r="BO10" i="9"/>
  <c r="BO30" i="9"/>
  <c r="BO9" i="9"/>
  <c r="BO29" i="9"/>
  <c r="BO8" i="9"/>
  <c r="BO28" i="9"/>
  <c r="BO7" i="9"/>
  <c r="BO27" i="9"/>
  <c r="BO6" i="9"/>
  <c r="BN6" i="9"/>
  <c r="BM6" i="9"/>
  <c r="BJ107" i="9"/>
  <c r="BJ106" i="9"/>
  <c r="BK101" i="9"/>
  <c r="BJ101" i="9"/>
  <c r="BJ97" i="9"/>
  <c r="BJ105" i="9"/>
  <c r="BK32" i="9"/>
  <c r="BJ32" i="9"/>
  <c r="BK31" i="9"/>
  <c r="BJ31" i="9"/>
  <c r="BK30" i="9"/>
  <c r="BJ30" i="9"/>
  <c r="BK29" i="9"/>
  <c r="BJ29" i="9"/>
  <c r="BK28" i="9"/>
  <c r="BJ28" i="9"/>
  <c r="BK27" i="9"/>
  <c r="BJ27" i="9"/>
  <c r="BL22" i="9"/>
  <c r="BL20" i="9"/>
  <c r="BL19" i="9"/>
  <c r="BL18" i="9"/>
  <c r="BL17" i="9"/>
  <c r="BL16" i="9"/>
  <c r="BL15" i="9"/>
  <c r="BL14" i="9"/>
  <c r="BL12" i="9"/>
  <c r="BL32" i="9"/>
  <c r="BL11" i="9"/>
  <c r="BL31" i="9"/>
  <c r="BL10" i="9"/>
  <c r="BL30" i="9"/>
  <c r="BL9" i="9"/>
  <c r="BL29" i="9"/>
  <c r="BL8" i="9"/>
  <c r="BL7" i="9"/>
  <c r="BL27" i="9"/>
  <c r="BK6" i="9"/>
  <c r="BJ6" i="9"/>
  <c r="BH107" i="9"/>
  <c r="BG107" i="9"/>
  <c r="BH106" i="9"/>
  <c r="BG106" i="9"/>
  <c r="BH101" i="9"/>
  <c r="BG101" i="9"/>
  <c r="BH97" i="9"/>
  <c r="BH105" i="9"/>
  <c r="BG97" i="9"/>
  <c r="BG105" i="9"/>
  <c r="BH32" i="9"/>
  <c r="BG32" i="9"/>
  <c r="BH31" i="9"/>
  <c r="BG31" i="9"/>
  <c r="BH30" i="9"/>
  <c r="BG30" i="9"/>
  <c r="BH29" i="9"/>
  <c r="BG29" i="9"/>
  <c r="BH28" i="9"/>
  <c r="BG28" i="9"/>
  <c r="BH27" i="9"/>
  <c r="BG27" i="9"/>
  <c r="BI22" i="9"/>
  <c r="BI20" i="9"/>
  <c r="BI19" i="9"/>
  <c r="BI18" i="9"/>
  <c r="BI17" i="9"/>
  <c r="BI16" i="9"/>
  <c r="BI15" i="9"/>
  <c r="BI14" i="9"/>
  <c r="BI12" i="9"/>
  <c r="BI32" i="9"/>
  <c r="BI11" i="9"/>
  <c r="BI31" i="9"/>
  <c r="BI10" i="9"/>
  <c r="BI30" i="9"/>
  <c r="BI9" i="9"/>
  <c r="BI29" i="9"/>
  <c r="BI8" i="9"/>
  <c r="BI28" i="9"/>
  <c r="BI7" i="9"/>
  <c r="BH6" i="9"/>
  <c r="BG6" i="9"/>
  <c r="BD107" i="9"/>
  <c r="BD106" i="9"/>
  <c r="BE101" i="9"/>
  <c r="BD101" i="9"/>
  <c r="BD97" i="9"/>
  <c r="BD105" i="9"/>
  <c r="BE32" i="9"/>
  <c r="BD32" i="9"/>
  <c r="BE31" i="9"/>
  <c r="BD31" i="9"/>
  <c r="BE30" i="9"/>
  <c r="BD30" i="9"/>
  <c r="BE29" i="9"/>
  <c r="BD29" i="9"/>
  <c r="BE28" i="9"/>
  <c r="BD28" i="9"/>
  <c r="BE27" i="9"/>
  <c r="BD27" i="9"/>
  <c r="BF22" i="9"/>
  <c r="BF20" i="9"/>
  <c r="BF19" i="9"/>
  <c r="BF18" i="9"/>
  <c r="BF17" i="9"/>
  <c r="BF16" i="9"/>
  <c r="BF15" i="9"/>
  <c r="BF14" i="9"/>
  <c r="BF12" i="9"/>
  <c r="BF32" i="9"/>
  <c r="BF11" i="9"/>
  <c r="BF31" i="9"/>
  <c r="BF10" i="9"/>
  <c r="BF30" i="9"/>
  <c r="BF9" i="9"/>
  <c r="BF29" i="9"/>
  <c r="BF8" i="9"/>
  <c r="BF7" i="9"/>
  <c r="BF27" i="9"/>
  <c r="BE6" i="9"/>
  <c r="BD6" i="9"/>
  <c r="BB107" i="9"/>
  <c r="BA107" i="9"/>
  <c r="BB106" i="9"/>
  <c r="BA106" i="9"/>
  <c r="BB101" i="9"/>
  <c r="BA101" i="9"/>
  <c r="BB97" i="9"/>
  <c r="BB105" i="9"/>
  <c r="BA97" i="9"/>
  <c r="BA105" i="9"/>
  <c r="BB32" i="9"/>
  <c r="BA32" i="9"/>
  <c r="BB31" i="9"/>
  <c r="BA31" i="9"/>
  <c r="BB30" i="9"/>
  <c r="BA30" i="9"/>
  <c r="BB29" i="9"/>
  <c r="BA29" i="9"/>
  <c r="BB28" i="9"/>
  <c r="BA28" i="9"/>
  <c r="BB27" i="9"/>
  <c r="BA27" i="9"/>
  <c r="BC22" i="9"/>
  <c r="BC20" i="9"/>
  <c r="BC19" i="9"/>
  <c r="BC18" i="9"/>
  <c r="BC17" i="9"/>
  <c r="BC16" i="9"/>
  <c r="BC15" i="9"/>
  <c r="BC14" i="9"/>
  <c r="BC12" i="9"/>
  <c r="BC32" i="9"/>
  <c r="BC11" i="9"/>
  <c r="BC31" i="9"/>
  <c r="BC10" i="9"/>
  <c r="BC30" i="9"/>
  <c r="BC9" i="9"/>
  <c r="BC29" i="9"/>
  <c r="BC8" i="9"/>
  <c r="BC28" i="9"/>
  <c r="BC7" i="9"/>
  <c r="BB6" i="9"/>
  <c r="BA6" i="9"/>
  <c r="AX107" i="9"/>
  <c r="AY106" i="9"/>
  <c r="AX106" i="9"/>
  <c r="AY101" i="9"/>
  <c r="AX101" i="9"/>
  <c r="AY97" i="9"/>
  <c r="AY105" i="9"/>
  <c r="AX97" i="9"/>
  <c r="AY32" i="9"/>
  <c r="AX32" i="9"/>
  <c r="AY31" i="9"/>
  <c r="AX31" i="9"/>
  <c r="AY30" i="9"/>
  <c r="AX30" i="9"/>
  <c r="AY29" i="9"/>
  <c r="AX29" i="9"/>
  <c r="AY28" i="9"/>
  <c r="AX28" i="9"/>
  <c r="AY27" i="9"/>
  <c r="AX27" i="9"/>
  <c r="AZ22" i="9"/>
  <c r="AZ20" i="9"/>
  <c r="AZ19" i="9"/>
  <c r="AZ18" i="9"/>
  <c r="AZ17" i="9"/>
  <c r="AZ16" i="9"/>
  <c r="AZ15" i="9"/>
  <c r="AZ14" i="9"/>
  <c r="AZ12" i="9"/>
  <c r="AZ32" i="9"/>
  <c r="AZ11" i="9"/>
  <c r="AZ31" i="9"/>
  <c r="AZ10" i="9"/>
  <c r="AZ30" i="9"/>
  <c r="AZ9" i="9"/>
  <c r="AZ29" i="9"/>
  <c r="AZ8" i="9"/>
  <c r="AZ7" i="9"/>
  <c r="AY6" i="9"/>
  <c r="AX6" i="9"/>
  <c r="AV107" i="9"/>
  <c r="AU107" i="9"/>
  <c r="AU106" i="9"/>
  <c r="AW101" i="9"/>
  <c r="AV101" i="9"/>
  <c r="AU101" i="9"/>
  <c r="AU97" i="9"/>
  <c r="AV32" i="9"/>
  <c r="AU32" i="9"/>
  <c r="AV31" i="9"/>
  <c r="AU31" i="9"/>
  <c r="AV30" i="9"/>
  <c r="AU30" i="9"/>
  <c r="AV29" i="9"/>
  <c r="AU29" i="9"/>
  <c r="AV28" i="9"/>
  <c r="AU28" i="9"/>
  <c r="AV27" i="9"/>
  <c r="AU27" i="9"/>
  <c r="AW22" i="9"/>
  <c r="AW20" i="9"/>
  <c r="AW19" i="9"/>
  <c r="AW18" i="9"/>
  <c r="AW17" i="9"/>
  <c r="AW16" i="9"/>
  <c r="AW15" i="9"/>
  <c r="AW14" i="9"/>
  <c r="AW12" i="9"/>
  <c r="AW32" i="9"/>
  <c r="AW11" i="9"/>
  <c r="AW31" i="9"/>
  <c r="AW10" i="9"/>
  <c r="AW30" i="9"/>
  <c r="AW9" i="9"/>
  <c r="AW8" i="9"/>
  <c r="AW28" i="9"/>
  <c r="AW7" i="9"/>
  <c r="AV6" i="9"/>
  <c r="AU6" i="9"/>
  <c r="AP107" i="9"/>
  <c r="AO107" i="9"/>
  <c r="AP106" i="9"/>
  <c r="AO106" i="9"/>
  <c r="AQ101" i="9"/>
  <c r="AP101" i="9"/>
  <c r="AO101" i="9"/>
  <c r="AP97" i="9"/>
  <c r="AO97" i="9"/>
  <c r="AP32" i="9"/>
  <c r="AO32" i="9"/>
  <c r="AP31" i="9"/>
  <c r="AO31" i="9"/>
  <c r="AP30" i="9"/>
  <c r="AO30" i="9"/>
  <c r="AP29" i="9"/>
  <c r="AO29" i="9"/>
  <c r="AP28" i="9"/>
  <c r="AO28" i="9"/>
  <c r="AP27" i="9"/>
  <c r="AO27" i="9"/>
  <c r="AQ22" i="9"/>
  <c r="AQ20" i="9"/>
  <c r="AQ19" i="9"/>
  <c r="AQ18" i="9"/>
  <c r="AQ17" i="9"/>
  <c r="AQ16" i="9"/>
  <c r="AQ15" i="9"/>
  <c r="AQ14" i="9"/>
  <c r="AQ12" i="9"/>
  <c r="AQ32" i="9"/>
  <c r="AQ11" i="9"/>
  <c r="AQ10" i="9"/>
  <c r="AQ9" i="9"/>
  <c r="AQ8" i="9"/>
  <c r="AQ7" i="9"/>
  <c r="AP6" i="9"/>
  <c r="AO6" i="9"/>
  <c r="AM107" i="9"/>
  <c r="AL107" i="9"/>
  <c r="AM106" i="9"/>
  <c r="AL106" i="9"/>
  <c r="AN101" i="9"/>
  <c r="AM101" i="9"/>
  <c r="AL101" i="9"/>
  <c r="AM97" i="9"/>
  <c r="AM105" i="9"/>
  <c r="AL97" i="9"/>
  <c r="AL105" i="9"/>
  <c r="AM32" i="9"/>
  <c r="AL32" i="9"/>
  <c r="AM31" i="9"/>
  <c r="AL31" i="9"/>
  <c r="AM30" i="9"/>
  <c r="AL30" i="9"/>
  <c r="AM29" i="9"/>
  <c r="AL29" i="9"/>
  <c r="AM28" i="9"/>
  <c r="AL28" i="9"/>
  <c r="AM27" i="9"/>
  <c r="AL27" i="9"/>
  <c r="AN22" i="9"/>
  <c r="AN20" i="9"/>
  <c r="AN19" i="9"/>
  <c r="AN18" i="9"/>
  <c r="AN17" i="9"/>
  <c r="AN16" i="9"/>
  <c r="AN15" i="9"/>
  <c r="AN14" i="9"/>
  <c r="AN12" i="9"/>
  <c r="AN32" i="9"/>
  <c r="AN11" i="9"/>
  <c r="AN31" i="9"/>
  <c r="AN10" i="9"/>
  <c r="AN30" i="9"/>
  <c r="AN9" i="9"/>
  <c r="AN29" i="9"/>
  <c r="AN8" i="9"/>
  <c r="AN28" i="9"/>
  <c r="AN7" i="9"/>
  <c r="AM6" i="9"/>
  <c r="AL6" i="9"/>
  <c r="AJ107" i="9"/>
  <c r="AI107" i="9"/>
  <c r="AJ106" i="9"/>
  <c r="AI106" i="9"/>
  <c r="AK101" i="9"/>
  <c r="AJ101" i="9"/>
  <c r="AI101" i="9"/>
  <c r="AJ97" i="9"/>
  <c r="AJ105" i="9"/>
  <c r="AI97" i="9"/>
  <c r="AI105" i="9"/>
  <c r="AJ32" i="9"/>
  <c r="AI32" i="9"/>
  <c r="AJ31" i="9"/>
  <c r="AI31" i="9"/>
  <c r="AJ30" i="9"/>
  <c r="AI30" i="9"/>
  <c r="AJ29" i="9"/>
  <c r="AI29" i="9"/>
  <c r="AJ28" i="9"/>
  <c r="AI28" i="9"/>
  <c r="AJ27" i="9"/>
  <c r="AI27" i="9"/>
  <c r="AK22" i="9"/>
  <c r="AK20" i="9"/>
  <c r="AK19" i="9"/>
  <c r="AK18" i="9"/>
  <c r="AK17" i="9"/>
  <c r="AK16" i="9"/>
  <c r="AK15" i="9"/>
  <c r="AK14" i="9"/>
  <c r="AK12" i="9"/>
  <c r="AK11" i="9"/>
  <c r="AK10" i="9"/>
  <c r="AK9" i="9"/>
  <c r="AK8" i="9"/>
  <c r="AK7" i="9"/>
  <c r="AJ6" i="9"/>
  <c r="AI6" i="9"/>
  <c r="AG107" i="9"/>
  <c r="AF107" i="9"/>
  <c r="AG106" i="9"/>
  <c r="AF106" i="9"/>
  <c r="AH101" i="9"/>
  <c r="AG101" i="9"/>
  <c r="AF101" i="9"/>
  <c r="AG97" i="9"/>
  <c r="AG105" i="9"/>
  <c r="AF97" i="9"/>
  <c r="AF105" i="9"/>
  <c r="AG32" i="9"/>
  <c r="AF32" i="9"/>
  <c r="AG31" i="9"/>
  <c r="AF31" i="9"/>
  <c r="AG30" i="9"/>
  <c r="AF30" i="9"/>
  <c r="AG29" i="9"/>
  <c r="AF29" i="9"/>
  <c r="AG28" i="9"/>
  <c r="AF28" i="9"/>
  <c r="AG27" i="9"/>
  <c r="AF27" i="9"/>
  <c r="AH22" i="9"/>
  <c r="AH20" i="9"/>
  <c r="AH19" i="9"/>
  <c r="AH18" i="9"/>
  <c r="AH17" i="9"/>
  <c r="AH16" i="9"/>
  <c r="AH15" i="9"/>
  <c r="AH14" i="9"/>
  <c r="AH12" i="9"/>
  <c r="AH32" i="9"/>
  <c r="AH11" i="9"/>
  <c r="AH31" i="9"/>
  <c r="AH10" i="9"/>
  <c r="AH30" i="9"/>
  <c r="AH9" i="9"/>
  <c r="AH29" i="9"/>
  <c r="AH8" i="9"/>
  <c r="AH28" i="9"/>
  <c r="AH7" i="9"/>
  <c r="AH27" i="9"/>
  <c r="AH6" i="9"/>
  <c r="AG6" i="9"/>
  <c r="AF6" i="9"/>
  <c r="AD107" i="9"/>
  <c r="AC107" i="9"/>
  <c r="AD106" i="9"/>
  <c r="AC106" i="9"/>
  <c r="AE101" i="9"/>
  <c r="AD101" i="9"/>
  <c r="AC101" i="9"/>
  <c r="AD97" i="9"/>
  <c r="AD105" i="9"/>
  <c r="AC97" i="9"/>
  <c r="AC105" i="9"/>
  <c r="AD32" i="9"/>
  <c r="AC32" i="9"/>
  <c r="AD31" i="9"/>
  <c r="AC31" i="9"/>
  <c r="AD30" i="9"/>
  <c r="AC30" i="9"/>
  <c r="AD29" i="9"/>
  <c r="AC29" i="9"/>
  <c r="AD28" i="9"/>
  <c r="AC28" i="9"/>
  <c r="AD27" i="9"/>
  <c r="AC27" i="9"/>
  <c r="AE22" i="9"/>
  <c r="AE20" i="9"/>
  <c r="AE19" i="9"/>
  <c r="AE18" i="9"/>
  <c r="AE17" i="9"/>
  <c r="AE16" i="9"/>
  <c r="AE15" i="9"/>
  <c r="AE14" i="9"/>
  <c r="AE12" i="9"/>
  <c r="AE32" i="9"/>
  <c r="AE11" i="9"/>
  <c r="AE31" i="9"/>
  <c r="AE10" i="9"/>
  <c r="AE30" i="9"/>
  <c r="AE9" i="9"/>
  <c r="AE29" i="9"/>
  <c r="AE8" i="9"/>
  <c r="AE28" i="9"/>
  <c r="AE7" i="9"/>
  <c r="AE27" i="9"/>
  <c r="AE6" i="9"/>
  <c r="AD6" i="9"/>
  <c r="AC6" i="9"/>
  <c r="AA107" i="9"/>
  <c r="Z107" i="9"/>
  <c r="AA106" i="9"/>
  <c r="Z106" i="9"/>
  <c r="AB101" i="9"/>
  <c r="AA101" i="9"/>
  <c r="Z101" i="9"/>
  <c r="AA97" i="9"/>
  <c r="AA105" i="9"/>
  <c r="Z97" i="9"/>
  <c r="Z105" i="9"/>
  <c r="AA32" i="9"/>
  <c r="Z32" i="9"/>
  <c r="AA31" i="9"/>
  <c r="Z31" i="9"/>
  <c r="AA30" i="9"/>
  <c r="Z30" i="9"/>
  <c r="AA29" i="9"/>
  <c r="Z29" i="9"/>
  <c r="AA28" i="9"/>
  <c r="Z28" i="9"/>
  <c r="AA27" i="9"/>
  <c r="Z27" i="9"/>
  <c r="AB22" i="9"/>
  <c r="AB20" i="9"/>
  <c r="AB19" i="9"/>
  <c r="AB18" i="9"/>
  <c r="AB17" i="9"/>
  <c r="AB16" i="9"/>
  <c r="AB15" i="9"/>
  <c r="AB14" i="9"/>
  <c r="AB12" i="9"/>
  <c r="AB32" i="9"/>
  <c r="AB11" i="9"/>
  <c r="AB31" i="9"/>
  <c r="AB10" i="9"/>
  <c r="AB30" i="9"/>
  <c r="AB9" i="9"/>
  <c r="AB29" i="9"/>
  <c r="AB8" i="9"/>
  <c r="AB28" i="9"/>
  <c r="AB7" i="9"/>
  <c r="AB27" i="9"/>
  <c r="AB6" i="9"/>
  <c r="AA6" i="9"/>
  <c r="Z6" i="9"/>
  <c r="X107" i="9"/>
  <c r="W107" i="9"/>
  <c r="X106" i="9"/>
  <c r="W106" i="9"/>
  <c r="Y101" i="9"/>
  <c r="X101" i="9"/>
  <c r="W101" i="9"/>
  <c r="X97" i="9"/>
  <c r="X105" i="9"/>
  <c r="W97" i="9"/>
  <c r="W105" i="9"/>
  <c r="X32" i="9"/>
  <c r="W32" i="9"/>
  <c r="X31" i="9"/>
  <c r="W31" i="9"/>
  <c r="X30" i="9"/>
  <c r="W30" i="9"/>
  <c r="X29" i="9"/>
  <c r="W29" i="9"/>
  <c r="X28" i="9"/>
  <c r="W28" i="9"/>
  <c r="X27" i="9"/>
  <c r="W27" i="9"/>
  <c r="Y22" i="9"/>
  <c r="Y20" i="9"/>
  <c r="Y19" i="9"/>
  <c r="Y18" i="9"/>
  <c r="Y17" i="9"/>
  <c r="Y16" i="9"/>
  <c r="Y15" i="9"/>
  <c r="Y14" i="9"/>
  <c r="Y12" i="9"/>
  <c r="Y32" i="9"/>
  <c r="Y11" i="9"/>
  <c r="Y31" i="9"/>
  <c r="Y10" i="9"/>
  <c r="Y30" i="9"/>
  <c r="Y9" i="9"/>
  <c r="Y29" i="9"/>
  <c r="Y8" i="9"/>
  <c r="Y28" i="9"/>
  <c r="Y7" i="9"/>
  <c r="X6" i="9"/>
  <c r="W6" i="9"/>
  <c r="U107" i="9"/>
  <c r="T107" i="9"/>
  <c r="U106" i="9"/>
  <c r="T106" i="9"/>
  <c r="V101" i="9"/>
  <c r="U101" i="9"/>
  <c r="T101" i="9"/>
  <c r="U97" i="9"/>
  <c r="U105" i="9"/>
  <c r="T97" i="9"/>
  <c r="T105" i="9"/>
  <c r="U32" i="9"/>
  <c r="T32" i="9"/>
  <c r="U31" i="9"/>
  <c r="T31" i="9"/>
  <c r="U30" i="9"/>
  <c r="T30" i="9"/>
  <c r="U29" i="9"/>
  <c r="T29" i="9"/>
  <c r="U28" i="9"/>
  <c r="T28" i="9"/>
  <c r="U27" i="9"/>
  <c r="T27" i="9"/>
  <c r="V22" i="9"/>
  <c r="V20" i="9"/>
  <c r="V19" i="9"/>
  <c r="V18" i="9"/>
  <c r="V17" i="9"/>
  <c r="V16" i="9"/>
  <c r="V15" i="9"/>
  <c r="V14" i="9"/>
  <c r="V12" i="9"/>
  <c r="V32" i="9"/>
  <c r="V11" i="9"/>
  <c r="V31" i="9"/>
  <c r="V10" i="9"/>
  <c r="V30" i="9"/>
  <c r="V9" i="9"/>
  <c r="V29" i="9"/>
  <c r="V8" i="9"/>
  <c r="V28" i="9"/>
  <c r="V7" i="9"/>
  <c r="U6" i="9"/>
  <c r="T6" i="9"/>
  <c r="R107" i="9"/>
  <c r="Q107" i="9"/>
  <c r="R106" i="9"/>
  <c r="Q106" i="9"/>
  <c r="S101" i="9"/>
  <c r="R101" i="9"/>
  <c r="Q101" i="9"/>
  <c r="R97" i="9"/>
  <c r="Q97" i="9"/>
  <c r="R32" i="9"/>
  <c r="Q32" i="9"/>
  <c r="R31" i="9"/>
  <c r="Q31" i="9"/>
  <c r="R30" i="9"/>
  <c r="Q30" i="9"/>
  <c r="R29" i="9"/>
  <c r="Q29" i="9"/>
  <c r="R28" i="9"/>
  <c r="Q28" i="9"/>
  <c r="R27" i="9"/>
  <c r="Q27" i="9"/>
  <c r="S22" i="9"/>
  <c r="S20" i="9"/>
  <c r="S19" i="9"/>
  <c r="S18" i="9"/>
  <c r="S17" i="9"/>
  <c r="S16" i="9"/>
  <c r="S15" i="9"/>
  <c r="S14" i="9"/>
  <c r="S12" i="9"/>
  <c r="S11" i="9"/>
  <c r="S10" i="9"/>
  <c r="S9" i="9"/>
  <c r="S8" i="9"/>
  <c r="S7" i="9"/>
  <c r="R6" i="9"/>
  <c r="Q6" i="9"/>
  <c r="O107" i="9"/>
  <c r="N107" i="9"/>
  <c r="O106" i="9"/>
  <c r="N106" i="9"/>
  <c r="P101" i="9"/>
  <c r="O101" i="9"/>
  <c r="N101" i="9"/>
  <c r="O97" i="9"/>
  <c r="O105" i="9"/>
  <c r="N97" i="9"/>
  <c r="N105" i="9"/>
  <c r="O32" i="9"/>
  <c r="N32" i="9"/>
  <c r="O31" i="9"/>
  <c r="N31" i="9"/>
  <c r="O30" i="9"/>
  <c r="N30" i="9"/>
  <c r="O29" i="9"/>
  <c r="N29" i="9"/>
  <c r="O28" i="9"/>
  <c r="N28" i="9"/>
  <c r="O27" i="9"/>
  <c r="N27" i="9"/>
  <c r="P22" i="9"/>
  <c r="P20" i="9"/>
  <c r="P19" i="9"/>
  <c r="P18" i="9"/>
  <c r="P17" i="9"/>
  <c r="P16" i="9"/>
  <c r="P15" i="9"/>
  <c r="P14" i="9"/>
  <c r="P12" i="9"/>
  <c r="P32" i="9"/>
  <c r="P11" i="9"/>
  <c r="P10" i="9"/>
  <c r="P30" i="9"/>
  <c r="P9" i="9"/>
  <c r="P29" i="9"/>
  <c r="P8" i="9"/>
  <c r="P28" i="9"/>
  <c r="P7" i="9"/>
  <c r="O6" i="9"/>
  <c r="N6" i="9"/>
  <c r="L107" i="9"/>
  <c r="K107" i="9"/>
  <c r="L106" i="9"/>
  <c r="K106" i="9"/>
  <c r="M101" i="9"/>
  <c r="L101" i="9"/>
  <c r="K101" i="9"/>
  <c r="L97" i="9"/>
  <c r="K97" i="9"/>
  <c r="L32" i="9"/>
  <c r="K32" i="9"/>
  <c r="L31" i="9"/>
  <c r="K31" i="9"/>
  <c r="L30" i="9"/>
  <c r="K30" i="9"/>
  <c r="L29" i="9"/>
  <c r="K29" i="9"/>
  <c r="L28" i="9"/>
  <c r="K28" i="9"/>
  <c r="L27" i="9"/>
  <c r="K27" i="9"/>
  <c r="M22" i="9"/>
  <c r="M20" i="9"/>
  <c r="M19" i="9"/>
  <c r="M18" i="9"/>
  <c r="M17" i="9"/>
  <c r="M16" i="9"/>
  <c r="M15" i="9"/>
  <c r="M14" i="9"/>
  <c r="M12" i="9"/>
  <c r="M32" i="9"/>
  <c r="M11" i="9"/>
  <c r="M31" i="9"/>
  <c r="M10" i="9"/>
  <c r="M30" i="9"/>
  <c r="M9" i="9"/>
  <c r="M29" i="9"/>
  <c r="M8" i="9"/>
  <c r="M28" i="9"/>
  <c r="M7" i="9"/>
  <c r="L6" i="9"/>
  <c r="K6" i="9"/>
  <c r="F107" i="9"/>
  <c r="E107" i="9"/>
  <c r="F106" i="9"/>
  <c r="E106" i="9"/>
  <c r="G101" i="9"/>
  <c r="F101" i="9"/>
  <c r="E101" i="9"/>
  <c r="F97" i="9"/>
  <c r="F105" i="9"/>
  <c r="E97" i="9"/>
  <c r="E105" i="9"/>
  <c r="F32" i="9"/>
  <c r="E32" i="9"/>
  <c r="F31" i="9"/>
  <c r="E31" i="9"/>
  <c r="F30" i="9"/>
  <c r="E30" i="9"/>
  <c r="F29" i="9"/>
  <c r="E29" i="9"/>
  <c r="F28" i="9"/>
  <c r="E28" i="9"/>
  <c r="F27" i="9"/>
  <c r="E27" i="9"/>
  <c r="G22" i="9"/>
  <c r="G20" i="9"/>
  <c r="G19" i="9"/>
  <c r="G18" i="9"/>
  <c r="G17" i="9"/>
  <c r="G16" i="9"/>
  <c r="G15" i="9"/>
  <c r="G14" i="9"/>
  <c r="G12" i="9"/>
  <c r="G32" i="9"/>
  <c r="G11" i="9"/>
  <c r="G31" i="9"/>
  <c r="G10" i="9"/>
  <c r="G30" i="9"/>
  <c r="G9" i="9"/>
  <c r="G29" i="9"/>
  <c r="G8" i="9"/>
  <c r="G28" i="9"/>
  <c r="G7" i="9"/>
  <c r="F6" i="9"/>
  <c r="E6" i="9"/>
  <c r="H12" i="27"/>
  <c r="G11" i="27"/>
  <c r="F11" i="27"/>
  <c r="E11" i="27"/>
  <c r="D11" i="27"/>
  <c r="H9" i="27"/>
  <c r="H6" i="27" s="1"/>
  <c r="BS12" i="27"/>
  <c r="BS11" i="27" s="1"/>
  <c r="BR12" i="27"/>
  <c r="BS9" i="27"/>
  <c r="BS6" i="27" s="1"/>
  <c r="BR9" i="27"/>
  <c r="BR6" i="27" s="1"/>
  <c r="BP12" i="27"/>
  <c r="BO11" i="27"/>
  <c r="BN11" i="27"/>
  <c r="BM11" i="27"/>
  <c r="BL11" i="27"/>
  <c r="BP9" i="27"/>
  <c r="BK12" i="27"/>
  <c r="BK11" i="27" s="1"/>
  <c r="BJ11" i="27"/>
  <c r="BI11" i="27"/>
  <c r="BH11" i="27"/>
  <c r="BG11" i="27"/>
  <c r="BK9" i="27"/>
  <c r="BF12" i="27"/>
  <c r="BE11" i="27"/>
  <c r="BD11" i="27"/>
  <c r="BC11" i="27"/>
  <c r="BB11" i="27"/>
  <c r="BF9" i="27"/>
  <c r="BF6" i="27" s="1"/>
  <c r="BA12" i="27"/>
  <c r="AZ11" i="27"/>
  <c r="AY11" i="27"/>
  <c r="AX11" i="27"/>
  <c r="AW11" i="27"/>
  <c r="BA9" i="27"/>
  <c r="AV12" i="27"/>
  <c r="AV11" i="27" s="1"/>
  <c r="AU11" i="27"/>
  <c r="AT11" i="27"/>
  <c r="AS11" i="27"/>
  <c r="AR11" i="27"/>
  <c r="AV9" i="27"/>
  <c r="AV6" i="27"/>
  <c r="AQ12" i="27"/>
  <c r="AP11" i="27"/>
  <c r="AO11" i="27"/>
  <c r="AN11" i="27"/>
  <c r="AM11" i="27"/>
  <c r="AQ9" i="27"/>
  <c r="AL12" i="27"/>
  <c r="AL11" i="27" s="1"/>
  <c r="AK11" i="27"/>
  <c r="AJ11" i="27"/>
  <c r="AI11" i="27"/>
  <c r="AH11" i="27"/>
  <c r="AL9" i="27"/>
  <c r="AL6" i="27"/>
  <c r="AG11" i="27"/>
  <c r="AG12" i="27"/>
  <c r="AF11" i="27"/>
  <c r="AE11" i="27"/>
  <c r="AD11" i="27"/>
  <c r="AC11" i="27"/>
  <c r="AG9" i="27"/>
  <c r="AG6" i="27"/>
  <c r="AB12" i="27"/>
  <c r="AA11" i="27"/>
  <c r="Z11" i="27"/>
  <c r="Y11" i="27"/>
  <c r="X11" i="27"/>
  <c r="AB9" i="27"/>
  <c r="W12" i="27"/>
  <c r="V11" i="27"/>
  <c r="U11" i="27"/>
  <c r="T11" i="27"/>
  <c r="S11" i="27"/>
  <c r="W9" i="27"/>
  <c r="W6" i="27"/>
  <c r="R19" i="27"/>
  <c r="R12" i="27"/>
  <c r="Q11" i="27"/>
  <c r="P11" i="27"/>
  <c r="O11" i="27"/>
  <c r="N11" i="27"/>
  <c r="R9" i="27"/>
  <c r="BS14" i="27"/>
  <c r="M19" i="27"/>
  <c r="BT12" i="27"/>
  <c r="BT11" i="27"/>
  <c r="BQ12" i="27"/>
  <c r="BU12" i="27" s="1"/>
  <c r="BU11" i="27" s="1"/>
  <c r="M12" i="27"/>
  <c r="L11" i="27"/>
  <c r="K11" i="27"/>
  <c r="J11" i="27"/>
  <c r="I11" i="27"/>
  <c r="BT9" i="27"/>
  <c r="BT6" i="27"/>
  <c r="BQ9" i="27"/>
  <c r="BU9" i="27" s="1"/>
  <c r="BU6" i="27" s="1"/>
  <c r="BQ6" i="27"/>
  <c r="M9" i="27"/>
  <c r="M6" i="27"/>
  <c r="E22" i="8"/>
  <c r="E21" i="8"/>
  <c r="E16" i="8"/>
  <c r="E14" i="8"/>
  <c r="E13" i="8"/>
  <c r="E8" i="8"/>
  <c r="E12" i="8" s="1"/>
  <c r="AX18" i="8"/>
  <c r="AX17" i="8"/>
  <c r="AX10" i="8"/>
  <c r="AX9" i="8"/>
  <c r="AW12" i="8"/>
  <c r="AW22" i="8"/>
  <c r="AV22" i="8"/>
  <c r="AU22" i="8"/>
  <c r="AT22" i="8"/>
  <c r="AW21" i="8"/>
  <c r="AV21" i="8"/>
  <c r="AU21" i="8"/>
  <c r="AT21" i="8"/>
  <c r="AW16" i="8"/>
  <c r="AV16" i="8"/>
  <c r="AU16" i="8"/>
  <c r="AU20" i="8" s="1"/>
  <c r="AT16" i="8"/>
  <c r="AT20" i="8" s="1"/>
  <c r="AW14" i="8"/>
  <c r="AV14" i="8"/>
  <c r="AU14" i="8"/>
  <c r="AT14" i="8"/>
  <c r="AW13" i="8"/>
  <c r="AV13" i="8"/>
  <c r="AU13" i="8"/>
  <c r="AT13" i="8"/>
  <c r="AW8" i="8"/>
  <c r="AV8" i="8"/>
  <c r="AU8" i="8"/>
  <c r="AU12" i="8"/>
  <c r="AT8" i="8"/>
  <c r="FG14" i="27"/>
  <c r="FG12" i="27"/>
  <c r="FF11" i="27"/>
  <c r="FE11" i="27"/>
  <c r="FD11" i="27"/>
  <c r="FC11" i="27"/>
  <c r="FG9" i="27"/>
  <c r="FG6" i="27" s="1"/>
  <c r="FB12" i="27"/>
  <c r="FB11" i="27" s="1"/>
  <c r="FA11" i="27"/>
  <c r="EZ11" i="27"/>
  <c r="EY11" i="27"/>
  <c r="EX11" i="27"/>
  <c r="FB9" i="27"/>
  <c r="FB6" i="27"/>
  <c r="EW12" i="27"/>
  <c r="EV11" i="27"/>
  <c r="EU11" i="27"/>
  <c r="ET11" i="27"/>
  <c r="ES11" i="27"/>
  <c r="EW9" i="27"/>
  <c r="EW6" i="27" s="1"/>
  <c r="ER12" i="27"/>
  <c r="EQ11" i="27"/>
  <c r="EP11" i="27"/>
  <c r="EO11" i="27"/>
  <c r="EN11" i="27"/>
  <c r="ER9" i="27"/>
  <c r="ER6" i="27"/>
  <c r="AS22" i="8"/>
  <c r="AS21" i="8"/>
  <c r="AS16" i="8"/>
  <c r="AS20" i="8" s="1"/>
  <c r="AS14" i="8"/>
  <c r="AS13" i="8"/>
  <c r="AS8" i="8"/>
  <c r="R18" i="8"/>
  <c r="R17" i="8"/>
  <c r="R16" i="8"/>
  <c r="R10" i="8"/>
  <c r="R9" i="8"/>
  <c r="R13" i="8" s="1"/>
  <c r="P20" i="8"/>
  <c r="L12" i="8"/>
  <c r="I20" i="8"/>
  <c r="Q22" i="8"/>
  <c r="P22" i="8"/>
  <c r="O22" i="8"/>
  <c r="N22" i="8"/>
  <c r="M22" i="8"/>
  <c r="L22" i="8"/>
  <c r="K22" i="8"/>
  <c r="J22" i="8"/>
  <c r="I22" i="8"/>
  <c r="H22" i="8"/>
  <c r="G22" i="8"/>
  <c r="F22" i="8"/>
  <c r="Q21" i="8"/>
  <c r="P21" i="8"/>
  <c r="O21" i="8"/>
  <c r="N21" i="8"/>
  <c r="M21" i="8"/>
  <c r="L21" i="8"/>
  <c r="K21" i="8"/>
  <c r="J21" i="8"/>
  <c r="I21" i="8"/>
  <c r="H21" i="8"/>
  <c r="G21" i="8"/>
  <c r="F21" i="8"/>
  <c r="Q16" i="8"/>
  <c r="P16" i="8"/>
  <c r="O16" i="8"/>
  <c r="N16" i="8"/>
  <c r="M16" i="8"/>
  <c r="L16" i="8"/>
  <c r="K16" i="8"/>
  <c r="K20" i="8" s="1"/>
  <c r="J16" i="8"/>
  <c r="I16" i="8"/>
  <c r="H16" i="8"/>
  <c r="H20" i="8" s="1"/>
  <c r="G16" i="8"/>
  <c r="G20" i="8" s="1"/>
  <c r="F16" i="8"/>
  <c r="Q14" i="8"/>
  <c r="P14" i="8"/>
  <c r="O14" i="8"/>
  <c r="N14" i="8"/>
  <c r="M14" i="8"/>
  <c r="L14" i="8"/>
  <c r="K14" i="8"/>
  <c r="J14" i="8"/>
  <c r="I14" i="8"/>
  <c r="H14" i="8"/>
  <c r="G14" i="8"/>
  <c r="F14" i="8"/>
  <c r="Q13" i="8"/>
  <c r="P13" i="8"/>
  <c r="O13" i="8"/>
  <c r="N13" i="8"/>
  <c r="M13" i="8"/>
  <c r="L13" i="8"/>
  <c r="K13" i="8"/>
  <c r="J13" i="8"/>
  <c r="I13" i="8"/>
  <c r="H13" i="8"/>
  <c r="G13" i="8"/>
  <c r="F13" i="8"/>
  <c r="Q8" i="8"/>
  <c r="P8" i="8"/>
  <c r="O8" i="8"/>
  <c r="N8" i="8"/>
  <c r="M8" i="8"/>
  <c r="L8" i="8"/>
  <c r="K8" i="8"/>
  <c r="K12" i="8" s="1"/>
  <c r="J8" i="8"/>
  <c r="J12" i="8" s="1"/>
  <c r="I8" i="8"/>
  <c r="I12" i="8" s="1"/>
  <c r="H8" i="8"/>
  <c r="H12" i="8" s="1"/>
  <c r="G8" i="8"/>
  <c r="F8" i="8"/>
  <c r="F12" i="8" s="1"/>
  <c r="AD22" i="8"/>
  <c r="AC22" i="8"/>
  <c r="AB22" i="8"/>
  <c r="AA22" i="8"/>
  <c r="Z22" i="8"/>
  <c r="Y22" i="8"/>
  <c r="X22" i="8"/>
  <c r="W22" i="8"/>
  <c r="V22" i="8"/>
  <c r="U22" i="8"/>
  <c r="T22" i="8"/>
  <c r="S22" i="8"/>
  <c r="AD21" i="8"/>
  <c r="AC21" i="8"/>
  <c r="AB21" i="8"/>
  <c r="AA21" i="8"/>
  <c r="Z21" i="8"/>
  <c r="Y21" i="8"/>
  <c r="X21" i="8"/>
  <c r="W21" i="8"/>
  <c r="V21" i="8"/>
  <c r="U21" i="8"/>
  <c r="T21" i="8"/>
  <c r="S21" i="8"/>
  <c r="AD16" i="8"/>
  <c r="AD20" i="8" s="1"/>
  <c r="AC16" i="8"/>
  <c r="AC20" i="8" s="1"/>
  <c r="AB16" i="8"/>
  <c r="AB20" i="8" s="1"/>
  <c r="AA16" i="8"/>
  <c r="Z16" i="8"/>
  <c r="Z20" i="8" s="1"/>
  <c r="Y16" i="8"/>
  <c r="X16" i="8"/>
  <c r="W16" i="8"/>
  <c r="V16" i="8"/>
  <c r="U16" i="8"/>
  <c r="T16" i="8"/>
  <c r="S16" i="8"/>
  <c r="S20" i="8" s="1"/>
  <c r="AD14" i="8"/>
  <c r="AC14" i="8"/>
  <c r="AB14" i="8"/>
  <c r="AA14" i="8"/>
  <c r="Z14" i="8"/>
  <c r="Y14" i="8"/>
  <c r="X14" i="8"/>
  <c r="W14" i="8"/>
  <c r="V14" i="8"/>
  <c r="U14" i="8"/>
  <c r="T14" i="8"/>
  <c r="S14" i="8"/>
  <c r="AD13" i="8"/>
  <c r="AC13" i="8"/>
  <c r="AB13" i="8"/>
  <c r="AA13" i="8"/>
  <c r="Z13" i="8"/>
  <c r="Y13" i="8"/>
  <c r="X13" i="8"/>
  <c r="W13" i="8"/>
  <c r="V13" i="8"/>
  <c r="U13" i="8"/>
  <c r="T13" i="8"/>
  <c r="S13" i="8"/>
  <c r="AD8" i="8"/>
  <c r="AC8" i="8"/>
  <c r="AB8" i="8"/>
  <c r="AA8" i="8"/>
  <c r="Z8" i="8"/>
  <c r="Z12" i="8" s="1"/>
  <c r="Y8" i="8"/>
  <c r="Y12" i="8" s="1"/>
  <c r="X8" i="8"/>
  <c r="W8" i="8"/>
  <c r="V8" i="8"/>
  <c r="U8" i="8"/>
  <c r="T8" i="8"/>
  <c r="S8" i="8"/>
  <c r="S12" i="8" s="1"/>
  <c r="AC42" i="19"/>
  <c r="AC43" i="19"/>
  <c r="AC36" i="19"/>
  <c r="AC35" i="19"/>
  <c r="AC34" i="19"/>
  <c r="AC33" i="19" s="1"/>
  <c r="AC27" i="19"/>
  <c r="AC25" i="19" s="1"/>
  <c r="AC30" i="19" s="1"/>
  <c r="AC28" i="19"/>
  <c r="AC26" i="19"/>
  <c r="AC23" i="19"/>
  <c r="Q22" i="19"/>
  <c r="Q20" i="19"/>
  <c r="B9" i="28"/>
  <c r="V12" i="24"/>
  <c r="U12" i="24"/>
  <c r="T12" i="24"/>
  <c r="S12" i="24"/>
  <c r="R12" i="24"/>
  <c r="V8" i="24"/>
  <c r="V21" i="24"/>
  <c r="U8" i="24"/>
  <c r="U21" i="24"/>
  <c r="T8" i="24"/>
  <c r="T21" i="24"/>
  <c r="S8" i="24"/>
  <c r="S21" i="24"/>
  <c r="R8" i="24"/>
  <c r="R21" i="24"/>
  <c r="EM12" i="27"/>
  <c r="EL11" i="27"/>
  <c r="EK11" i="27"/>
  <c r="EJ11" i="27"/>
  <c r="EI11" i="27"/>
  <c r="EM9" i="27"/>
  <c r="EM6" i="27"/>
  <c r="EC19" i="27"/>
  <c r="DI14" i="27"/>
  <c r="DC11" i="27"/>
  <c r="CQ11" i="27"/>
  <c r="EC12" i="27"/>
  <c r="EB11" i="27"/>
  <c r="EA11" i="27"/>
  <c r="DZ11" i="27"/>
  <c r="DY11" i="27"/>
  <c r="EC9" i="27"/>
  <c r="EC6" i="27"/>
  <c r="DX12" i="27"/>
  <c r="DX11" i="27"/>
  <c r="DW11" i="27"/>
  <c r="DV11" i="27"/>
  <c r="DU11" i="27"/>
  <c r="DT11" i="27"/>
  <c r="DX9" i="27"/>
  <c r="DS12" i="27"/>
  <c r="DR11" i="27"/>
  <c r="DQ11" i="27"/>
  <c r="DP11" i="27"/>
  <c r="DO11" i="27"/>
  <c r="DS9" i="27"/>
  <c r="DS6" i="27" s="1"/>
  <c r="DN12" i="27"/>
  <c r="DM11" i="27"/>
  <c r="DL11" i="27"/>
  <c r="DK11" i="27"/>
  <c r="DJ11" i="27"/>
  <c r="DN9" i="27"/>
  <c r="DI12" i="27"/>
  <c r="DH11" i="27"/>
  <c r="DG11" i="27"/>
  <c r="DF11" i="27"/>
  <c r="DE11" i="27"/>
  <c r="DI9" i="27"/>
  <c r="DI6" i="27"/>
  <c r="DD12" i="27"/>
  <c r="DB11" i="27"/>
  <c r="DA11" i="27"/>
  <c r="DD9" i="27"/>
  <c r="DD6" i="27"/>
  <c r="CY14" i="27"/>
  <c r="CY12" i="27"/>
  <c r="CX11" i="27"/>
  <c r="CW11" i="27"/>
  <c r="CV11" i="27"/>
  <c r="CU11" i="27"/>
  <c r="CY9" i="27"/>
  <c r="CT12" i="27"/>
  <c r="CS11" i="27"/>
  <c r="CR11" i="27"/>
  <c r="CT9" i="27"/>
  <c r="CT6" i="27"/>
  <c r="CO12" i="27"/>
  <c r="CN11" i="27"/>
  <c r="CM11" i="27"/>
  <c r="CL11" i="27"/>
  <c r="CK11" i="27"/>
  <c r="CO9" i="27"/>
  <c r="CJ12" i="27"/>
  <c r="CI11" i="27"/>
  <c r="CH11" i="27"/>
  <c r="CG11" i="27"/>
  <c r="CF11" i="27"/>
  <c r="CJ9" i="27"/>
  <c r="CE14" i="27"/>
  <c r="CE12" i="27"/>
  <c r="CD11" i="27"/>
  <c r="CC11" i="27"/>
  <c r="CB11" i="27"/>
  <c r="CA11" i="27"/>
  <c r="CE9" i="27"/>
  <c r="CE6" i="27"/>
  <c r="BY11" i="27"/>
  <c r="BX11" i="27"/>
  <c r="BW11" i="27"/>
  <c r="AE18" i="8"/>
  <c r="AE17" i="8"/>
  <c r="AE16" i="8"/>
  <c r="AE10" i="8"/>
  <c r="AE9" i="8"/>
  <c r="DP107" i="9"/>
  <c r="DO107" i="9"/>
  <c r="DP106" i="9"/>
  <c r="DO106" i="9"/>
  <c r="DP101" i="9"/>
  <c r="DO101" i="9"/>
  <c r="DQ107" i="9"/>
  <c r="DP97" i="9"/>
  <c r="DO97" i="9"/>
  <c r="DP32" i="9"/>
  <c r="DO32" i="9"/>
  <c r="DP31" i="9"/>
  <c r="DO31" i="9"/>
  <c r="DP30" i="9"/>
  <c r="DO30" i="9"/>
  <c r="DP29" i="9"/>
  <c r="DO29" i="9"/>
  <c r="DP28" i="9"/>
  <c r="DO28" i="9"/>
  <c r="DP27" i="9"/>
  <c r="DO27" i="9"/>
  <c r="DQ22" i="9"/>
  <c r="DQ20" i="9"/>
  <c r="DQ19" i="9"/>
  <c r="DQ18" i="9"/>
  <c r="DQ17" i="9"/>
  <c r="DQ16" i="9"/>
  <c r="DQ15" i="9"/>
  <c r="DQ14" i="9"/>
  <c r="DQ12" i="9"/>
  <c r="DQ11" i="9"/>
  <c r="DQ10" i="9"/>
  <c r="DQ9" i="9"/>
  <c r="DQ29" i="9"/>
  <c r="DQ8" i="9"/>
  <c r="DQ7" i="9"/>
  <c r="DP6" i="9"/>
  <c r="DO6" i="9"/>
  <c r="DO24" i="9"/>
  <c r="DM107" i="9"/>
  <c r="DL107" i="9"/>
  <c r="DM106" i="9"/>
  <c r="DL106" i="9"/>
  <c r="DM101" i="9"/>
  <c r="DL101" i="9"/>
  <c r="DM97" i="9"/>
  <c r="DL97" i="9"/>
  <c r="DM32" i="9"/>
  <c r="DL32" i="9"/>
  <c r="DM31" i="9"/>
  <c r="DL31" i="9"/>
  <c r="DM30" i="9"/>
  <c r="DL30" i="9"/>
  <c r="DM29" i="9"/>
  <c r="DL29" i="9"/>
  <c r="DM28" i="9"/>
  <c r="DL28" i="9"/>
  <c r="DM27" i="9"/>
  <c r="DL27" i="9"/>
  <c r="DN22" i="9"/>
  <c r="DN20" i="9"/>
  <c r="DN19" i="9"/>
  <c r="DN18" i="9"/>
  <c r="DN17" i="9"/>
  <c r="DN16" i="9"/>
  <c r="DN15" i="9"/>
  <c r="DN14" i="9"/>
  <c r="DN12" i="9"/>
  <c r="DN11" i="9"/>
  <c r="DN10" i="9"/>
  <c r="DN9" i="9"/>
  <c r="DN29" i="9"/>
  <c r="DN8" i="9"/>
  <c r="DN7" i="9"/>
  <c r="DM6" i="9"/>
  <c r="DM24" i="9"/>
  <c r="DL6" i="9"/>
  <c r="DL24" i="9"/>
  <c r="DJ107" i="9"/>
  <c r="DI107" i="9"/>
  <c r="DJ106" i="9"/>
  <c r="DI106" i="9"/>
  <c r="DJ101" i="9"/>
  <c r="DI101" i="9"/>
  <c r="DJ97" i="9"/>
  <c r="DI97" i="9"/>
  <c r="DJ32" i="9"/>
  <c r="DI32" i="9"/>
  <c r="DJ31" i="9"/>
  <c r="DI31" i="9"/>
  <c r="DJ30" i="9"/>
  <c r="DI30" i="9"/>
  <c r="DJ29" i="9"/>
  <c r="DI29" i="9"/>
  <c r="DJ28" i="9"/>
  <c r="DI28" i="9"/>
  <c r="DJ27" i="9"/>
  <c r="DI27" i="9"/>
  <c r="DK22" i="9"/>
  <c r="DK20" i="9"/>
  <c r="DK19" i="9"/>
  <c r="DK18" i="9"/>
  <c r="DK17" i="9"/>
  <c r="DK16" i="9"/>
  <c r="DK15" i="9"/>
  <c r="DK14" i="9"/>
  <c r="DK12" i="9"/>
  <c r="DK32" i="9"/>
  <c r="DK11" i="9"/>
  <c r="DK10" i="9"/>
  <c r="DK9" i="9"/>
  <c r="DK8" i="9"/>
  <c r="DK7" i="9"/>
  <c r="DJ6" i="9"/>
  <c r="DJ24" i="9"/>
  <c r="DI6" i="9"/>
  <c r="DI24" i="9"/>
  <c r="DG107" i="9"/>
  <c r="DF107" i="9"/>
  <c r="DG106" i="9"/>
  <c r="DF106" i="9"/>
  <c r="DG101" i="9"/>
  <c r="DF101" i="9"/>
  <c r="DG97" i="9"/>
  <c r="DF97" i="9"/>
  <c r="DG32" i="9"/>
  <c r="DF32" i="9"/>
  <c r="DG31" i="9"/>
  <c r="DF31" i="9"/>
  <c r="DG30" i="9"/>
  <c r="DF30" i="9"/>
  <c r="DG29" i="9"/>
  <c r="DF29" i="9"/>
  <c r="DG28" i="9"/>
  <c r="DF28" i="9"/>
  <c r="DG27" i="9"/>
  <c r="DF27" i="9"/>
  <c r="DH22" i="9"/>
  <c r="DH20" i="9"/>
  <c r="DH19" i="9"/>
  <c r="DH18" i="9"/>
  <c r="DH17" i="9"/>
  <c r="DH16" i="9"/>
  <c r="DH15" i="9"/>
  <c r="DH14" i="9"/>
  <c r="DH12" i="9"/>
  <c r="DH11" i="9"/>
  <c r="DH10" i="9"/>
  <c r="DH30" i="9"/>
  <c r="DH9" i="9"/>
  <c r="DH29" i="9"/>
  <c r="DH8" i="9"/>
  <c r="DH7" i="9"/>
  <c r="DG6" i="9"/>
  <c r="DG24" i="9"/>
  <c r="DF6" i="9"/>
  <c r="DF24" i="9"/>
  <c r="DD107" i="9"/>
  <c r="DC107" i="9"/>
  <c r="DD106" i="9"/>
  <c r="DC106" i="9"/>
  <c r="DD101" i="9"/>
  <c r="DC101" i="9"/>
  <c r="DD97" i="9"/>
  <c r="DC97" i="9"/>
  <c r="DD32" i="9"/>
  <c r="DC32" i="9"/>
  <c r="DD31" i="9"/>
  <c r="DC31" i="9"/>
  <c r="DD30" i="9"/>
  <c r="DC30" i="9"/>
  <c r="DD29" i="9"/>
  <c r="DC29" i="9"/>
  <c r="DD28" i="9"/>
  <c r="DC28" i="9"/>
  <c r="DD27" i="9"/>
  <c r="DC27" i="9"/>
  <c r="DE22" i="9"/>
  <c r="DE20" i="9"/>
  <c r="DE19" i="9"/>
  <c r="DE18" i="9"/>
  <c r="DE17" i="9"/>
  <c r="DE16" i="9"/>
  <c r="DE15" i="9"/>
  <c r="DE14" i="9"/>
  <c r="DE12" i="9"/>
  <c r="DE11" i="9"/>
  <c r="DE10" i="9"/>
  <c r="DE9" i="9"/>
  <c r="DE8" i="9"/>
  <c r="DE7" i="9"/>
  <c r="DD6" i="9"/>
  <c r="DD26" i="9"/>
  <c r="DC6" i="9"/>
  <c r="DC24" i="9"/>
  <c r="DA107" i="9"/>
  <c r="CZ107" i="9"/>
  <c r="DA106" i="9"/>
  <c r="CZ106" i="9"/>
  <c r="DA101" i="9"/>
  <c r="CZ101" i="9"/>
  <c r="DA97" i="9"/>
  <c r="DA105" i="9"/>
  <c r="CZ97" i="9"/>
  <c r="CZ105" i="9"/>
  <c r="DA32" i="9"/>
  <c r="CZ32" i="9"/>
  <c r="DA31" i="9"/>
  <c r="CZ31" i="9"/>
  <c r="DA30" i="9"/>
  <c r="CZ30" i="9"/>
  <c r="DA29" i="9"/>
  <c r="CZ29" i="9"/>
  <c r="DA28" i="9"/>
  <c r="CZ28" i="9"/>
  <c r="DA27" i="9"/>
  <c r="CZ27" i="9"/>
  <c r="DB22" i="9"/>
  <c r="DB20" i="9"/>
  <c r="DB19" i="9"/>
  <c r="DB18" i="9"/>
  <c r="DB17" i="9"/>
  <c r="DB16" i="9"/>
  <c r="DB15" i="9"/>
  <c r="DB14" i="9"/>
  <c r="DB12" i="9"/>
  <c r="DB32" i="9"/>
  <c r="DB11" i="9"/>
  <c r="DB10" i="9"/>
  <c r="DB30" i="9"/>
  <c r="DB9" i="9"/>
  <c r="DB29" i="9"/>
  <c r="DB8" i="9"/>
  <c r="DB7" i="9"/>
  <c r="DA6" i="9"/>
  <c r="DA24" i="9"/>
  <c r="CZ6" i="9"/>
  <c r="CZ24" i="9"/>
  <c r="CX107" i="9"/>
  <c r="CW107" i="9"/>
  <c r="CX106" i="9"/>
  <c r="CW106" i="9"/>
  <c r="CX101" i="9"/>
  <c r="CW101" i="9"/>
  <c r="CX97" i="9"/>
  <c r="CW97" i="9"/>
  <c r="CX32" i="9"/>
  <c r="CW32" i="9"/>
  <c r="CX31" i="9"/>
  <c r="CW31" i="9"/>
  <c r="CX30" i="9"/>
  <c r="CW30" i="9"/>
  <c r="CX29" i="9"/>
  <c r="CW29" i="9"/>
  <c r="CX28" i="9"/>
  <c r="CW28" i="9"/>
  <c r="CX27" i="9"/>
  <c r="CW27" i="9"/>
  <c r="CY22" i="9"/>
  <c r="CY20" i="9"/>
  <c r="CY19" i="9"/>
  <c r="CY18" i="9"/>
  <c r="CY17" i="9"/>
  <c r="CY16" i="9"/>
  <c r="CY15" i="9"/>
  <c r="CY14" i="9"/>
  <c r="CY12" i="9"/>
  <c r="CY32" i="9"/>
  <c r="CY11" i="9"/>
  <c r="CY10" i="9"/>
  <c r="CY9" i="9"/>
  <c r="CY8" i="9"/>
  <c r="CY28" i="9"/>
  <c r="CY7" i="9"/>
  <c r="CX6" i="9"/>
  <c r="CX26" i="9"/>
  <c r="CW6" i="9"/>
  <c r="CW24" i="9"/>
  <c r="CU107" i="9"/>
  <c r="CT107" i="9"/>
  <c r="CU106" i="9"/>
  <c r="CT106" i="9"/>
  <c r="CU101" i="9"/>
  <c r="CT101" i="9"/>
  <c r="CU97" i="9"/>
  <c r="CU105" i="9"/>
  <c r="CT97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V22" i="9"/>
  <c r="CV20" i="9"/>
  <c r="CV19" i="9"/>
  <c r="CV18" i="9"/>
  <c r="CV17" i="9"/>
  <c r="CV16" i="9"/>
  <c r="CV15" i="9"/>
  <c r="CV14" i="9"/>
  <c r="CV12" i="9"/>
  <c r="CV11" i="9"/>
  <c r="CV31" i="9"/>
  <c r="CV10" i="9"/>
  <c r="CV9" i="9"/>
  <c r="CV29" i="9"/>
  <c r="CV8" i="9"/>
  <c r="CV28" i="9"/>
  <c r="CV7" i="9"/>
  <c r="CU6" i="9"/>
  <c r="CT6" i="9"/>
  <c r="CT24" i="9"/>
  <c r="CR107" i="9"/>
  <c r="CQ107" i="9"/>
  <c r="CR106" i="9"/>
  <c r="CQ106" i="9"/>
  <c r="CR101" i="9"/>
  <c r="CQ101" i="9"/>
  <c r="CR97" i="9"/>
  <c r="CQ97" i="9"/>
  <c r="CQ105" i="9"/>
  <c r="CR32" i="9"/>
  <c r="CQ32" i="9"/>
  <c r="CR31" i="9"/>
  <c r="CQ31" i="9"/>
  <c r="CR30" i="9"/>
  <c r="CQ30" i="9"/>
  <c r="CR29" i="9"/>
  <c r="CQ29" i="9"/>
  <c r="CR28" i="9"/>
  <c r="CQ28" i="9"/>
  <c r="CR27" i="9"/>
  <c r="CQ27" i="9"/>
  <c r="CS22" i="9"/>
  <c r="CS20" i="9"/>
  <c r="CS19" i="9"/>
  <c r="CS18" i="9"/>
  <c r="CS17" i="9"/>
  <c r="CS16" i="9"/>
  <c r="CS15" i="9"/>
  <c r="CS14" i="9"/>
  <c r="CS12" i="9"/>
  <c r="CS32" i="9"/>
  <c r="CS11" i="9"/>
  <c r="CS10" i="9"/>
  <c r="CS9" i="9"/>
  <c r="CS8" i="9"/>
  <c r="CS7" i="9"/>
  <c r="CR6" i="9"/>
  <c r="CR26" i="9"/>
  <c r="CQ6" i="9"/>
  <c r="CQ24" i="9"/>
  <c r="CO107" i="9"/>
  <c r="CN107" i="9"/>
  <c r="CO106" i="9"/>
  <c r="CN106" i="9"/>
  <c r="CO101" i="9"/>
  <c r="CN101" i="9"/>
  <c r="CP107" i="9"/>
  <c r="CO97" i="9"/>
  <c r="CO105" i="9"/>
  <c r="CN97" i="9"/>
  <c r="CN105" i="9"/>
  <c r="CO32" i="9"/>
  <c r="CN32" i="9"/>
  <c r="CO31" i="9"/>
  <c r="CN31" i="9"/>
  <c r="CO30" i="9"/>
  <c r="CN30" i="9"/>
  <c r="CO29" i="9"/>
  <c r="CN29" i="9"/>
  <c r="CO28" i="9"/>
  <c r="CN28" i="9"/>
  <c r="CO27" i="9"/>
  <c r="CN27" i="9"/>
  <c r="CP22" i="9"/>
  <c r="CP20" i="9"/>
  <c r="CP19" i="9"/>
  <c r="CP18" i="9"/>
  <c r="CP17" i="9"/>
  <c r="CP16" i="9"/>
  <c r="CP15" i="9"/>
  <c r="CP14" i="9"/>
  <c r="CP12" i="9"/>
  <c r="CP32" i="9"/>
  <c r="CP11" i="9"/>
  <c r="CP10" i="9"/>
  <c r="CP9" i="9"/>
  <c r="CP29" i="9"/>
  <c r="CP8" i="9"/>
  <c r="CP7" i="9"/>
  <c r="CO6" i="9"/>
  <c r="CN6" i="9"/>
  <c r="CN24" i="9"/>
  <c r="DS103" i="9"/>
  <c r="DR103" i="9"/>
  <c r="DS99" i="9"/>
  <c r="DR99" i="9"/>
  <c r="DS22" i="9"/>
  <c r="DR22" i="9"/>
  <c r="DS20" i="9"/>
  <c r="DR20" i="9"/>
  <c r="DS19" i="9"/>
  <c r="DR19" i="9"/>
  <c r="DS18" i="9"/>
  <c r="DR18" i="9"/>
  <c r="DS17" i="9"/>
  <c r="DR17" i="9"/>
  <c r="DS16" i="9"/>
  <c r="DR16" i="9"/>
  <c r="DS12" i="9"/>
  <c r="DR12" i="9"/>
  <c r="DS11" i="9"/>
  <c r="DR11" i="9"/>
  <c r="DS10" i="9"/>
  <c r="DR10" i="9"/>
  <c r="DS9" i="9"/>
  <c r="DR9" i="9"/>
  <c r="DS8" i="9"/>
  <c r="DR8" i="9"/>
  <c r="CL107" i="9"/>
  <c r="CK107" i="9"/>
  <c r="CL106" i="9"/>
  <c r="CK106" i="9"/>
  <c r="CL101" i="9"/>
  <c r="CK101" i="9"/>
  <c r="CM107" i="9"/>
  <c r="CL97" i="9"/>
  <c r="CL105" i="9"/>
  <c r="CK97" i="9"/>
  <c r="CL32" i="9"/>
  <c r="CK32" i="9"/>
  <c r="CL31" i="9"/>
  <c r="CK31" i="9"/>
  <c r="CL30" i="9"/>
  <c r="CK30" i="9"/>
  <c r="CL29" i="9"/>
  <c r="CK29" i="9"/>
  <c r="CL28" i="9"/>
  <c r="CK28" i="9"/>
  <c r="CL27" i="9"/>
  <c r="CK27" i="9"/>
  <c r="CM22" i="9"/>
  <c r="CM20" i="9"/>
  <c r="CM19" i="9"/>
  <c r="CM18" i="9"/>
  <c r="CM17" i="9"/>
  <c r="CM16" i="9"/>
  <c r="CM15" i="9"/>
  <c r="CM14" i="9"/>
  <c r="CM12" i="9"/>
  <c r="CM32" i="9"/>
  <c r="CM11" i="9"/>
  <c r="CM31" i="9"/>
  <c r="CM10" i="9"/>
  <c r="CM30" i="9"/>
  <c r="CM9" i="9"/>
  <c r="CM8" i="9"/>
  <c r="CM28" i="9"/>
  <c r="CM7" i="9"/>
  <c r="CL6" i="9"/>
  <c r="CL26" i="9"/>
  <c r="CK6" i="9"/>
  <c r="CK24" i="9"/>
  <c r="AB41" i="19"/>
  <c r="AB33" i="19"/>
  <c r="AB25" i="19"/>
  <c r="AB22" i="19"/>
  <c r="AA41" i="19"/>
  <c r="AA33" i="19"/>
  <c r="AA25" i="19"/>
  <c r="AA30" i="19" s="1"/>
  <c r="AA22" i="19"/>
  <c r="Z41" i="19"/>
  <c r="Z33" i="19"/>
  <c r="Z25" i="19"/>
  <c r="Z22" i="19"/>
  <c r="Z20" i="19"/>
  <c r="Y41" i="19"/>
  <c r="Y33" i="19"/>
  <c r="Y25" i="19"/>
  <c r="Y30" i="19" s="1"/>
  <c r="Y38" i="19" s="1"/>
  <c r="Y22" i="19"/>
  <c r="X41" i="19"/>
  <c r="X33" i="19"/>
  <c r="X25" i="19"/>
  <c r="X30" i="19" s="1"/>
  <c r="X38" i="19" s="1"/>
  <c r="X22" i="19"/>
  <c r="W41" i="19"/>
  <c r="W33" i="19"/>
  <c r="W25" i="19"/>
  <c r="W22" i="19"/>
  <c r="V41" i="19"/>
  <c r="V33" i="19"/>
  <c r="V25" i="19"/>
  <c r="V22" i="19"/>
  <c r="V20" i="19"/>
  <c r="V13" i="19"/>
  <c r="U41" i="19"/>
  <c r="U33" i="19"/>
  <c r="U25" i="19"/>
  <c r="U22" i="19"/>
  <c r="U20" i="19"/>
  <c r="U13" i="19"/>
  <c r="T41" i="19"/>
  <c r="T33" i="19"/>
  <c r="T25" i="19"/>
  <c r="T22" i="19"/>
  <c r="T20" i="19"/>
  <c r="S41" i="19"/>
  <c r="S33" i="19"/>
  <c r="S25" i="19"/>
  <c r="S30" i="19" s="1"/>
  <c r="S38" i="19" s="1"/>
  <c r="S22" i="19"/>
  <c r="AC22" i="19"/>
  <c r="R41" i="19"/>
  <c r="R33" i="19"/>
  <c r="R25" i="19"/>
  <c r="R22" i="19"/>
  <c r="Q41" i="19"/>
  <c r="Q33" i="19"/>
  <c r="Q38" i="19" s="1"/>
  <c r="AB15" i="19"/>
  <c r="AB20" i="19"/>
  <c r="AA20" i="19"/>
  <c r="AA13" i="19"/>
  <c r="Y15" i="19"/>
  <c r="Y20" i="19"/>
  <c r="X15" i="19"/>
  <c r="X20" i="19"/>
  <c r="W15" i="19"/>
  <c r="W20" i="19"/>
  <c r="S15" i="19"/>
  <c r="S20" i="19"/>
  <c r="R15" i="19"/>
  <c r="R20" i="19"/>
  <c r="AW20" i="8"/>
  <c r="X20" i="8"/>
  <c r="U20" i="8"/>
  <c r="AV20" i="8"/>
  <c r="L20" i="8"/>
  <c r="Y20" i="8"/>
  <c r="W20" i="8"/>
  <c r="V20" i="8"/>
  <c r="U12" i="36"/>
  <c r="U17" i="36"/>
  <c r="U19" i="36"/>
  <c r="U33" i="36"/>
  <c r="U36" i="36"/>
  <c r="O12" i="36"/>
  <c r="O17" i="36"/>
  <c r="O47" i="36"/>
  <c r="O35" i="36"/>
  <c r="O19" i="36"/>
  <c r="O33" i="36"/>
  <c r="O36" i="36"/>
  <c r="AT110" i="9"/>
  <c r="AT109" i="9"/>
  <c r="AR109" i="9"/>
  <c r="CD107" i="9"/>
  <c r="BU107" i="9"/>
  <c r="BO107" i="9"/>
  <c r="CA107" i="9"/>
  <c r="BX107" i="9"/>
  <c r="BR107" i="9"/>
  <c r="BI107" i="9"/>
  <c r="BF107" i="9"/>
  <c r="BC107" i="9"/>
  <c r="AQ106" i="9"/>
  <c r="AQ97" i="9"/>
  <c r="AN106" i="9"/>
  <c r="AN97" i="9"/>
  <c r="AK106" i="9"/>
  <c r="AK97" i="9"/>
  <c r="AK105" i="9"/>
  <c r="AH106" i="9"/>
  <c r="AH97" i="9"/>
  <c r="AH105" i="9"/>
  <c r="AE106" i="9"/>
  <c r="AE97" i="9"/>
  <c r="AE105" i="9"/>
  <c r="AB97" i="9"/>
  <c r="AB105" i="9"/>
  <c r="AB106" i="9"/>
  <c r="Y97" i="9"/>
  <c r="Y105" i="9"/>
  <c r="Y106" i="9"/>
  <c r="V97" i="9"/>
  <c r="V105" i="9"/>
  <c r="V106" i="9"/>
  <c r="S106" i="9"/>
  <c r="S97" i="9"/>
  <c r="S105" i="9"/>
  <c r="P106" i="9"/>
  <c r="P97" i="9"/>
  <c r="P105" i="9"/>
  <c r="M106" i="9"/>
  <c r="M97" i="9"/>
  <c r="M105" i="9"/>
  <c r="DT80" i="9"/>
  <c r="DR79" i="9"/>
  <c r="CJ94" i="9"/>
  <c r="CJ79" i="9"/>
  <c r="CJ91" i="9"/>
  <c r="DT81" i="9"/>
  <c r="DR34" i="9"/>
  <c r="S6" i="9"/>
  <c r="S26" i="9"/>
  <c r="DS34" i="9"/>
  <c r="AN105" i="9"/>
  <c r="BF28" i="9"/>
  <c r="BF6" i="9"/>
  <c r="Q13" i="19"/>
  <c r="Q15" i="19"/>
  <c r="AA15" i="19"/>
  <c r="Z13" i="19"/>
  <c r="Z15" i="19"/>
  <c r="V30" i="19"/>
  <c r="V15" i="19"/>
  <c r="U30" i="19"/>
  <c r="U15" i="19"/>
  <c r="T13" i="19"/>
  <c r="T15" i="19"/>
  <c r="AC13" i="19"/>
  <c r="AC15" i="19"/>
  <c r="AQ14" i="27"/>
  <c r="AL14" i="27"/>
  <c r="AG14" i="27"/>
  <c r="EM14" i="27"/>
  <c r="EH15" i="27"/>
  <c r="DN14" i="27"/>
  <c r="BT14" i="27"/>
  <c r="BQ14" i="27"/>
  <c r="Y13" i="19"/>
  <c r="X13" i="19"/>
  <c r="S13" i="19"/>
  <c r="DQ58" i="9"/>
  <c r="DN58" i="9"/>
  <c r="DK58" i="9"/>
  <c r="DH58" i="9"/>
  <c r="DE58" i="9"/>
  <c r="DB58" i="9"/>
  <c r="CY58" i="9"/>
  <c r="CV58" i="9"/>
  <c r="CS58" i="9"/>
  <c r="CP58" i="9"/>
  <c r="CM58" i="9"/>
  <c r="CJ58" i="9"/>
  <c r="CD58" i="9"/>
  <c r="CA58" i="9"/>
  <c r="BX58" i="9"/>
  <c r="BU58" i="9"/>
  <c r="BR58" i="9"/>
  <c r="BO58" i="9"/>
  <c r="BL58" i="9"/>
  <c r="BI58" i="9"/>
  <c r="BF58" i="9"/>
  <c r="BC58" i="9"/>
  <c r="AZ58" i="9"/>
  <c r="AW58" i="9"/>
  <c r="AS58" i="9"/>
  <c r="AQ58" i="9"/>
  <c r="AN58" i="9"/>
  <c r="AK58" i="9"/>
  <c r="AH58" i="9"/>
  <c r="AE58" i="9"/>
  <c r="AB58" i="9"/>
  <c r="Y58" i="9"/>
  <c r="V58" i="9"/>
  <c r="S58" i="9"/>
  <c r="P58" i="9"/>
  <c r="M58" i="9"/>
  <c r="J58" i="9"/>
  <c r="G58" i="9"/>
  <c r="DS57" i="9"/>
  <c r="DQ57" i="9"/>
  <c r="DN57" i="9"/>
  <c r="DK57" i="9"/>
  <c r="DH57" i="9"/>
  <c r="DE57" i="9"/>
  <c r="DB57" i="9"/>
  <c r="CY57" i="9"/>
  <c r="CV57" i="9"/>
  <c r="CS57" i="9"/>
  <c r="CP57" i="9"/>
  <c r="CM57" i="9"/>
  <c r="CJ57" i="9"/>
  <c r="CF57" i="9"/>
  <c r="CD57" i="9"/>
  <c r="CA57" i="9"/>
  <c r="BX57" i="9"/>
  <c r="BO57" i="9"/>
  <c r="BL57" i="9"/>
  <c r="BI57" i="9"/>
  <c r="BF57" i="9"/>
  <c r="BC57" i="9"/>
  <c r="AZ57" i="9"/>
  <c r="AW57" i="9"/>
  <c r="AS57" i="9"/>
  <c r="AQ57" i="9"/>
  <c r="AN57" i="9"/>
  <c r="AK57" i="9"/>
  <c r="AH57" i="9"/>
  <c r="AE57" i="9"/>
  <c r="AB57" i="9"/>
  <c r="Y57" i="9"/>
  <c r="V57" i="9"/>
  <c r="S57" i="9"/>
  <c r="P57" i="9"/>
  <c r="M57" i="9"/>
  <c r="J57" i="9"/>
  <c r="G57" i="9"/>
  <c r="DS56" i="9"/>
  <c r="DQ56" i="9"/>
  <c r="DN56" i="9"/>
  <c r="DK56" i="9"/>
  <c r="DH56" i="9"/>
  <c r="DE56" i="9"/>
  <c r="DB56" i="9"/>
  <c r="CY56" i="9"/>
  <c r="CV56" i="9"/>
  <c r="CS56" i="9"/>
  <c r="CP56" i="9"/>
  <c r="CM56" i="9"/>
  <c r="CJ56" i="9"/>
  <c r="CF56" i="9"/>
  <c r="CD56" i="9"/>
  <c r="CA56" i="9"/>
  <c r="BX56" i="9"/>
  <c r="BU56" i="9"/>
  <c r="BR56" i="9"/>
  <c r="BO56" i="9"/>
  <c r="BL56" i="9"/>
  <c r="BI56" i="9"/>
  <c r="BF56" i="9"/>
  <c r="BC56" i="9"/>
  <c r="AZ56" i="9"/>
  <c r="AW56" i="9"/>
  <c r="AS56" i="9"/>
  <c r="AQ56" i="9"/>
  <c r="AN56" i="9"/>
  <c r="AK56" i="9"/>
  <c r="AH56" i="9"/>
  <c r="AE56" i="9"/>
  <c r="AB56" i="9"/>
  <c r="Y56" i="9"/>
  <c r="V56" i="9"/>
  <c r="S56" i="9"/>
  <c r="P56" i="9"/>
  <c r="M56" i="9"/>
  <c r="J56" i="9"/>
  <c r="G56" i="9"/>
  <c r="DS55" i="9"/>
  <c r="DQ55" i="9"/>
  <c r="DN55" i="9"/>
  <c r="DK55" i="9"/>
  <c r="DH55" i="9"/>
  <c r="DE55" i="9"/>
  <c r="DB55" i="9"/>
  <c r="CY55" i="9"/>
  <c r="CV55" i="9"/>
  <c r="CS55" i="9"/>
  <c r="CP55" i="9"/>
  <c r="CM55" i="9"/>
  <c r="CJ55" i="9"/>
  <c r="CF55" i="9"/>
  <c r="CD55" i="9"/>
  <c r="CA55" i="9"/>
  <c r="BX55" i="9"/>
  <c r="BU55" i="9"/>
  <c r="BR55" i="9"/>
  <c r="BO55" i="9"/>
  <c r="BL55" i="9"/>
  <c r="BI55" i="9"/>
  <c r="BF55" i="9"/>
  <c r="BC55" i="9"/>
  <c r="AZ55" i="9"/>
  <c r="AW55" i="9"/>
  <c r="AS55" i="9"/>
  <c r="AQ55" i="9"/>
  <c r="AN55" i="9"/>
  <c r="AK55" i="9"/>
  <c r="AH55" i="9"/>
  <c r="AE55" i="9"/>
  <c r="AB55" i="9"/>
  <c r="Y55" i="9"/>
  <c r="V55" i="9"/>
  <c r="S55" i="9"/>
  <c r="P55" i="9"/>
  <c r="M55" i="9"/>
  <c r="J55" i="9"/>
  <c r="G55" i="9"/>
  <c r="BR29" i="9"/>
  <c r="BR28" i="9"/>
  <c r="CJ105" i="9"/>
  <c r="AX105" i="9"/>
  <c r="AT46" i="9"/>
  <c r="AT45" i="9"/>
  <c r="DT44" i="9"/>
  <c r="AT44" i="9"/>
  <c r="CG43" i="9"/>
  <c r="AT43" i="9"/>
  <c r="AW27" i="9"/>
  <c r="G95" i="9"/>
  <c r="DS94" i="9"/>
  <c r="AS94" i="9"/>
  <c r="G93" i="9"/>
  <c r="DS92" i="9"/>
  <c r="DQ92" i="9"/>
  <c r="DN92" i="9"/>
  <c r="DK92" i="9"/>
  <c r="DH92" i="9"/>
  <c r="DE92" i="9"/>
  <c r="DB92" i="9"/>
  <c r="CY92" i="9"/>
  <c r="CV92" i="9"/>
  <c r="CS92" i="9"/>
  <c r="CP92" i="9"/>
  <c r="CM92" i="9"/>
  <c r="AS92" i="9"/>
  <c r="G92" i="9"/>
  <c r="DP91" i="9"/>
  <c r="DO91" i="9"/>
  <c r="DM91" i="9"/>
  <c r="DL91" i="9"/>
  <c r="DJ91" i="9"/>
  <c r="DI91" i="9"/>
  <c r="DG91" i="9"/>
  <c r="DF91" i="9"/>
  <c r="DD91" i="9"/>
  <c r="DC91" i="9"/>
  <c r="DA91" i="9"/>
  <c r="CZ91" i="9"/>
  <c r="CX91" i="9"/>
  <c r="CW91" i="9"/>
  <c r="CU91" i="9"/>
  <c r="CT91" i="9"/>
  <c r="CR91" i="9"/>
  <c r="CQ91" i="9"/>
  <c r="CO91" i="9"/>
  <c r="CN91" i="9"/>
  <c r="CL91" i="9"/>
  <c r="CK91" i="9"/>
  <c r="CI91" i="9"/>
  <c r="CH91" i="9"/>
  <c r="CB91" i="9"/>
  <c r="BY91" i="9"/>
  <c r="BV91" i="9"/>
  <c r="BS91" i="9"/>
  <c r="BP91" i="9"/>
  <c r="BM91" i="9"/>
  <c r="BJ91" i="9"/>
  <c r="BG91" i="9"/>
  <c r="BD91" i="9"/>
  <c r="BA91" i="9"/>
  <c r="AX91" i="9"/>
  <c r="AU91" i="9"/>
  <c r="T30" i="19"/>
  <c r="Z30" i="19"/>
  <c r="Z31" i="19" s="1"/>
  <c r="CD95" i="9"/>
  <c r="CD79" i="9"/>
  <c r="CD91" i="9"/>
  <c r="CC91" i="9"/>
  <c r="CA93" i="9"/>
  <c r="CA79" i="9"/>
  <c r="BZ91" i="9"/>
  <c r="CA91" i="9"/>
  <c r="BX91" i="9"/>
  <c r="BW91" i="9"/>
  <c r="BT91" i="9"/>
  <c r="BU92" i="9"/>
  <c r="BU79" i="9"/>
  <c r="BU91" i="9"/>
  <c r="BR92" i="9"/>
  <c r="BR79" i="9"/>
  <c r="BR91" i="9"/>
  <c r="BQ91" i="9"/>
  <c r="BO91" i="9"/>
  <c r="BN91" i="9"/>
  <c r="BL92" i="9"/>
  <c r="BL79" i="9"/>
  <c r="BL91" i="9"/>
  <c r="CG80" i="9"/>
  <c r="BK91" i="9"/>
  <c r="CG82" i="9"/>
  <c r="BI92" i="9"/>
  <c r="BI79" i="9"/>
  <c r="BI91" i="9"/>
  <c r="BH91" i="9"/>
  <c r="BE91" i="9"/>
  <c r="BF92" i="9"/>
  <c r="BF79" i="9"/>
  <c r="BF91" i="9"/>
  <c r="BC91" i="9"/>
  <c r="BB91" i="9"/>
  <c r="CG81" i="9"/>
  <c r="AY91" i="9"/>
  <c r="CF79" i="9"/>
  <c r="AZ83" i="9"/>
  <c r="CF94" i="9"/>
  <c r="CF92" i="9"/>
  <c r="AW91" i="9"/>
  <c r="AV91" i="9"/>
  <c r="DS95" i="9"/>
  <c r="DQ95" i="9"/>
  <c r="DN95" i="9"/>
  <c r="DK95" i="9"/>
  <c r="DH95" i="9"/>
  <c r="DE95" i="9"/>
  <c r="DB95" i="9"/>
  <c r="CY95" i="9"/>
  <c r="CV95" i="9"/>
  <c r="CS95" i="9"/>
  <c r="CP95" i="9"/>
  <c r="CM95" i="9"/>
  <c r="CF95" i="9"/>
  <c r="AS95" i="9"/>
  <c r="DT86" i="9"/>
  <c r="DR92" i="9"/>
  <c r="CG86" i="9"/>
  <c r="CE92" i="9"/>
  <c r="AT86" i="9"/>
  <c r="AR92" i="9"/>
  <c r="P31" i="9"/>
  <c r="DT88" i="9"/>
  <c r="DT94" i="9"/>
  <c r="DR94" i="9"/>
  <c r="CG88" i="9"/>
  <c r="CE94" i="9"/>
  <c r="AT88" i="9"/>
  <c r="AT94" i="9"/>
  <c r="AR94" i="9"/>
  <c r="G94" i="9"/>
  <c r="G85" i="9"/>
  <c r="G91" i="9"/>
  <c r="DS93" i="9"/>
  <c r="DS85" i="9"/>
  <c r="DS91" i="9"/>
  <c r="DR93" i="9"/>
  <c r="DT87" i="9"/>
  <c r="DR85" i="9"/>
  <c r="DQ93" i="9"/>
  <c r="DQ85" i="9"/>
  <c r="DQ91" i="9"/>
  <c r="DN93" i="9"/>
  <c r="DN85" i="9"/>
  <c r="DN91" i="9"/>
  <c r="DK93" i="9"/>
  <c r="DK85" i="9"/>
  <c r="DK91" i="9"/>
  <c r="DH93" i="9"/>
  <c r="DH85" i="9"/>
  <c r="DH91" i="9"/>
  <c r="DE93" i="9"/>
  <c r="DE85" i="9"/>
  <c r="DE91" i="9"/>
  <c r="DB93" i="9"/>
  <c r="DB85" i="9"/>
  <c r="DB91" i="9"/>
  <c r="CY93" i="9"/>
  <c r="CY85" i="9"/>
  <c r="CY91" i="9"/>
  <c r="CV93" i="9"/>
  <c r="CV85" i="9"/>
  <c r="CV91" i="9"/>
  <c r="CS93" i="9"/>
  <c r="CS85" i="9"/>
  <c r="CS91" i="9"/>
  <c r="CP93" i="9"/>
  <c r="CP85" i="9"/>
  <c r="CP91" i="9"/>
  <c r="CM93" i="9"/>
  <c r="CM85" i="9"/>
  <c r="CM91" i="9"/>
  <c r="CF93" i="9"/>
  <c r="CF85" i="9"/>
  <c r="CF91" i="9"/>
  <c r="CE85" i="9"/>
  <c r="CE91" i="9"/>
  <c r="CE93" i="9"/>
  <c r="CG87" i="9"/>
  <c r="AS93" i="9"/>
  <c r="AS85" i="9"/>
  <c r="AS91" i="9"/>
  <c r="AT87" i="9"/>
  <c r="AR85" i="9"/>
  <c r="AR91" i="9"/>
  <c r="AR93" i="9"/>
  <c r="DT83" i="9"/>
  <c r="DT95" i="9"/>
  <c r="DR95" i="9"/>
  <c r="CG83" i="9"/>
  <c r="CE95" i="9"/>
  <c r="AR95" i="9"/>
  <c r="AT83" i="9"/>
  <c r="AT95" i="9"/>
  <c r="DT92" i="9"/>
  <c r="AT92" i="9"/>
  <c r="AT79" i="9"/>
  <c r="CX105" i="9"/>
  <c r="DQ42" i="9"/>
  <c r="DQ54" i="9"/>
  <c r="DN42" i="9"/>
  <c r="DN54" i="9"/>
  <c r="DK42" i="9"/>
  <c r="DK54" i="9"/>
  <c r="DH42" i="9"/>
  <c r="DH54" i="9"/>
  <c r="DE42" i="9"/>
  <c r="DE54" i="9"/>
  <c r="DB42" i="9"/>
  <c r="DB54" i="9"/>
  <c r="CY42" i="9"/>
  <c r="CY54" i="9"/>
  <c r="CV42" i="9"/>
  <c r="CV54" i="9"/>
  <c r="CS42" i="9"/>
  <c r="CS54" i="9"/>
  <c r="CP42" i="9"/>
  <c r="CP54" i="9"/>
  <c r="CM42" i="9"/>
  <c r="CM54" i="9"/>
  <c r="CJ42" i="9"/>
  <c r="CJ54" i="9"/>
  <c r="CF42" i="9"/>
  <c r="CD42" i="9"/>
  <c r="CD54" i="9"/>
  <c r="CA42" i="9"/>
  <c r="CA54" i="9"/>
  <c r="BX42" i="9"/>
  <c r="BX54" i="9"/>
  <c r="BU42" i="9"/>
  <c r="BU54" i="9"/>
  <c r="BR42" i="9"/>
  <c r="BR54" i="9"/>
  <c r="BO42" i="9"/>
  <c r="BO54" i="9"/>
  <c r="BL42" i="9"/>
  <c r="BL54" i="9"/>
  <c r="BI42" i="9"/>
  <c r="BI54" i="9"/>
  <c r="BF42" i="9"/>
  <c r="BF54" i="9"/>
  <c r="BC42" i="9"/>
  <c r="BC54" i="9"/>
  <c r="AZ42" i="9"/>
  <c r="AZ54" i="9"/>
  <c r="AS42" i="9"/>
  <c r="AS54" i="9"/>
  <c r="AQ42" i="9"/>
  <c r="AQ54" i="9"/>
  <c r="AN42" i="9"/>
  <c r="AN54" i="9"/>
  <c r="AK42" i="9"/>
  <c r="AK54" i="9"/>
  <c r="AH42" i="9"/>
  <c r="AH54" i="9"/>
  <c r="AE42" i="9"/>
  <c r="AE54" i="9"/>
  <c r="AB42" i="9"/>
  <c r="AB54" i="9"/>
  <c r="Y42" i="9"/>
  <c r="Y54" i="9"/>
  <c r="V42" i="9"/>
  <c r="V54" i="9"/>
  <c r="S42" i="9"/>
  <c r="S54" i="9"/>
  <c r="P42" i="9"/>
  <c r="P54" i="9"/>
  <c r="M42" i="9"/>
  <c r="M54" i="9"/>
  <c r="J42" i="9"/>
  <c r="J54" i="9"/>
  <c r="G42" i="9"/>
  <c r="G54" i="9"/>
  <c r="DS42" i="9"/>
  <c r="DS54" i="9"/>
  <c r="AW42" i="9"/>
  <c r="AW54" i="9"/>
  <c r="DS60" i="9"/>
  <c r="DQ60" i="9"/>
  <c r="DN60" i="9"/>
  <c r="DK60" i="9"/>
  <c r="DH60" i="9"/>
  <c r="DE60" i="9"/>
  <c r="DB60" i="9"/>
  <c r="CY60" i="9"/>
  <c r="CV60" i="9"/>
  <c r="CS60" i="9"/>
  <c r="CP60" i="9"/>
  <c r="CM60" i="9"/>
  <c r="CJ60" i="9"/>
  <c r="CF60" i="9"/>
  <c r="CD60" i="9"/>
  <c r="CA60" i="9"/>
  <c r="BX60" i="9"/>
  <c r="BU60" i="9"/>
  <c r="BR60" i="9"/>
  <c r="BO60" i="9"/>
  <c r="BL60" i="9"/>
  <c r="BI60" i="9"/>
  <c r="BF60" i="9"/>
  <c r="BC60" i="9"/>
  <c r="AZ60" i="9"/>
  <c r="AW60" i="9"/>
  <c r="AS60" i="9"/>
  <c r="AQ60" i="9"/>
  <c r="AN60" i="9"/>
  <c r="AK60" i="9"/>
  <c r="AH60" i="9"/>
  <c r="AE60" i="9"/>
  <c r="AB60" i="9"/>
  <c r="Y60" i="9"/>
  <c r="V60" i="9"/>
  <c r="S60" i="9"/>
  <c r="P60" i="9"/>
  <c r="M60" i="9"/>
  <c r="J60" i="9"/>
  <c r="G60" i="9"/>
  <c r="DS59" i="9"/>
  <c r="DQ59" i="9"/>
  <c r="DN59" i="9"/>
  <c r="DK59" i="9"/>
  <c r="DH59" i="9"/>
  <c r="DE59" i="9"/>
  <c r="DB59" i="9"/>
  <c r="CY59" i="9"/>
  <c r="CV59" i="9"/>
  <c r="CS59" i="9"/>
  <c r="CP59" i="9"/>
  <c r="CM59" i="9"/>
  <c r="CJ59" i="9"/>
  <c r="CF59" i="9"/>
  <c r="CD59" i="9"/>
  <c r="CA59" i="9"/>
  <c r="BX59" i="9"/>
  <c r="BU59" i="9"/>
  <c r="BR59" i="9"/>
  <c r="BO59" i="9"/>
  <c r="BL59" i="9"/>
  <c r="BI59" i="9"/>
  <c r="BF59" i="9"/>
  <c r="BC59" i="9"/>
  <c r="AZ59" i="9"/>
  <c r="AW59" i="9"/>
  <c r="AS59" i="9"/>
  <c r="AQ59" i="9"/>
  <c r="AN59" i="9"/>
  <c r="AK59" i="9"/>
  <c r="AH59" i="9"/>
  <c r="AE59" i="9"/>
  <c r="AB59" i="9"/>
  <c r="Y59" i="9"/>
  <c r="V59" i="9"/>
  <c r="S59" i="9"/>
  <c r="P59" i="9"/>
  <c r="M59" i="9"/>
  <c r="J59" i="9"/>
  <c r="G59" i="9"/>
  <c r="DS58" i="9"/>
  <c r="CR105" i="9"/>
  <c r="BU57" i="9"/>
  <c r="BR57" i="9"/>
  <c r="CG47" i="9"/>
  <c r="CE42" i="9"/>
  <c r="CE54" i="9"/>
  <c r="AT47" i="9"/>
  <c r="AR42" i="9"/>
  <c r="AR54" i="9"/>
  <c r="DT46" i="9"/>
  <c r="DR42" i="9"/>
  <c r="DR54" i="9"/>
  <c r="BX27" i="9"/>
  <c r="BX6" i="9"/>
  <c r="BX24" i="9"/>
  <c r="BL28" i="9"/>
  <c r="BL6" i="9"/>
  <c r="G61" i="9"/>
  <c r="G73" i="9"/>
  <c r="AZ28" i="9"/>
  <c r="AQ30" i="9"/>
  <c r="AQ29" i="9"/>
  <c r="AQ28" i="9"/>
  <c r="AQ27" i="9"/>
  <c r="L105" i="9"/>
  <c r="AB26" i="9"/>
  <c r="CG68" i="9"/>
  <c r="DR60" i="9"/>
  <c r="DT40" i="9"/>
  <c r="DT60" i="9"/>
  <c r="CG40" i="9"/>
  <c r="CG60" i="9"/>
  <c r="CE60" i="9"/>
  <c r="AR60" i="9"/>
  <c r="AT40" i="9"/>
  <c r="AT60" i="9"/>
  <c r="DR59" i="9"/>
  <c r="DT39" i="9"/>
  <c r="DT59" i="9"/>
  <c r="CG39" i="9"/>
  <c r="CE59" i="9"/>
  <c r="AR59" i="9"/>
  <c r="AT39" i="9"/>
  <c r="DR58" i="9"/>
  <c r="DT38" i="9"/>
  <c r="CF58" i="9"/>
  <c r="CF34" i="9"/>
  <c r="CE58" i="9"/>
  <c r="CG38" i="9"/>
  <c r="CG58" i="9"/>
  <c r="AT38" i="9"/>
  <c r="AR58" i="9"/>
  <c r="DR57" i="9"/>
  <c r="DT37" i="9"/>
  <c r="DT57" i="9"/>
  <c r="CG37" i="9"/>
  <c r="CG57" i="9"/>
  <c r="CE57" i="9"/>
  <c r="AT37" i="9"/>
  <c r="AR57" i="9"/>
  <c r="DR56" i="9"/>
  <c r="DT36" i="9"/>
  <c r="CE56" i="9"/>
  <c r="CG36" i="9"/>
  <c r="CG56" i="9"/>
  <c r="AT36" i="9"/>
  <c r="AR56" i="9"/>
  <c r="DT35" i="9"/>
  <c r="DR55" i="9"/>
  <c r="CG35" i="9"/>
  <c r="CE55" i="9"/>
  <c r="AR55" i="9"/>
  <c r="AT35" i="9"/>
  <c r="DS52" i="9"/>
  <c r="DR52" i="9"/>
  <c r="DQ52" i="9"/>
  <c r="DP54" i="9"/>
  <c r="DP52" i="9"/>
  <c r="DO54" i="9"/>
  <c r="DO52" i="9"/>
  <c r="DN52" i="9"/>
  <c r="DM54" i="9"/>
  <c r="DM52" i="9"/>
  <c r="DL54" i="9"/>
  <c r="DL52" i="9"/>
  <c r="DK52" i="9"/>
  <c r="DJ54" i="9"/>
  <c r="DJ52" i="9"/>
  <c r="DI54" i="9"/>
  <c r="DI52" i="9"/>
  <c r="DH52" i="9"/>
  <c r="DG54" i="9"/>
  <c r="DG52" i="9"/>
  <c r="DF54" i="9"/>
  <c r="DF52" i="9"/>
  <c r="DE52" i="9"/>
  <c r="DD54" i="9"/>
  <c r="DD52" i="9"/>
  <c r="DC54" i="9"/>
  <c r="DC52" i="9"/>
  <c r="DB52" i="9"/>
  <c r="DA54" i="9"/>
  <c r="DA52" i="9"/>
  <c r="CZ54" i="9"/>
  <c r="CZ52" i="9"/>
  <c r="CY52" i="9"/>
  <c r="CX54" i="9"/>
  <c r="CX52" i="9"/>
  <c r="CW54" i="9"/>
  <c r="CW52" i="9"/>
  <c r="CV52" i="9"/>
  <c r="CU54" i="9"/>
  <c r="CU52" i="9"/>
  <c r="CT54" i="9"/>
  <c r="CT52" i="9"/>
  <c r="CS52" i="9"/>
  <c r="CR54" i="9"/>
  <c r="CR52" i="9"/>
  <c r="CQ54" i="9"/>
  <c r="CQ52" i="9"/>
  <c r="CP52" i="9"/>
  <c r="CO54" i="9"/>
  <c r="CO52" i="9"/>
  <c r="CN54" i="9"/>
  <c r="CN52" i="9"/>
  <c r="CM52" i="9"/>
  <c r="CL54" i="9"/>
  <c r="CL52" i="9"/>
  <c r="CK54" i="9"/>
  <c r="CK52" i="9"/>
  <c r="CJ52" i="9"/>
  <c r="CI54" i="9"/>
  <c r="CI52" i="9"/>
  <c r="CH54" i="9"/>
  <c r="CH52" i="9"/>
  <c r="CE52" i="9"/>
  <c r="CD52" i="9"/>
  <c r="CC54" i="9"/>
  <c r="CC52" i="9"/>
  <c r="CB52" i="9"/>
  <c r="CB54" i="9"/>
  <c r="CA52" i="9"/>
  <c r="BZ52" i="9"/>
  <c r="BZ54" i="9"/>
  <c r="BY52" i="9"/>
  <c r="BY54" i="9"/>
  <c r="BX52" i="9"/>
  <c r="BW52" i="9"/>
  <c r="BW54" i="9"/>
  <c r="BV52" i="9"/>
  <c r="BV54" i="9"/>
  <c r="BU52" i="9"/>
  <c r="BT52" i="9"/>
  <c r="BT54" i="9"/>
  <c r="BS52" i="9"/>
  <c r="BS54" i="9"/>
  <c r="BR52" i="9"/>
  <c r="BQ52" i="9"/>
  <c r="BQ54" i="9"/>
  <c r="BP54" i="9"/>
  <c r="BP52" i="9"/>
  <c r="BO52" i="9"/>
  <c r="BN54" i="9"/>
  <c r="BN52" i="9"/>
  <c r="BM54" i="9"/>
  <c r="BM52" i="9"/>
  <c r="BL52" i="9"/>
  <c r="BK54" i="9"/>
  <c r="BK52" i="9"/>
  <c r="BJ54" i="9"/>
  <c r="BJ52" i="9"/>
  <c r="BI52" i="9"/>
  <c r="BH52" i="9"/>
  <c r="BH54" i="9"/>
  <c r="BG52" i="9"/>
  <c r="BG54" i="9"/>
  <c r="BF52" i="9"/>
  <c r="BE52" i="9"/>
  <c r="BE54" i="9"/>
  <c r="BD54" i="9"/>
  <c r="BD52" i="9"/>
  <c r="BC52" i="9"/>
  <c r="BB52" i="9"/>
  <c r="BB54" i="9"/>
  <c r="BA52" i="9"/>
  <c r="BA54" i="9"/>
  <c r="AZ52" i="9"/>
  <c r="AY52" i="9"/>
  <c r="AY54" i="9"/>
  <c r="AX52" i="9"/>
  <c r="AX54" i="9"/>
  <c r="AW52" i="9"/>
  <c r="AV52" i="9"/>
  <c r="AV54" i="9"/>
  <c r="AU52" i="9"/>
  <c r="AU54" i="9"/>
  <c r="AS52" i="9"/>
  <c r="AR52" i="9"/>
  <c r="AQ52" i="9"/>
  <c r="AP54" i="9"/>
  <c r="AP52" i="9"/>
  <c r="AO54" i="9"/>
  <c r="AO52" i="9"/>
  <c r="AN52" i="9"/>
  <c r="AM54" i="9"/>
  <c r="AM52" i="9"/>
  <c r="AL54" i="9"/>
  <c r="AL52" i="9"/>
  <c r="AK52" i="9"/>
  <c r="AJ54" i="9"/>
  <c r="AJ52" i="9"/>
  <c r="AI52" i="9"/>
  <c r="AI54" i="9"/>
  <c r="AH52" i="9"/>
  <c r="AG52" i="9"/>
  <c r="AG54" i="9"/>
  <c r="AF54" i="9"/>
  <c r="AF52" i="9"/>
  <c r="AE52" i="9"/>
  <c r="AD54" i="9"/>
  <c r="AD52" i="9"/>
  <c r="AC54" i="9"/>
  <c r="AC52" i="9"/>
  <c r="AB52" i="9"/>
  <c r="AA54" i="9"/>
  <c r="AA52" i="9"/>
  <c r="Z52" i="9"/>
  <c r="Z54" i="9"/>
  <c r="Y52" i="9"/>
  <c r="X54" i="9"/>
  <c r="X52" i="9"/>
  <c r="W52" i="9"/>
  <c r="W54" i="9"/>
  <c r="V52" i="9"/>
  <c r="U54" i="9"/>
  <c r="U52" i="9"/>
  <c r="T52" i="9"/>
  <c r="T54" i="9"/>
  <c r="S52" i="9"/>
  <c r="R52" i="9"/>
  <c r="R54" i="9"/>
  <c r="Q52" i="9"/>
  <c r="Q54" i="9"/>
  <c r="P52" i="9"/>
  <c r="O52" i="9"/>
  <c r="O54" i="9"/>
  <c r="N52" i="9"/>
  <c r="N54" i="9"/>
  <c r="M52" i="9"/>
  <c r="L52" i="9"/>
  <c r="L54" i="9"/>
  <c r="K54" i="9"/>
  <c r="K52" i="9"/>
  <c r="J52" i="9"/>
  <c r="I54" i="9"/>
  <c r="I52" i="9"/>
  <c r="H54" i="9"/>
  <c r="H52" i="9"/>
  <c r="G52" i="9"/>
  <c r="F52" i="9"/>
  <c r="F54" i="9"/>
  <c r="E52" i="9"/>
  <c r="E54" i="9"/>
  <c r="AQ31" i="9"/>
  <c r="AQ6" i="9"/>
  <c r="C36" i="36"/>
  <c r="D24" i="36"/>
  <c r="D12" i="36"/>
  <c r="CF65" i="9"/>
  <c r="CD65" i="9"/>
  <c r="CD77" i="9"/>
  <c r="CD62" i="9"/>
  <c r="CC61" i="9"/>
  <c r="CC73" i="9"/>
  <c r="CA62" i="9"/>
  <c r="BZ61" i="9"/>
  <c r="BZ73" i="9"/>
  <c r="CF63" i="9"/>
  <c r="BF63" i="9"/>
  <c r="CF62" i="9"/>
  <c r="AY61" i="9"/>
  <c r="AY73" i="9"/>
  <c r="DP73" i="9"/>
  <c r="DO73" i="9"/>
  <c r="DM73" i="9"/>
  <c r="DL73" i="9"/>
  <c r="DJ73" i="9"/>
  <c r="DI73" i="9"/>
  <c r="DG73" i="9"/>
  <c r="DF73" i="9"/>
  <c r="DD73" i="9"/>
  <c r="DC73" i="9"/>
  <c r="DA73" i="9"/>
  <c r="CZ73" i="9"/>
  <c r="CX73" i="9"/>
  <c r="CW73" i="9"/>
  <c r="CU73" i="9"/>
  <c r="CT73" i="9"/>
  <c r="CR73" i="9"/>
  <c r="CQ73" i="9"/>
  <c r="CO73" i="9"/>
  <c r="CN73" i="9"/>
  <c r="CL73" i="9"/>
  <c r="CK73" i="9"/>
  <c r="CI73" i="9"/>
  <c r="CH73" i="9"/>
  <c r="CB73" i="9"/>
  <c r="BY73" i="9"/>
  <c r="BW73" i="9"/>
  <c r="BV73" i="9"/>
  <c r="BT73" i="9"/>
  <c r="BS73" i="9"/>
  <c r="BQ73" i="9"/>
  <c r="BP73" i="9"/>
  <c r="BN73" i="9"/>
  <c r="BM73" i="9"/>
  <c r="BK73" i="9"/>
  <c r="BJ73" i="9"/>
  <c r="BH73" i="9"/>
  <c r="BG73" i="9"/>
  <c r="BE73" i="9"/>
  <c r="BD73" i="9"/>
  <c r="BB73" i="9"/>
  <c r="BA73" i="9"/>
  <c r="AX73" i="9"/>
  <c r="AV73" i="9"/>
  <c r="AU73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R105" i="9"/>
  <c r="Q105" i="9"/>
  <c r="CS67" i="9"/>
  <c r="CP67" i="9"/>
  <c r="CM67" i="9"/>
  <c r="CF67" i="9"/>
  <c r="AS67" i="9"/>
  <c r="AS74" i="9"/>
  <c r="AW29" i="9"/>
  <c r="AW6" i="9"/>
  <c r="DQ67" i="9"/>
  <c r="DN67" i="9"/>
  <c r="DK67" i="9"/>
  <c r="DH67" i="9"/>
  <c r="DE67" i="9"/>
  <c r="DB67" i="9"/>
  <c r="CY67" i="9"/>
  <c r="CV67" i="9"/>
  <c r="AQ105" i="9"/>
  <c r="AP105" i="9"/>
  <c r="AO105" i="9"/>
  <c r="DS77" i="9"/>
  <c r="DQ77" i="9"/>
  <c r="DN77" i="9"/>
  <c r="DK77" i="9"/>
  <c r="DH77" i="9"/>
  <c r="DE77" i="9"/>
  <c r="DB77" i="9"/>
  <c r="CY77" i="9"/>
  <c r="CV77" i="9"/>
  <c r="CS77" i="9"/>
  <c r="CP77" i="9"/>
  <c r="CM77" i="9"/>
  <c r="AS77" i="9"/>
  <c r="DS76" i="9"/>
  <c r="CF76" i="9"/>
  <c r="AS76" i="9"/>
  <c r="DS75" i="9"/>
  <c r="DQ75" i="9"/>
  <c r="DN75" i="9"/>
  <c r="DK75" i="9"/>
  <c r="DH75" i="9"/>
  <c r="DE75" i="9"/>
  <c r="DB75" i="9"/>
  <c r="CY75" i="9"/>
  <c r="CV75" i="9"/>
  <c r="CS75" i="9"/>
  <c r="CP75" i="9"/>
  <c r="CM75" i="9"/>
  <c r="I73" i="9"/>
  <c r="H73" i="9"/>
  <c r="F73" i="9"/>
  <c r="E73" i="9"/>
  <c r="CG69" i="9"/>
  <c r="CE67" i="9"/>
  <c r="AT69" i="9"/>
  <c r="AT67" i="9"/>
  <c r="AR67" i="9"/>
  <c r="DT68" i="9"/>
  <c r="DT67" i="9"/>
  <c r="DR67" i="9"/>
  <c r="DR77" i="9"/>
  <c r="DT65" i="9"/>
  <c r="DT77" i="9"/>
  <c r="CE77" i="9"/>
  <c r="AT65" i="9"/>
  <c r="AT77" i="9"/>
  <c r="AR77" i="9"/>
  <c r="DR76" i="9"/>
  <c r="DT64" i="9"/>
  <c r="DT76" i="9"/>
  <c r="CG64" i="9"/>
  <c r="CG76" i="9"/>
  <c r="CE76" i="9"/>
  <c r="AR76" i="9"/>
  <c r="AT64" i="9"/>
  <c r="AT76" i="9"/>
  <c r="DT63" i="9"/>
  <c r="DT75" i="9"/>
  <c r="DR75" i="9"/>
  <c r="CE75" i="9"/>
  <c r="BC75" i="9"/>
  <c r="BC61" i="9"/>
  <c r="BC73" i="9"/>
  <c r="AZ75" i="9"/>
  <c r="AZ61" i="9"/>
  <c r="AZ73" i="9"/>
  <c r="AW75" i="9"/>
  <c r="AW61" i="9"/>
  <c r="AW73" i="9"/>
  <c r="AS75" i="9"/>
  <c r="AS61" i="9"/>
  <c r="AR75" i="9"/>
  <c r="AR61" i="9"/>
  <c r="AR73" i="9"/>
  <c r="AT63" i="9"/>
  <c r="AT75" i="9"/>
  <c r="DS74" i="9"/>
  <c r="DS61" i="9"/>
  <c r="DS73" i="9"/>
  <c r="DR74" i="9"/>
  <c r="DT62" i="9"/>
  <c r="DR61" i="9"/>
  <c r="DQ74" i="9"/>
  <c r="DQ61" i="9"/>
  <c r="DN61" i="9"/>
  <c r="DN74" i="9"/>
  <c r="DK61" i="9"/>
  <c r="DK74" i="9"/>
  <c r="DH61" i="9"/>
  <c r="DH74" i="9"/>
  <c r="DE61" i="9"/>
  <c r="DE74" i="9"/>
  <c r="DB74" i="9"/>
  <c r="DB61" i="9"/>
  <c r="CY74" i="9"/>
  <c r="CY61" i="9"/>
  <c r="CV74" i="9"/>
  <c r="CV61" i="9"/>
  <c r="CS74" i="9"/>
  <c r="CS61" i="9"/>
  <c r="CP74" i="9"/>
  <c r="CP61" i="9"/>
  <c r="CM74" i="9"/>
  <c r="CM61" i="9"/>
  <c r="CJ74" i="9"/>
  <c r="CJ61" i="9"/>
  <c r="CJ73" i="9"/>
  <c r="CE74" i="9"/>
  <c r="CE61" i="9"/>
  <c r="BX74" i="9"/>
  <c r="BX61" i="9"/>
  <c r="BX73" i="9"/>
  <c r="BU74" i="9"/>
  <c r="BU61" i="9"/>
  <c r="BU73" i="9"/>
  <c r="BR74" i="9"/>
  <c r="BR61" i="9"/>
  <c r="BR73" i="9"/>
  <c r="BO74" i="9"/>
  <c r="BO61" i="9"/>
  <c r="BO73" i="9"/>
  <c r="BL61" i="9"/>
  <c r="BL73" i="9"/>
  <c r="BL74" i="9"/>
  <c r="BI74" i="9"/>
  <c r="BI61" i="9"/>
  <c r="BI73" i="9"/>
  <c r="BF74" i="9"/>
  <c r="AT62" i="9"/>
  <c r="AR74" i="9"/>
  <c r="BR27" i="9"/>
  <c r="BR6" i="9"/>
  <c r="CD29" i="9"/>
  <c r="CD28" i="9"/>
  <c r="S29" i="9"/>
  <c r="S28" i="9"/>
  <c r="S27" i="9"/>
  <c r="K105" i="9"/>
  <c r="CD27" i="9"/>
  <c r="CD6" i="9"/>
  <c r="P27" i="9"/>
  <c r="P6" i="9"/>
  <c r="M27" i="9"/>
  <c r="M6" i="9"/>
  <c r="M24" i="9"/>
  <c r="AK6" i="9"/>
  <c r="AK24" i="9"/>
  <c r="S31" i="9"/>
  <c r="S30" i="9"/>
  <c r="AN27" i="9"/>
  <c r="AN6" i="9"/>
  <c r="BY105" i="9"/>
  <c r="S32" i="9"/>
  <c r="CV107" i="9"/>
  <c r="AK32" i="9"/>
  <c r="AK31" i="9"/>
  <c r="AK30" i="9"/>
  <c r="AK29" i="9"/>
  <c r="AK28" i="9"/>
  <c r="AK27" i="9"/>
  <c r="BF11" i="27"/>
  <c r="BU26" i="9"/>
  <c r="Y27" i="9"/>
  <c r="Y6" i="9"/>
  <c r="CJ26" i="9"/>
  <c r="BU32" i="9"/>
  <c r="BU31" i="9"/>
  <c r="BU30" i="9"/>
  <c r="BU29" i="9"/>
  <c r="BU28" i="9"/>
  <c r="BU27" i="9"/>
  <c r="G27" i="9"/>
  <c r="G6" i="9"/>
  <c r="G106" i="9"/>
  <c r="G97" i="9"/>
  <c r="G105" i="9"/>
  <c r="CD106" i="9"/>
  <c r="CD97" i="9"/>
  <c r="CD105" i="9"/>
  <c r="CA97" i="9"/>
  <c r="CA105" i="9"/>
  <c r="CA106" i="9"/>
  <c r="BX97" i="9"/>
  <c r="BX105" i="9"/>
  <c r="BX106" i="9"/>
  <c r="BU97" i="9"/>
  <c r="BU105" i="9"/>
  <c r="BU106" i="9"/>
  <c r="BR97" i="9"/>
  <c r="BR105" i="9"/>
  <c r="BR106" i="9"/>
  <c r="BO97" i="9"/>
  <c r="BO105" i="9"/>
  <c r="BO106" i="9"/>
  <c r="BN107" i="9"/>
  <c r="BM107" i="9"/>
  <c r="BM106" i="9"/>
  <c r="BM97" i="9"/>
  <c r="BM105" i="9"/>
  <c r="BK107" i="9"/>
  <c r="BL99" i="9"/>
  <c r="BL106" i="9"/>
  <c r="BK106" i="9"/>
  <c r="BK97" i="9"/>
  <c r="BK105" i="9"/>
  <c r="BI97" i="9"/>
  <c r="BI105" i="9"/>
  <c r="BI106" i="9"/>
  <c r="BF97" i="9"/>
  <c r="BF105" i="9"/>
  <c r="BF106" i="9"/>
  <c r="BE106" i="9"/>
  <c r="BE97" i="9"/>
  <c r="BE105" i="9"/>
  <c r="BC97" i="9"/>
  <c r="BC105" i="9"/>
  <c r="BC106" i="9"/>
  <c r="AZ99" i="9"/>
  <c r="AY107" i="9"/>
  <c r="AZ106" i="9"/>
  <c r="AW106" i="9"/>
  <c r="AW97" i="9"/>
  <c r="AW105" i="9"/>
  <c r="AV106" i="9"/>
  <c r="AV97" i="9"/>
  <c r="AV105" i="9"/>
  <c r="AU105" i="9"/>
  <c r="CJ24" i="9"/>
  <c r="CI24" i="9"/>
  <c r="CI26" i="9"/>
  <c r="CH26" i="9"/>
  <c r="CH24" i="9"/>
  <c r="DS98" i="9"/>
  <c r="DR98" i="9"/>
  <c r="DS7" i="9"/>
  <c r="DR7" i="9"/>
  <c r="CC24" i="9"/>
  <c r="CC26" i="9"/>
  <c r="CB26" i="9"/>
  <c r="CB24" i="9"/>
  <c r="CA27" i="9"/>
  <c r="CA6" i="9"/>
  <c r="BZ26" i="9"/>
  <c r="BZ24" i="9"/>
  <c r="BY24" i="9"/>
  <c r="BY26" i="9"/>
  <c r="BW26" i="9"/>
  <c r="BW24" i="9"/>
  <c r="BV24" i="9"/>
  <c r="BV26" i="9"/>
  <c r="BU24" i="9"/>
  <c r="BT26" i="9"/>
  <c r="BT24" i="9"/>
  <c r="BS26" i="9"/>
  <c r="BS24" i="9"/>
  <c r="BQ26" i="9"/>
  <c r="BQ24" i="9"/>
  <c r="BP26" i="9"/>
  <c r="BP24" i="9"/>
  <c r="BO26" i="9"/>
  <c r="BO24" i="9"/>
  <c r="BN26" i="9"/>
  <c r="BN24" i="9"/>
  <c r="BM26" i="9"/>
  <c r="BM24" i="9"/>
  <c r="BK26" i="9"/>
  <c r="BK24" i="9"/>
  <c r="BJ26" i="9"/>
  <c r="BJ24" i="9"/>
  <c r="BI27" i="9"/>
  <c r="BI6" i="9"/>
  <c r="BH24" i="9"/>
  <c r="BH26" i="9"/>
  <c r="BG26" i="9"/>
  <c r="BG24" i="9"/>
  <c r="BF26" i="9"/>
  <c r="BF24" i="9"/>
  <c r="BE26" i="9"/>
  <c r="BE24" i="9"/>
  <c r="BD26" i="9"/>
  <c r="BD24" i="9"/>
  <c r="BC27" i="9"/>
  <c r="BC6" i="9"/>
  <c r="BB26" i="9"/>
  <c r="BB24" i="9"/>
  <c r="BA26" i="9"/>
  <c r="BA24" i="9"/>
  <c r="AZ27" i="9"/>
  <c r="AZ6" i="9"/>
  <c r="AY24" i="9"/>
  <c r="AY26" i="9"/>
  <c r="AX24" i="9"/>
  <c r="AX26" i="9"/>
  <c r="AV26" i="9"/>
  <c r="AV24" i="9"/>
  <c r="AU24" i="9"/>
  <c r="AU26" i="9"/>
  <c r="AP26" i="9"/>
  <c r="AP24" i="9"/>
  <c r="AO26" i="9"/>
  <c r="AO24" i="9"/>
  <c r="AM26" i="9"/>
  <c r="AM24" i="9"/>
  <c r="AL26" i="9"/>
  <c r="AL24" i="9"/>
  <c r="AJ26" i="9"/>
  <c r="AJ24" i="9"/>
  <c r="AI26" i="9"/>
  <c r="AI24" i="9"/>
  <c r="AH26" i="9"/>
  <c r="AH24" i="9"/>
  <c r="AG26" i="9"/>
  <c r="AG24" i="9"/>
  <c r="AF26" i="9"/>
  <c r="AF24" i="9"/>
  <c r="AE26" i="9"/>
  <c r="AE24" i="9"/>
  <c r="AD26" i="9"/>
  <c r="AD24" i="9"/>
  <c r="AC26" i="9"/>
  <c r="AC24" i="9"/>
  <c r="AB24" i="9"/>
  <c r="AA26" i="9"/>
  <c r="AA24" i="9"/>
  <c r="Z26" i="9"/>
  <c r="Z24" i="9"/>
  <c r="X26" i="9"/>
  <c r="X24" i="9"/>
  <c r="W26" i="9"/>
  <c r="W24" i="9"/>
  <c r="V27" i="9"/>
  <c r="V6" i="9"/>
  <c r="U26" i="9"/>
  <c r="U24" i="9"/>
  <c r="T26" i="9"/>
  <c r="T24" i="9"/>
  <c r="S24" i="9"/>
  <c r="R24" i="9"/>
  <c r="R26" i="9"/>
  <c r="Q26" i="9"/>
  <c r="Q24" i="9"/>
  <c r="O26" i="9"/>
  <c r="O24" i="9"/>
  <c r="N26" i="9"/>
  <c r="N24" i="9"/>
  <c r="L26" i="9"/>
  <c r="L24" i="9"/>
  <c r="K26" i="9"/>
  <c r="K24" i="9"/>
  <c r="F26" i="9"/>
  <c r="F24" i="9"/>
  <c r="E26" i="9"/>
  <c r="E24" i="9"/>
  <c r="DE32" i="9"/>
  <c r="DE28" i="9"/>
  <c r="CP28" i="9"/>
  <c r="CO26" i="9"/>
  <c r="DQ106" i="9"/>
  <c r="DQ97" i="9"/>
  <c r="DN11" i="27"/>
  <c r="AS12" i="8"/>
  <c r="AD12" i="8"/>
  <c r="AC12" i="8"/>
  <c r="X12" i="8"/>
  <c r="G12" i="8"/>
  <c r="AB13" i="19"/>
  <c r="AB30" i="19"/>
  <c r="AB31" i="19" s="1"/>
  <c r="AB38" i="19"/>
  <c r="AB39" i="19" s="1"/>
  <c r="W13" i="19"/>
  <c r="W30" i="19"/>
  <c r="W31" i="19" s="1"/>
  <c r="EM11" i="27"/>
  <c r="CZ11" i="27"/>
  <c r="DD14" i="27"/>
  <c r="CT14" i="27"/>
  <c r="CP11" i="27"/>
  <c r="CE11" i="27"/>
  <c r="AE8" i="8"/>
  <c r="AE13" i="8"/>
  <c r="CS101" i="9"/>
  <c r="DP105" i="9"/>
  <c r="CP27" i="9"/>
  <c r="CS31" i="9"/>
  <c r="CV27" i="9"/>
  <c r="CY31" i="9"/>
  <c r="DB27" i="9"/>
  <c r="DK106" i="9"/>
  <c r="DH101" i="9"/>
  <c r="CS28" i="9"/>
  <c r="DE101" i="9"/>
  <c r="DN28" i="9"/>
  <c r="DO105" i="9"/>
  <c r="CP101" i="9"/>
  <c r="CV101" i="9"/>
  <c r="CM29" i="9"/>
  <c r="CS27" i="9"/>
  <c r="DB28" i="9"/>
  <c r="DE31" i="9"/>
  <c r="DK28" i="9"/>
  <c r="CS97" i="9"/>
  <c r="CS105" i="9"/>
  <c r="CY29" i="9"/>
  <c r="CY101" i="9"/>
  <c r="DB106" i="9"/>
  <c r="DN101" i="9"/>
  <c r="DQ28" i="9"/>
  <c r="CS106" i="9"/>
  <c r="DH28" i="9"/>
  <c r="DK101" i="9"/>
  <c r="DN32" i="9"/>
  <c r="DP26" i="9"/>
  <c r="CO24" i="9"/>
  <c r="DE29" i="9"/>
  <c r="CY106" i="9"/>
  <c r="DK27" i="9"/>
  <c r="DP24" i="9"/>
  <c r="CP97" i="9"/>
  <c r="CS6" i="9"/>
  <c r="CS24" i="9"/>
  <c r="CU26" i="9"/>
  <c r="CV97" i="9"/>
  <c r="DE107" i="9"/>
  <c r="DG26" i="9"/>
  <c r="DH97" i="9"/>
  <c r="DK29" i="9"/>
  <c r="DK107" i="9"/>
  <c r="DN97" i="9"/>
  <c r="DQ6" i="9"/>
  <c r="DQ24" i="9"/>
  <c r="CP106" i="9"/>
  <c r="CT105" i="9"/>
  <c r="CV106" i="9"/>
  <c r="CY30" i="9"/>
  <c r="CY107" i="9"/>
  <c r="DA26" i="9"/>
  <c r="DB101" i="9"/>
  <c r="DE6" i="9"/>
  <c r="DH27" i="9"/>
  <c r="DF105" i="9"/>
  <c r="DH106" i="9"/>
  <c r="DK30" i="9"/>
  <c r="DM26" i="9"/>
  <c r="DL105" i="9"/>
  <c r="DN106" i="9"/>
  <c r="DQ31" i="9"/>
  <c r="DT9" i="9"/>
  <c r="DT102" i="9"/>
  <c r="CU24" i="9"/>
  <c r="DG105" i="9"/>
  <c r="DK31" i="9"/>
  <c r="DN27" i="9"/>
  <c r="DM105" i="9"/>
  <c r="DQ32" i="9"/>
  <c r="CV6" i="9"/>
  <c r="CV24" i="9"/>
  <c r="DH107" i="9"/>
  <c r="DK97" i="9"/>
  <c r="DN107" i="9"/>
  <c r="DQ101" i="9"/>
  <c r="CM97" i="9"/>
  <c r="CM106" i="9"/>
  <c r="CP6" i="9"/>
  <c r="CP24" i="9"/>
  <c r="CY97" i="9"/>
  <c r="DB107" i="9"/>
  <c r="DC105" i="9"/>
  <c r="DE106" i="9"/>
  <c r="DH31" i="9"/>
  <c r="DJ26" i="9"/>
  <c r="DI105" i="9"/>
  <c r="DN6" i="9"/>
  <c r="DN24" i="9"/>
  <c r="DQ27" i="9"/>
  <c r="CM27" i="9"/>
  <c r="CP31" i="9"/>
  <c r="CR24" i="9"/>
  <c r="CV32" i="9"/>
  <c r="CY27" i="9"/>
  <c r="CW105" i="9"/>
  <c r="DB31" i="9"/>
  <c r="DE27" i="9"/>
  <c r="DD105" i="9"/>
  <c r="DH32" i="9"/>
  <c r="DJ105" i="9"/>
  <c r="DN31" i="9"/>
  <c r="CL24" i="9"/>
  <c r="CS29" i="9"/>
  <c r="CS107" i="9"/>
  <c r="CX24" i="9"/>
  <c r="DD24" i="9"/>
  <c r="DQ30" i="9"/>
  <c r="DT20" i="9"/>
  <c r="DO26" i="9"/>
  <c r="DT17" i="9"/>
  <c r="DN30" i="9"/>
  <c r="DL26" i="9"/>
  <c r="DK6" i="9"/>
  <c r="DI26" i="9"/>
  <c r="DH6" i="9"/>
  <c r="DF26" i="9"/>
  <c r="DT10" i="9"/>
  <c r="DT15" i="9"/>
  <c r="DT14" i="9"/>
  <c r="DT19" i="9"/>
  <c r="DE97" i="9"/>
  <c r="DE30" i="9"/>
  <c r="DC26" i="9"/>
  <c r="DB97" i="9"/>
  <c r="DB6" i="9"/>
  <c r="CZ26" i="9"/>
  <c r="CY6" i="9"/>
  <c r="CW26" i="9"/>
  <c r="DS29" i="9"/>
  <c r="CV30" i="9"/>
  <c r="DS28" i="9"/>
  <c r="CT26" i="9"/>
  <c r="DS32" i="9"/>
  <c r="DT103" i="9"/>
  <c r="CS30" i="9"/>
  <c r="DR31" i="9"/>
  <c r="DT8" i="9"/>
  <c r="DS107" i="9"/>
  <c r="CQ26" i="9"/>
  <c r="DS30" i="9"/>
  <c r="CN26" i="9"/>
  <c r="DR32" i="9"/>
  <c r="DR30" i="9"/>
  <c r="CP30" i="9"/>
  <c r="DT22" i="9"/>
  <c r="DS31" i="9"/>
  <c r="DT11" i="9"/>
  <c r="DR28" i="9"/>
  <c r="DT99" i="9"/>
  <c r="CM101" i="9"/>
  <c r="CK105" i="9"/>
  <c r="DR101" i="9"/>
  <c r="DT18" i="9"/>
  <c r="DR107" i="9"/>
  <c r="DT12" i="9"/>
  <c r="DT16" i="9"/>
  <c r="DS101" i="9"/>
  <c r="DR29" i="9"/>
  <c r="CM6" i="9"/>
  <c r="CK26" i="9"/>
  <c r="AB45" i="19"/>
  <c r="AB46" i="19" s="1"/>
  <c r="R30" i="19"/>
  <c r="R31" i="19" s="1"/>
  <c r="R13" i="19"/>
  <c r="DR91" i="9"/>
  <c r="DT79" i="9"/>
  <c r="CG65" i="9"/>
  <c r="CG77" i="9"/>
  <c r="CF77" i="9"/>
  <c r="Y31" i="19"/>
  <c r="X31" i="19"/>
  <c r="S31" i="19"/>
  <c r="CG42" i="9"/>
  <c r="AT42" i="9"/>
  <c r="DT42" i="9"/>
  <c r="AT58" i="9"/>
  <c r="AT57" i="9"/>
  <c r="DT56" i="9"/>
  <c r="AT56" i="9"/>
  <c r="CG92" i="9"/>
  <c r="CG94" i="9"/>
  <c r="T31" i="19"/>
  <c r="T38" i="19"/>
  <c r="T39" i="19" s="1"/>
  <c r="AZ79" i="9"/>
  <c r="AZ91" i="9"/>
  <c r="AZ95" i="9"/>
  <c r="CG95" i="9"/>
  <c r="CG79" i="9"/>
  <c r="DT85" i="9"/>
  <c r="DT93" i="9"/>
  <c r="CG85" i="9"/>
  <c r="CG93" i="9"/>
  <c r="AT93" i="9"/>
  <c r="AT85" i="9"/>
  <c r="AT91" i="9"/>
  <c r="CG59" i="9"/>
  <c r="AT59" i="9"/>
  <c r="DT58" i="9"/>
  <c r="CD74" i="9"/>
  <c r="CD61" i="9"/>
  <c r="CD73" i="9"/>
  <c r="BF75" i="9"/>
  <c r="BF61" i="9"/>
  <c r="BF73" i="9"/>
  <c r="CG67" i="9"/>
  <c r="BX26" i="9"/>
  <c r="BL26" i="9"/>
  <c r="BL24" i="9"/>
  <c r="CF52" i="9"/>
  <c r="CF54" i="9"/>
  <c r="DT55" i="9"/>
  <c r="DT34" i="9"/>
  <c r="CG55" i="9"/>
  <c r="CG34" i="9"/>
  <c r="AT55" i="9"/>
  <c r="AT34" i="9"/>
  <c r="M26" i="9"/>
  <c r="AQ24" i="9"/>
  <c r="AQ26" i="9"/>
  <c r="D17" i="36"/>
  <c r="D19" i="36"/>
  <c r="D33" i="36"/>
  <c r="D47" i="36"/>
  <c r="D35" i="36"/>
  <c r="CA74" i="9"/>
  <c r="CA61" i="9"/>
  <c r="CA73" i="9"/>
  <c r="CG63" i="9"/>
  <c r="CG75" i="9"/>
  <c r="CF75" i="9"/>
  <c r="CF61" i="9"/>
  <c r="CF73" i="9"/>
  <c r="CG62" i="9"/>
  <c r="CF74" i="9"/>
  <c r="AS73" i="9"/>
  <c r="DR73" i="9"/>
  <c r="DQ73" i="9"/>
  <c r="DN73" i="9"/>
  <c r="DK73" i="9"/>
  <c r="DH73" i="9"/>
  <c r="DE73" i="9"/>
  <c r="DB73" i="9"/>
  <c r="CY73" i="9"/>
  <c r="CV73" i="9"/>
  <c r="CS73" i="9"/>
  <c r="CP73" i="9"/>
  <c r="CM73" i="9"/>
  <c r="CE73" i="9"/>
  <c r="AW26" i="9"/>
  <c r="AW24" i="9"/>
  <c r="BL107" i="9"/>
  <c r="BL97" i="9"/>
  <c r="BL105" i="9"/>
  <c r="CV105" i="9"/>
  <c r="DT74" i="9"/>
  <c r="DT61" i="9"/>
  <c r="DT73" i="9"/>
  <c r="AT74" i="9"/>
  <c r="AT61" i="9"/>
  <c r="AT73" i="9"/>
  <c r="BR26" i="9"/>
  <c r="BR24" i="9"/>
  <c r="CD26" i="9"/>
  <c r="CD24" i="9"/>
  <c r="AK26" i="9"/>
  <c r="DH105" i="9"/>
  <c r="P26" i="9"/>
  <c r="P24" i="9"/>
  <c r="AN26" i="9"/>
  <c r="AN24" i="9"/>
  <c r="Y26" i="9"/>
  <c r="Y24" i="9"/>
  <c r="G26" i="9"/>
  <c r="G24" i="9"/>
  <c r="DE105" i="9"/>
  <c r="AZ107" i="9"/>
  <c r="AZ97" i="9"/>
  <c r="AZ105" i="9"/>
  <c r="BN97" i="9"/>
  <c r="BN105" i="9"/>
  <c r="BN106" i="9"/>
  <c r="DS106" i="9"/>
  <c r="DS97" i="9"/>
  <c r="DS105" i="9"/>
  <c r="DR106" i="9"/>
  <c r="DT98" i="9"/>
  <c r="DR97" i="9"/>
  <c r="DR105" i="9"/>
  <c r="DS27" i="9"/>
  <c r="DS6" i="9"/>
  <c r="DR6" i="9"/>
  <c r="DR27" i="9"/>
  <c r="DT7" i="9"/>
  <c r="CA24" i="9"/>
  <c r="CA26" i="9"/>
  <c r="BI24" i="9"/>
  <c r="BI26" i="9"/>
  <c r="BC24" i="9"/>
  <c r="BC26" i="9"/>
  <c r="AZ24" i="9"/>
  <c r="AZ26" i="9"/>
  <c r="V26" i="9"/>
  <c r="V24" i="9"/>
  <c r="DK105" i="9"/>
  <c r="DT31" i="9"/>
  <c r="DQ105" i="9"/>
  <c r="DN26" i="9"/>
  <c r="CS26" i="9"/>
  <c r="DQ26" i="9"/>
  <c r="DB105" i="9"/>
  <c r="DE24" i="9"/>
  <c r="DE26" i="9"/>
  <c r="DD11" i="27"/>
  <c r="CV26" i="9"/>
  <c r="CP26" i="9"/>
  <c r="DT32" i="9"/>
  <c r="CM105" i="9"/>
  <c r="DN105" i="9"/>
  <c r="CY105" i="9"/>
  <c r="CP105" i="9"/>
  <c r="DT29" i="9"/>
  <c r="DK24" i="9"/>
  <c r="DK26" i="9"/>
  <c r="DT30" i="9"/>
  <c r="DH26" i="9"/>
  <c r="DH24" i="9"/>
  <c r="DT107" i="9"/>
  <c r="DB24" i="9"/>
  <c r="DB26" i="9"/>
  <c r="CY26" i="9"/>
  <c r="CY24" i="9"/>
  <c r="DT28" i="9"/>
  <c r="DT101" i="9"/>
  <c r="CM26" i="9"/>
  <c r="CM24" i="9"/>
  <c r="DT91" i="9"/>
  <c r="CG91" i="9"/>
  <c r="DT52" i="9"/>
  <c r="DT54" i="9"/>
  <c r="CG52" i="9"/>
  <c r="CG54" i="9"/>
  <c r="AT52" i="9"/>
  <c r="AT54" i="9"/>
  <c r="D36" i="36"/>
  <c r="CG74" i="9"/>
  <c r="CG61" i="9"/>
  <c r="CG73" i="9"/>
  <c r="DT106" i="9"/>
  <c r="DT97" i="9"/>
  <c r="DT105" i="9"/>
  <c r="DS24" i="9"/>
  <c r="DS26" i="9"/>
  <c r="DR24" i="9"/>
  <c r="DR26" i="9"/>
  <c r="DT6" i="9"/>
  <c r="DT27" i="9"/>
  <c r="DT24" i="9"/>
  <c r="DT26" i="9"/>
  <c r="EG19" i="27"/>
  <c r="AR18" i="8"/>
  <c r="AR22" i="8" s="1"/>
  <c r="AR17" i="8"/>
  <c r="AR16" i="8" s="1"/>
  <c r="AX16" i="8"/>
  <c r="AR10" i="8"/>
  <c r="AR9" i="8"/>
  <c r="EG14" i="27"/>
  <c r="AX8" i="8"/>
  <c r="AR8" i="8"/>
  <c r="AR14" i="8"/>
  <c r="AX22" i="8"/>
  <c r="P11" i="19"/>
  <c r="P23" i="19"/>
  <c r="P26" i="19"/>
  <c r="P25" i="19" s="1"/>
  <c r="P27" i="19"/>
  <c r="P28" i="19"/>
  <c r="P34" i="19"/>
  <c r="P33" i="19" s="1"/>
  <c r="P38" i="19" s="1"/>
  <c r="P35" i="19"/>
  <c r="P36" i="19"/>
  <c r="P42" i="19"/>
  <c r="P43" i="19"/>
  <c r="P22" i="19"/>
  <c r="P20" i="19"/>
  <c r="P13" i="19"/>
  <c r="P15" i="19"/>
  <c r="P30" i="19"/>
  <c r="P31" i="19"/>
  <c r="S7" i="30"/>
  <c r="L10" i="28"/>
  <c r="K10" i="28"/>
  <c r="J10" i="28"/>
  <c r="I10" i="28"/>
  <c r="H10" i="28"/>
  <c r="G10" i="28"/>
  <c r="F10" i="28"/>
  <c r="E10" i="28"/>
  <c r="D10" i="28"/>
  <c r="Q8" i="24"/>
  <c r="P8" i="24"/>
  <c r="P21" i="24"/>
  <c r="O8" i="24"/>
  <c r="O21" i="24"/>
  <c r="N8" i="24"/>
  <c r="N21" i="24"/>
  <c r="M8" i="24"/>
  <c r="L8" i="24"/>
  <c r="K8" i="24"/>
  <c r="J8" i="24"/>
  <c r="I8" i="24"/>
  <c r="H8" i="24"/>
  <c r="G8" i="24"/>
  <c r="F8" i="24"/>
  <c r="E8" i="24"/>
  <c r="E21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N8" i="28"/>
  <c r="M8" i="28"/>
  <c r="N9" i="28"/>
  <c r="M9" i="28"/>
  <c r="Q21" i="24"/>
  <c r="K21" i="24"/>
  <c r="M21" i="24"/>
  <c r="I21" i="24"/>
  <c r="L21" i="24"/>
  <c r="H21" i="24"/>
  <c r="J21" i="24"/>
  <c r="F21" i="24"/>
  <c r="G21" i="24"/>
  <c r="EG9" i="27"/>
  <c r="EG6" i="27"/>
  <c r="ED9" i="27"/>
  <c r="ED6" i="27"/>
  <c r="BZ9" i="27"/>
  <c r="BZ6" i="27"/>
  <c r="EG12" i="27"/>
  <c r="EG11" i="27" s="1"/>
  <c r="ED12" i="27"/>
  <c r="EH12" i="27" s="1"/>
  <c r="BZ12" i="27"/>
  <c r="BV11" i="27"/>
  <c r="CE103" i="9"/>
  <c r="CF103" i="9"/>
  <c r="CF102" i="9"/>
  <c r="CE102" i="9"/>
  <c r="CF22" i="9"/>
  <c r="CE22" i="9"/>
  <c r="CF20" i="9"/>
  <c r="CE20" i="9"/>
  <c r="CF19" i="9"/>
  <c r="CE19" i="9"/>
  <c r="CF18" i="9"/>
  <c r="CE18" i="9"/>
  <c r="CF17" i="9"/>
  <c r="CE17" i="9"/>
  <c r="CF16" i="9"/>
  <c r="CE16" i="9"/>
  <c r="CF15" i="9"/>
  <c r="CF14" i="9"/>
  <c r="CE15" i="9"/>
  <c r="CE14" i="9"/>
  <c r="CE8" i="9"/>
  <c r="CF8" i="9"/>
  <c r="CE9" i="9"/>
  <c r="CF9" i="9"/>
  <c r="CE10" i="9"/>
  <c r="CF10" i="9"/>
  <c r="CE11" i="9"/>
  <c r="CF11" i="9"/>
  <c r="CE12" i="9"/>
  <c r="CF12" i="9"/>
  <c r="CF7" i="9"/>
  <c r="CE7" i="9"/>
  <c r="CE98" i="9"/>
  <c r="CF98" i="9"/>
  <c r="CE99" i="9"/>
  <c r="CF99" i="9"/>
  <c r="O33" i="19"/>
  <c r="N33" i="19"/>
  <c r="M33" i="19"/>
  <c r="L33" i="19"/>
  <c r="K33" i="19"/>
  <c r="J33" i="19"/>
  <c r="I33" i="19"/>
  <c r="H33" i="19"/>
  <c r="G33" i="19"/>
  <c r="F33" i="19"/>
  <c r="E33" i="19"/>
  <c r="D33" i="19"/>
  <c r="O25" i="19"/>
  <c r="N25" i="19"/>
  <c r="M25" i="19"/>
  <c r="M30" i="19" s="1"/>
  <c r="L25" i="19"/>
  <c r="K25" i="19"/>
  <c r="K30" i="19" s="1"/>
  <c r="K31" i="19" s="1"/>
  <c r="J25" i="19"/>
  <c r="J30" i="19" s="1"/>
  <c r="J38" i="19" s="1"/>
  <c r="J39" i="19" s="1"/>
  <c r="I25" i="19"/>
  <c r="I30" i="19" s="1"/>
  <c r="H25" i="19"/>
  <c r="H30" i="19" s="1"/>
  <c r="G25" i="19"/>
  <c r="F25" i="19"/>
  <c r="E25" i="19"/>
  <c r="D25" i="19"/>
  <c r="D30" i="19" s="1"/>
  <c r="O41" i="19"/>
  <c r="N41" i="19"/>
  <c r="M41" i="19"/>
  <c r="L41" i="19"/>
  <c r="K41" i="19"/>
  <c r="J41" i="19"/>
  <c r="I41" i="19"/>
  <c r="H41" i="19"/>
  <c r="G41" i="19"/>
  <c r="O22" i="19"/>
  <c r="O20" i="19"/>
  <c r="N22" i="19"/>
  <c r="N20" i="19"/>
  <c r="M22" i="19"/>
  <c r="M20" i="19"/>
  <c r="L22" i="19"/>
  <c r="L20" i="19"/>
  <c r="K22" i="19"/>
  <c r="K20" i="19"/>
  <c r="J22" i="19"/>
  <c r="J20" i="19"/>
  <c r="I22" i="19"/>
  <c r="I20" i="19"/>
  <c r="H22" i="19"/>
  <c r="G22" i="19"/>
  <c r="G20" i="19"/>
  <c r="F22" i="19"/>
  <c r="F20" i="19"/>
  <c r="F41" i="19"/>
  <c r="E41" i="19"/>
  <c r="E45" i="19" s="1"/>
  <c r="E46" i="19" s="1"/>
  <c r="D41" i="19"/>
  <c r="AO20" i="8"/>
  <c r="AQ22" i="8"/>
  <c r="AP22" i="8"/>
  <c r="AO22" i="8"/>
  <c r="AQ21" i="8"/>
  <c r="AP21" i="8"/>
  <c r="AO21" i="8"/>
  <c r="AN21" i="8"/>
  <c r="AM21" i="8"/>
  <c r="AL21" i="8"/>
  <c r="AK21" i="8"/>
  <c r="AJ21" i="8"/>
  <c r="AI21" i="8"/>
  <c r="AH21" i="8"/>
  <c r="AF21" i="8"/>
  <c r="AQ16" i="8"/>
  <c r="AP16" i="8"/>
  <c r="AO16" i="8"/>
  <c r="AN16" i="8"/>
  <c r="AM16" i="8"/>
  <c r="AL16" i="8"/>
  <c r="AK16" i="8"/>
  <c r="AJ16" i="8"/>
  <c r="AI16" i="8"/>
  <c r="AI20" i="8" s="1"/>
  <c r="AH16" i="8"/>
  <c r="AG16" i="8"/>
  <c r="AF16" i="8"/>
  <c r="AQ14" i="8"/>
  <c r="AP14" i="8"/>
  <c r="AO14" i="8"/>
  <c r="AQ13" i="8"/>
  <c r="AP13" i="8"/>
  <c r="AO13" i="8"/>
  <c r="AN13" i="8"/>
  <c r="AM13" i="8"/>
  <c r="AL13" i="8"/>
  <c r="AK13" i="8"/>
  <c r="AJ13" i="8"/>
  <c r="AI13" i="8"/>
  <c r="AH13" i="8"/>
  <c r="AF13" i="8"/>
  <c r="AQ8" i="8"/>
  <c r="AP8" i="8"/>
  <c r="AO8" i="8"/>
  <c r="AO12" i="8" s="1"/>
  <c r="AN8" i="8"/>
  <c r="AM8" i="8"/>
  <c r="AL8" i="8"/>
  <c r="AK8" i="8"/>
  <c r="AK12" i="8" s="1"/>
  <c r="AJ8" i="8"/>
  <c r="AI8" i="8"/>
  <c r="AH8" i="8"/>
  <c r="AG8" i="8"/>
  <c r="AF8" i="8"/>
  <c r="I107" i="9"/>
  <c r="H107" i="9"/>
  <c r="I106" i="9"/>
  <c r="H106" i="9"/>
  <c r="AR103" i="9"/>
  <c r="AS103" i="9"/>
  <c r="I101" i="9"/>
  <c r="H101" i="9"/>
  <c r="AS98" i="9"/>
  <c r="AR99" i="9"/>
  <c r="AS99" i="9"/>
  <c r="I97" i="9"/>
  <c r="H97" i="9"/>
  <c r="AS102" i="9"/>
  <c r="AR102" i="9"/>
  <c r="AR98" i="9"/>
  <c r="AR106" i="9"/>
  <c r="E22" i="19"/>
  <c r="E20" i="19"/>
  <c r="D22" i="19"/>
  <c r="D20" i="19"/>
  <c r="I32" i="9"/>
  <c r="H32" i="9"/>
  <c r="I31" i="9"/>
  <c r="H31" i="9"/>
  <c r="I30" i="9"/>
  <c r="H30" i="9"/>
  <c r="I29" i="9"/>
  <c r="H29" i="9"/>
  <c r="I28" i="9"/>
  <c r="H28" i="9"/>
  <c r="I27" i="9"/>
  <c r="H27" i="9"/>
  <c r="I6" i="9"/>
  <c r="I24" i="9"/>
  <c r="H6" i="9"/>
  <c r="H24" i="9"/>
  <c r="AS22" i="9"/>
  <c r="AR22" i="9"/>
  <c r="J22" i="9"/>
  <c r="AS20" i="9"/>
  <c r="AR20" i="9"/>
  <c r="J20" i="9"/>
  <c r="AS19" i="9"/>
  <c r="AR19" i="9"/>
  <c r="J19" i="9"/>
  <c r="AS18" i="9"/>
  <c r="AR18" i="9"/>
  <c r="J18" i="9"/>
  <c r="AS17" i="9"/>
  <c r="AR17" i="9"/>
  <c r="AT17" i="9"/>
  <c r="J17" i="9"/>
  <c r="AS16" i="9"/>
  <c r="AR16" i="9"/>
  <c r="J16" i="9"/>
  <c r="AS15" i="9"/>
  <c r="AS14" i="9"/>
  <c r="AR15" i="9"/>
  <c r="AR14" i="9"/>
  <c r="J15" i="9"/>
  <c r="J14" i="9"/>
  <c r="AS12" i="9"/>
  <c r="AR12" i="9"/>
  <c r="J12" i="9"/>
  <c r="AS11" i="9"/>
  <c r="AR11" i="9"/>
  <c r="J11" i="9"/>
  <c r="AS10" i="9"/>
  <c r="AR10" i="9"/>
  <c r="J10" i="9"/>
  <c r="AS9" i="9"/>
  <c r="AR9" i="9"/>
  <c r="J9" i="9"/>
  <c r="AS8" i="9"/>
  <c r="AR8" i="9"/>
  <c r="J8" i="9"/>
  <c r="AS7" i="9"/>
  <c r="AR7" i="9"/>
  <c r="J7" i="9"/>
  <c r="AI14" i="8"/>
  <c r="AI22" i="8"/>
  <c r="AH14" i="8"/>
  <c r="AH22" i="8"/>
  <c r="AG14" i="8"/>
  <c r="AG22" i="8"/>
  <c r="AN14" i="8"/>
  <c r="AN22" i="8"/>
  <c r="AF14" i="8"/>
  <c r="AF22" i="8"/>
  <c r="AL14" i="8"/>
  <c r="AL22" i="8"/>
  <c r="AJ14" i="8"/>
  <c r="AJ22" i="8"/>
  <c r="AK14" i="8"/>
  <c r="AK22" i="8"/>
  <c r="AM14" i="8"/>
  <c r="AM22" i="8"/>
  <c r="H15" i="19"/>
  <c r="H20" i="19"/>
  <c r="AN20" i="8"/>
  <c r="AK20" i="8"/>
  <c r="ED14" i="27"/>
  <c r="O13" i="19"/>
  <c r="O15" i="19"/>
  <c r="N13" i="19"/>
  <c r="N15" i="19"/>
  <c r="M13" i="19"/>
  <c r="M15" i="19"/>
  <c r="L13" i="19"/>
  <c r="L15" i="19"/>
  <c r="K13" i="19"/>
  <c r="K15" i="19"/>
  <c r="J13" i="19"/>
  <c r="J15" i="19"/>
  <c r="I13" i="19"/>
  <c r="I15" i="19"/>
  <c r="G13" i="19"/>
  <c r="G15" i="19"/>
  <c r="F13" i="19"/>
  <c r="F15" i="19"/>
  <c r="E13" i="19"/>
  <c r="E15" i="19"/>
  <c r="D13" i="19"/>
  <c r="D15" i="19"/>
  <c r="J27" i="9"/>
  <c r="J30" i="9"/>
  <c r="J29" i="9"/>
  <c r="AS28" i="9"/>
  <c r="AS27" i="9"/>
  <c r="CE29" i="9"/>
  <c r="CF29" i="9"/>
  <c r="AT102" i="9"/>
  <c r="AS32" i="9"/>
  <c r="J31" i="9"/>
  <c r="AT10" i="9"/>
  <c r="AT11" i="9"/>
  <c r="E30" i="19"/>
  <c r="AS106" i="9"/>
  <c r="AT18" i="9"/>
  <c r="AT12" i="9"/>
  <c r="CG99" i="9"/>
  <c r="AT98" i="9"/>
  <c r="AT7" i="9"/>
  <c r="AT22" i="9"/>
  <c r="H105" i="9"/>
  <c r="AT9" i="9"/>
  <c r="AT29" i="9"/>
  <c r="AT20" i="9"/>
  <c r="I105" i="9"/>
  <c r="AT19" i="9"/>
  <c r="I26" i="9"/>
  <c r="AS29" i="9"/>
  <c r="AT16" i="9"/>
  <c r="AS31" i="9"/>
  <c r="H26" i="9"/>
  <c r="AT103" i="9"/>
  <c r="AR29" i="9"/>
  <c r="AR32" i="9"/>
  <c r="AT15" i="9"/>
  <c r="AT14" i="9"/>
  <c r="AS30" i="9"/>
  <c r="AS107" i="9"/>
  <c r="J97" i="9"/>
  <c r="J107" i="9"/>
  <c r="J32" i="9"/>
  <c r="AS97" i="9"/>
  <c r="CG19" i="9"/>
  <c r="CG103" i="9"/>
  <c r="AT8" i="9"/>
  <c r="J101" i="9"/>
  <c r="AR107" i="9"/>
  <c r="AT99" i="9"/>
  <c r="J6" i="9"/>
  <c r="J24" i="9"/>
  <c r="AR28" i="9"/>
  <c r="AR27" i="9"/>
  <c r="J28" i="9"/>
  <c r="AS101" i="9"/>
  <c r="AR31" i="9"/>
  <c r="AR30" i="9"/>
  <c r="AR101" i="9"/>
  <c r="J106" i="9"/>
  <c r="AR97" i="9"/>
  <c r="AS6" i="9"/>
  <c r="AR6" i="9"/>
  <c r="CF27" i="9"/>
  <c r="CG20" i="9"/>
  <c r="CE107" i="9"/>
  <c r="CG9" i="9"/>
  <c r="CG8" i="9"/>
  <c r="CG11" i="9"/>
  <c r="CG15" i="9"/>
  <c r="CG14" i="9"/>
  <c r="CG22" i="9"/>
  <c r="CF107" i="9"/>
  <c r="CG102" i="9"/>
  <c r="CF101" i="9"/>
  <c r="CG16" i="9"/>
  <c r="CF32" i="9"/>
  <c r="CE32" i="9"/>
  <c r="CG10" i="9"/>
  <c r="CE30" i="9"/>
  <c r="CF30" i="9"/>
  <c r="CF31" i="9"/>
  <c r="N30" i="19"/>
  <c r="N31" i="19" s="1"/>
  <c r="CF97" i="9"/>
  <c r="CF106" i="9"/>
  <c r="CE106" i="9"/>
  <c r="CE101" i="9"/>
  <c r="CG18" i="9"/>
  <c r="CF28" i="9"/>
  <c r="CE6" i="9"/>
  <c r="CE24" i="9"/>
  <c r="CE27" i="9"/>
  <c r="CE31" i="9"/>
  <c r="CG7" i="9"/>
  <c r="M10" i="28"/>
  <c r="N10" i="28"/>
  <c r="AN12" i="8"/>
  <c r="EH9" i="27"/>
  <c r="EH6" i="27" s="1"/>
  <c r="AP12" i="8"/>
  <c r="O30" i="19"/>
  <c r="O31" i="19" s="1"/>
  <c r="O38" i="19"/>
  <c r="O39" i="19" s="1"/>
  <c r="O45" i="19"/>
  <c r="O46" i="19"/>
  <c r="G30" i="19"/>
  <c r="J45" i="19"/>
  <c r="J46" i="19"/>
  <c r="L30" i="19"/>
  <c r="H13" i="19"/>
  <c r="F30" i="19"/>
  <c r="F31" i="19" s="1"/>
  <c r="CG98" i="9"/>
  <c r="CG17" i="9"/>
  <c r="CE28" i="9"/>
  <c r="CF6" i="9"/>
  <c r="CG12" i="9"/>
  <c r="CG27" i="9"/>
  <c r="AT106" i="9"/>
  <c r="AT30" i="9"/>
  <c r="AT31" i="9"/>
  <c r="CG107" i="9"/>
  <c r="E38" i="19"/>
  <c r="E39" i="19" s="1"/>
  <c r="E31" i="19"/>
  <c r="AT107" i="9"/>
  <c r="N38" i="19"/>
  <c r="N39" i="19" s="1"/>
  <c r="K38" i="19"/>
  <c r="K39" i="19" s="1"/>
  <c r="AT32" i="9"/>
  <c r="AT27" i="9"/>
  <c r="AT28" i="9"/>
  <c r="CG28" i="9"/>
  <c r="CE97" i="9"/>
  <c r="CE105" i="9"/>
  <c r="CG31" i="9"/>
  <c r="J105" i="9"/>
  <c r="CF105" i="9"/>
  <c r="CG97" i="9"/>
  <c r="AS105" i="9"/>
  <c r="AT6" i="9"/>
  <c r="AT24" i="9"/>
  <c r="J26" i="9"/>
  <c r="AR105" i="9"/>
  <c r="AR24" i="9"/>
  <c r="AR26" i="9"/>
  <c r="AT101" i="9"/>
  <c r="AS24" i="9"/>
  <c r="AS26" i="9"/>
  <c r="CG32" i="9"/>
  <c r="AT97" i="9"/>
  <c r="CG30" i="9"/>
  <c r="CE26" i="9"/>
  <c r="CG101" i="9"/>
  <c r="F38" i="19"/>
  <c r="F39" i="19" s="1"/>
  <c r="CG106" i="9"/>
  <c r="CG29" i="9"/>
  <c r="CF26" i="9"/>
  <c r="CF24" i="9"/>
  <c r="CG6" i="9"/>
  <c r="AT26" i="9"/>
  <c r="AT105" i="9"/>
  <c r="CG105" i="9"/>
  <c r="F45" i="19"/>
  <c r="F46" i="19"/>
  <c r="CG24" i="9"/>
  <c r="CG26" i="9"/>
  <c r="Q25" i="19"/>
  <c r="Q30" i="19"/>
  <c r="Q31" i="19"/>
  <c r="AG20" i="8"/>
  <c r="AG21" i="8"/>
  <c r="AG13" i="8"/>
  <c r="AX13" i="8"/>
  <c r="L19" i="27"/>
  <c r="K19" i="27"/>
  <c r="J19" i="27"/>
  <c r="I19" i="27"/>
  <c r="Q19" i="27"/>
  <c r="P19" i="27"/>
  <c r="O19" i="27"/>
  <c r="N19" i="27"/>
  <c r="V19" i="27"/>
  <c r="U19" i="27"/>
  <c r="T19" i="27"/>
  <c r="S19" i="27"/>
  <c r="AA19" i="27"/>
  <c r="Z19" i="27"/>
  <c r="Y19" i="27"/>
  <c r="X19" i="27"/>
  <c r="AE19" i="27"/>
  <c r="AD19" i="27"/>
  <c r="AC19" i="27"/>
  <c r="AF19" i="27"/>
  <c r="AJ19" i="27"/>
  <c r="AI19" i="27"/>
  <c r="AH19" i="27"/>
  <c r="AK19" i="27"/>
  <c r="AP19" i="27"/>
  <c r="AN19" i="27"/>
  <c r="AM19" i="27"/>
  <c r="AO19" i="27"/>
  <c r="AS19" i="27"/>
  <c r="AU19" i="27"/>
  <c r="AT19" i="27"/>
  <c r="AR19" i="27"/>
  <c r="AW19" i="27"/>
  <c r="AX19" i="27"/>
  <c r="AY19" i="27"/>
  <c r="AZ19" i="27"/>
  <c r="BC19" i="27"/>
  <c r="BB19" i="27"/>
  <c r="BD19" i="27"/>
  <c r="BF19" i="27"/>
  <c r="BE19" i="27"/>
  <c r="BH19" i="27"/>
  <c r="BI19" i="27"/>
  <c r="BJ19" i="27"/>
  <c r="BK19" i="27"/>
  <c r="BG19" i="27"/>
  <c r="BO19" i="27"/>
  <c r="BN19" i="27"/>
  <c r="BL19" i="27"/>
  <c r="BM19" i="27"/>
  <c r="BQ19" i="27"/>
  <c r="CG19" i="27"/>
  <c r="DY19" i="27"/>
  <c r="EA19" i="27"/>
  <c r="CV19" i="27"/>
  <c r="DR19" i="27"/>
  <c r="BX19" i="27"/>
  <c r="CW19" i="27"/>
  <c r="DV19" i="27"/>
  <c r="CP19" i="27"/>
  <c r="EB19" i="27"/>
  <c r="DT19" i="27"/>
  <c r="DS19" i="27"/>
  <c r="DO19" i="27"/>
  <c r="DG19" i="27"/>
  <c r="CX19" i="27"/>
  <c r="CQ19" i="27"/>
  <c r="CF19" i="27"/>
  <c r="BY19" i="27"/>
  <c r="DQ19" i="27"/>
  <c r="CS19" i="27"/>
  <c r="DC19" i="27"/>
  <c r="CB19" i="27"/>
  <c r="CZ19" i="27"/>
  <c r="CE19" i="27"/>
  <c r="DU19" i="27"/>
  <c r="DK19" i="27"/>
  <c r="CU19" i="27"/>
  <c r="CR19" i="27"/>
  <c r="CD19" i="27"/>
  <c r="DA19" i="27"/>
  <c r="CA19" i="27"/>
  <c r="DZ19" i="27"/>
  <c r="DM19" i="27"/>
  <c r="DE19" i="27"/>
  <c r="DW19" i="27"/>
  <c r="DD19" i="27"/>
  <c r="DH19" i="27"/>
  <c r="BW19" i="27"/>
  <c r="BV19" i="27"/>
  <c r="DJ19" i="27"/>
  <c r="CN19" i="27"/>
  <c r="CK19" i="27"/>
  <c r="CI19" i="27"/>
  <c r="CC19" i="27"/>
  <c r="DP19" i="27"/>
  <c r="CL19" i="27"/>
  <c r="DL19" i="27"/>
  <c r="DF19" i="27"/>
  <c r="DB19" i="27"/>
  <c r="CH19" i="27"/>
  <c r="CM19" i="27"/>
  <c r="EI19" i="27"/>
  <c r="EJ19" i="27"/>
  <c r="EK19" i="27"/>
  <c r="EL19" i="27"/>
  <c r="EM19" i="27"/>
  <c r="EP19" i="27"/>
  <c r="EO19" i="27"/>
  <c r="EN19" i="27"/>
  <c r="EQ19" i="27"/>
  <c r="EU19" i="27"/>
  <c r="EV19" i="27"/>
  <c r="ES19" i="27"/>
  <c r="ET19" i="27"/>
  <c r="FA19" i="27"/>
  <c r="EY19" i="27"/>
  <c r="EZ19" i="27"/>
  <c r="FE19" i="27"/>
  <c r="FB19" i="27"/>
  <c r="EX19" i="27"/>
  <c r="FC19" i="27"/>
  <c r="FD19" i="27"/>
  <c r="FF19" i="27"/>
  <c r="FG19" i="27"/>
  <c r="R8" i="8" l="1"/>
  <c r="R12" i="8"/>
  <c r="R20" i="8"/>
  <c r="R22" i="8"/>
  <c r="R14" i="8"/>
  <c r="AH12" i="8"/>
  <c r="AL12" i="8"/>
  <c r="AL20" i="8"/>
  <c r="N20" i="8"/>
  <c r="AE22" i="8"/>
  <c r="AJ20" i="8"/>
  <c r="AJ12" i="8"/>
  <c r="R21" i="8"/>
  <c r="AE14" i="8"/>
  <c r="Q12" i="8"/>
  <c r="AE20" i="8"/>
  <c r="AX21" i="8"/>
  <c r="AE21" i="8"/>
  <c r="T12" i="8"/>
  <c r="T20" i="8"/>
  <c r="E20" i="8"/>
  <c r="AT12" i="8"/>
  <c r="AP20" i="8"/>
  <c r="U12" i="8"/>
  <c r="BQ11" i="27"/>
  <c r="EH18" i="27"/>
  <c r="M14" i="27"/>
  <c r="M11" i="27"/>
  <c r="BA11" i="27"/>
  <c r="BA19" i="27"/>
  <c r="BA14" i="27"/>
  <c r="EF14" i="27"/>
  <c r="EF19" i="27"/>
  <c r="DX19" i="27"/>
  <c r="DX14" i="27"/>
  <c r="AG19" i="27"/>
  <c r="CY11" i="27"/>
  <c r="DI11" i="27"/>
  <c r="S45" i="19"/>
  <c r="S46" i="19" s="1"/>
  <c r="S39" i="19"/>
  <c r="X39" i="19"/>
  <c r="X45" i="19"/>
  <c r="X46" i="19" s="1"/>
  <c r="H38" i="19"/>
  <c r="H31" i="19"/>
  <c r="K45" i="19"/>
  <c r="K46" i="19" s="1"/>
  <c r="J31" i="19"/>
  <c r="R38" i="19"/>
  <c r="AC38" i="19"/>
  <c r="AC31" i="19"/>
  <c r="I31" i="19"/>
  <c r="I38" i="19"/>
  <c r="G38" i="19"/>
  <c r="G31" i="19"/>
  <c r="U31" i="19"/>
  <c r="U38" i="19"/>
  <c r="AA38" i="19"/>
  <c r="AA31" i="19"/>
  <c r="V38" i="19"/>
  <c r="V31" i="19"/>
  <c r="Q39" i="19"/>
  <c r="Q45" i="19"/>
  <c r="Q46" i="19" s="1"/>
  <c r="M31" i="19"/>
  <c r="M38" i="19"/>
  <c r="T45" i="19"/>
  <c r="T46" i="19" s="1"/>
  <c r="Y39" i="19"/>
  <c r="Y45" i="19"/>
  <c r="Y46" i="19" s="1"/>
  <c r="AC41" i="19"/>
  <c r="D31" i="19"/>
  <c r="D38" i="19"/>
  <c r="N45" i="19"/>
  <c r="N46" i="19" s="1"/>
  <c r="P41" i="19"/>
  <c r="P45" i="19" s="1"/>
  <c r="P46" i="19" s="1"/>
  <c r="L38" i="19"/>
  <c r="L31" i="19"/>
  <c r="Z38" i="19"/>
  <c r="W38" i="19"/>
  <c r="BZ11" i="27"/>
  <c r="BZ14" i="27"/>
  <c r="BZ19" i="27"/>
  <c r="AB11" i="27"/>
  <c r="AB19" i="27"/>
  <c r="AB14" i="27"/>
  <c r="H19" i="27"/>
  <c r="H14" i="27"/>
  <c r="H11" i="27"/>
  <c r="AQ11" i="27"/>
  <c r="AQ19" i="27"/>
  <c r="EE14" i="27"/>
  <c r="EE19" i="27"/>
  <c r="W11" i="27"/>
  <c r="W19" i="27"/>
  <c r="W14" i="27"/>
  <c r="ED11" i="27"/>
  <c r="ER11" i="27"/>
  <c r="ER14" i="27"/>
  <c r="ER19" i="27"/>
  <c r="BU14" i="27"/>
  <c r="BU19" i="27"/>
  <c r="CJ14" i="27"/>
  <c r="CJ19" i="27"/>
  <c r="CJ11" i="27"/>
  <c r="CO19" i="27"/>
  <c r="CO14" i="27"/>
  <c r="CO11" i="27"/>
  <c r="FG11" i="27"/>
  <c r="BR14" i="27"/>
  <c r="BR11" i="27"/>
  <c r="BR19" i="27"/>
  <c r="R14" i="27"/>
  <c r="R11" i="27"/>
  <c r="EW11" i="27"/>
  <c r="EW14" i="27"/>
  <c r="BK14" i="27"/>
  <c r="CT11" i="27"/>
  <c r="CT19" i="27"/>
  <c r="EC14" i="27"/>
  <c r="EC11" i="27"/>
  <c r="BP14" i="27"/>
  <c r="BP11" i="27"/>
  <c r="DS11" i="27"/>
  <c r="DS14" i="27"/>
  <c r="AV14" i="27"/>
  <c r="AF20" i="8"/>
  <c r="AF12" i="8"/>
  <c r="AI12" i="8"/>
  <c r="AQ12" i="8"/>
  <c r="AQ20" i="8"/>
  <c r="V12" i="8"/>
  <c r="AM20" i="8"/>
  <c r="AA20" i="8"/>
  <c r="AA12" i="8"/>
  <c r="AB12" i="8"/>
  <c r="M20" i="8"/>
  <c r="M12" i="8"/>
  <c r="O20" i="8"/>
  <c r="O12" i="8"/>
  <c r="AM12" i="8"/>
  <c r="P12" i="8"/>
  <c r="AH20" i="8"/>
  <c r="AX14" i="8"/>
  <c r="AR21" i="8"/>
  <c r="AG12" i="8"/>
  <c r="N12" i="8"/>
  <c r="AR13" i="8"/>
  <c r="Q20" i="8"/>
  <c r="F20" i="8"/>
  <c r="W12" i="8"/>
  <c r="AE12" i="8"/>
  <c r="AV12" i="8"/>
  <c r="J20" i="8"/>
  <c r="V39" i="19" l="1"/>
  <c r="V45" i="19"/>
  <c r="V46" i="19" s="1"/>
  <c r="AA39" i="19"/>
  <c r="AA45" i="19"/>
  <c r="AA46" i="19" s="1"/>
  <c r="L39" i="19"/>
  <c r="L45" i="19"/>
  <c r="L46" i="19" s="1"/>
  <c r="AC45" i="19"/>
  <c r="AC46" i="19" s="1"/>
  <c r="AC39" i="19"/>
  <c r="R39" i="19"/>
  <c r="R45" i="19"/>
  <c r="R46" i="19" s="1"/>
  <c r="D39" i="19"/>
  <c r="D45" i="19"/>
  <c r="D46" i="19" s="1"/>
  <c r="U45" i="19"/>
  <c r="U46" i="19" s="1"/>
  <c r="U39" i="19"/>
  <c r="H39" i="19"/>
  <c r="H45" i="19"/>
  <c r="H46" i="19" s="1"/>
  <c r="G45" i="19"/>
  <c r="G46" i="19" s="1"/>
  <c r="G39" i="19"/>
  <c r="W45" i="19"/>
  <c r="W46" i="19" s="1"/>
  <c r="W39" i="19"/>
  <c r="M45" i="19"/>
  <c r="M46" i="19" s="1"/>
  <c r="M39" i="19"/>
  <c r="I39" i="19"/>
  <c r="I45" i="19"/>
  <c r="I46" i="19" s="1"/>
  <c r="Z39" i="19"/>
  <c r="Z45" i="19"/>
  <c r="Z46" i="19" s="1"/>
  <c r="EH14" i="27"/>
  <c r="EH19" i="27"/>
  <c r="EH11" i="27"/>
  <c r="AR20" i="8"/>
  <c r="AR12" i="8"/>
  <c r="AX12" i="8"/>
  <c r="AX20" i="8"/>
</calcChain>
</file>

<file path=xl/sharedStrings.xml><?xml version="1.0" encoding="utf-8"?>
<sst xmlns="http://schemas.openxmlformats.org/spreadsheetml/2006/main" count="847" uniqueCount="276">
  <si>
    <t>Sr No</t>
  </si>
  <si>
    <t>Particulars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</si>
  <si>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</si>
  <si>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</si>
  <si>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</si>
  <si>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</si>
  <si>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</si>
  <si>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</si>
  <si>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</si>
  <si>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</si>
  <si>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</si>
  <si>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</si>
  <si>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</si>
  <si>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</si>
  <si>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Apr'25</t>
  </si>
  <si>
    <t>May'25</t>
  </si>
  <si>
    <t>Jun'25</t>
  </si>
  <si>
    <t>Jul'25</t>
  </si>
  <si>
    <t>Aug'25</t>
  </si>
  <si>
    <t>Sep'25</t>
  </si>
  <si>
    <t>Oct'25</t>
  </si>
  <si>
    <t>FY24</t>
  </si>
  <si>
    <t>FY25</t>
  </si>
  <si>
    <t>Direct Expenses</t>
  </si>
  <si>
    <t>Gross Margin</t>
  </si>
  <si>
    <t>Gross Margin (%)</t>
  </si>
  <si>
    <t>CM1 Expenses</t>
  </si>
  <si>
    <t>CM1 (%)</t>
  </si>
  <si>
    <t>CM2 Expenses</t>
  </si>
  <si>
    <t>CM2 (%)</t>
  </si>
  <si>
    <t>Hallmarking &amp; Certification Charges</t>
  </si>
  <si>
    <t>Commissions to Marketplaces</t>
  </si>
  <si>
    <t>Payment Gateway Charges</t>
  </si>
  <si>
    <t>Packaging Material Consumed</t>
  </si>
  <si>
    <t>CM1 Profit</t>
  </si>
  <si>
    <t>CM2 Profit</t>
  </si>
  <si>
    <t>Nov'25</t>
  </si>
  <si>
    <t>Dec'25</t>
  </si>
  <si>
    <t>Jan'26</t>
  </si>
  <si>
    <t>Feb'26</t>
  </si>
  <si>
    <t>Mar'26</t>
  </si>
  <si>
    <t>Sep'23</t>
  </si>
  <si>
    <t>Oct'23</t>
  </si>
  <si>
    <t>Nov'23</t>
  </si>
  <si>
    <t>Dec'23</t>
  </si>
  <si>
    <t>Jan'24</t>
  </si>
  <si>
    <t>Feb'24</t>
  </si>
  <si>
    <t>Mar'24</t>
  </si>
  <si>
    <t>Apr'24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</si>
  <si>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</si>
  <si>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</si>
  <si>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</si>
  <si>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</si>
  <si>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</si>
  <si>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</si>
  <si>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</si>
  <si>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</si>
  <si>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</si>
  <si>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</si>
  <si>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</si>
  <si>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 xml:space="preserve">Online </t>
  </si>
  <si>
    <t>Store</t>
  </si>
  <si>
    <t>Total</t>
  </si>
  <si>
    <t>A)</t>
  </si>
  <si>
    <t>Category-wise Net Volume Split (no. of units)</t>
  </si>
  <si>
    <t>Order Count</t>
  </si>
  <si>
    <t>Category-wise Average Selling Price</t>
  </si>
  <si>
    <t>Mumbai</t>
  </si>
  <si>
    <t>Pune</t>
  </si>
  <si>
    <t>Average Order Value</t>
  </si>
  <si>
    <t>B)</t>
  </si>
  <si>
    <t>Net Revenue from Online Channels</t>
  </si>
  <si>
    <t>Revenue from Own Website</t>
  </si>
  <si>
    <t>Cost of Goods Sold</t>
  </si>
  <si>
    <t>Index</t>
  </si>
  <si>
    <t>Sr. No.</t>
  </si>
  <si>
    <t>Reference Sheet</t>
  </si>
  <si>
    <t>Financial KPIs</t>
  </si>
  <si>
    <t>Online P&amp;L</t>
  </si>
  <si>
    <t>Store P&amp;L</t>
  </si>
  <si>
    <t>Financial KPIs&gt;&gt;&gt;</t>
  </si>
  <si>
    <t>C)</t>
  </si>
  <si>
    <t>Geography-wise Net Revenue Split</t>
  </si>
  <si>
    <t>Geography-wise Order Count</t>
  </si>
  <si>
    <t>Geography-wise Average Selling Price</t>
  </si>
  <si>
    <t>Website &amp; Marketplaces</t>
  </si>
  <si>
    <t>Blended Average Order Value</t>
  </si>
  <si>
    <t>Store AOV</t>
  </si>
  <si>
    <t>Blended Average Realisation</t>
  </si>
  <si>
    <t>Store ASP</t>
  </si>
  <si>
    <t>a)</t>
  </si>
  <si>
    <t>b)</t>
  </si>
  <si>
    <t>Online Branding Expenses</t>
  </si>
  <si>
    <t>Online Marketing Expenses</t>
  </si>
  <si>
    <t>Shipping Charges</t>
  </si>
  <si>
    <t>Order Counts</t>
  </si>
  <si>
    <t>A</t>
  </si>
  <si>
    <t>i)</t>
  </si>
  <si>
    <t>Performance Marketing Revenue</t>
  </si>
  <si>
    <t>ii)</t>
  </si>
  <si>
    <t>Organic Revenue</t>
  </si>
  <si>
    <t>B</t>
  </si>
  <si>
    <t>C</t>
  </si>
  <si>
    <t>D</t>
  </si>
  <si>
    <t>ROAS</t>
  </si>
  <si>
    <t>Performance Marketing Spend (without GST)</t>
  </si>
  <si>
    <t>Operational KPIs&gt;&gt;&gt;</t>
  </si>
  <si>
    <t>Date of Opening</t>
  </si>
  <si>
    <t>Store Type</t>
  </si>
  <si>
    <t>#</t>
  </si>
  <si>
    <t>Store Size (Sq Ft)</t>
  </si>
  <si>
    <t>Store Timings (AM to PM)</t>
  </si>
  <si>
    <t>Inventory Value (As of 31 Jan 2026)</t>
  </si>
  <si>
    <r>
      <t>Note</t>
    </r>
    <r>
      <rPr>
        <b/>
        <sz val="10"/>
        <color theme="1"/>
        <rFont val="Aptos Narrow"/>
        <family val="2"/>
        <scheme val="minor"/>
      </rPr>
      <t xml:space="preserve"> - </t>
    </r>
  </si>
  <si>
    <t>Operational KPIs</t>
  </si>
  <si>
    <t>Conversion Rate (%)</t>
  </si>
  <si>
    <t>Footfalls</t>
  </si>
  <si>
    <t>Categories</t>
  </si>
  <si>
    <t>0-3 Months</t>
  </si>
  <si>
    <t>3-6 Months</t>
  </si>
  <si>
    <t>6-9 Months</t>
  </si>
  <si>
    <t>&gt; 9 Months</t>
  </si>
  <si>
    <t>Value</t>
  </si>
  <si>
    <t>Volume</t>
  </si>
  <si>
    <t>Orders via Performance Marketing</t>
  </si>
  <si>
    <t>Orders via Organic Traffic</t>
  </si>
  <si>
    <t>Gross Booked Orders from Website</t>
  </si>
  <si>
    <r>
      <rPr>
        <b/>
        <sz val="10"/>
        <color theme="1"/>
        <rFont val="Aptos Narrow"/>
        <family val="2"/>
        <scheme val="minor"/>
      </rPr>
      <t xml:space="preserve">&gt; </t>
    </r>
    <r>
      <rPr>
        <sz val="10"/>
        <color theme="1"/>
        <rFont val="Aptos Narrow"/>
        <family val="2"/>
        <scheme val="minor"/>
      </rPr>
      <t>Gross booked revenue and booked order counts are considered. Since, there is a lead time of 1-2 weeks before the order is dispatched to the customer the invoicing might flow to the subsequent month</t>
    </r>
  </si>
  <si>
    <t xml:space="preserve">Inventory Analysis </t>
  </si>
  <si>
    <t>Repeat Customers</t>
  </si>
  <si>
    <t>First Order Count of Unique Customers</t>
  </si>
  <si>
    <t>Repeat Order</t>
  </si>
  <si>
    <t>Count of first ever order by the unique customer in that month</t>
  </si>
  <si>
    <t>First Order of Unique Customer</t>
  </si>
  <si>
    <t>Repeat Revenues</t>
  </si>
  <si>
    <t>Order Value of the first order by unique customer in that month</t>
  </si>
  <si>
    <t>Net Revenue from Unique Customers</t>
  </si>
  <si>
    <t>Repeat Rate</t>
  </si>
  <si>
    <t>SKU Spread &amp; Inventory Analysis</t>
  </si>
  <si>
    <t>Store's Google Listing</t>
  </si>
  <si>
    <t>SKUs lauched till date</t>
  </si>
  <si>
    <t>Store Count</t>
  </si>
  <si>
    <t>Count of unique customer's first repeat after their first ever order</t>
  </si>
  <si>
    <t xml:space="preserve">Count of unique customer which have placed their order first time ever </t>
  </si>
  <si>
    <t>Count of repeat orders by the customers over the period</t>
  </si>
  <si>
    <t xml:space="preserve">Repeat Order Values for the corresponding order by the customers over the period </t>
  </si>
  <si>
    <t>Units Sold</t>
  </si>
  <si>
    <t>FY26</t>
  </si>
  <si>
    <t>Apr'26</t>
  </si>
  <si>
    <t>May'26</t>
  </si>
  <si>
    <t>Jun'26</t>
  </si>
  <si>
    <t>Jul'26</t>
  </si>
  <si>
    <t>Aug'26</t>
  </si>
  <si>
    <t>Sept'26</t>
  </si>
  <si>
    <t>Oct'26</t>
  </si>
  <si>
    <t>Nov'26</t>
  </si>
  <si>
    <t>Dec'26</t>
  </si>
  <si>
    <t>Jan'27</t>
  </si>
  <si>
    <t>Feb'27</t>
  </si>
  <si>
    <t>Mar'27</t>
  </si>
  <si>
    <t>YTD Apr FY27</t>
  </si>
  <si>
    <t>Sep'26</t>
  </si>
  <si>
    <t>FY27</t>
  </si>
  <si>
    <t>Rings &amp; I - Profit &amp; Loss</t>
  </si>
  <si>
    <t>Website AOV</t>
  </si>
  <si>
    <t>Website ASP</t>
  </si>
  <si>
    <t>Andheri Store</t>
  </si>
  <si>
    <t>Borivali Store</t>
  </si>
  <si>
    <t>Pune Store</t>
  </si>
  <si>
    <t>Manubhai Joint Store</t>
  </si>
  <si>
    <t xml:space="preserve">Rings &amp; I - Brand Level Repeat Rate of Customers, Orders &amp; Revenues </t>
  </si>
  <si>
    <t>Rings &amp; I - Category SKU Spread &amp; Inventory Analysis</t>
  </si>
  <si>
    <t>Rings &amp; I - Online P&amp;L</t>
  </si>
  <si>
    <t>Rings &amp; I - Store P&amp;L</t>
  </si>
  <si>
    <t>- MIS Template</t>
  </si>
  <si>
    <t>Apr'23</t>
  </si>
  <si>
    <t>May'23</t>
  </si>
  <si>
    <t>Jun'23</t>
  </si>
  <si>
    <t>Jul'23</t>
  </si>
  <si>
    <t>Aug'23</t>
  </si>
  <si>
    <t>FY23</t>
  </si>
  <si>
    <t>Consolidated's P&amp;L</t>
  </si>
  <si>
    <t>Carat-wise Net Revenue Split</t>
  </si>
  <si>
    <t>Please provide break-up of revenue carat-wise</t>
  </si>
  <si>
    <t>Diamond Headquarters Private Limited</t>
  </si>
  <si>
    <t>Booked Revenue</t>
  </si>
  <si>
    <t>Booked Revenue from Store</t>
  </si>
  <si>
    <t>D)</t>
  </si>
  <si>
    <t>Revenue - Diamond</t>
  </si>
  <si>
    <t>Revenue - Labor</t>
  </si>
  <si>
    <t>Revenue - Metal</t>
  </si>
  <si>
    <t>Other charges</t>
  </si>
  <si>
    <t xml:space="preserve">Material &amp; Labour-wise Net Revenue </t>
  </si>
  <si>
    <t>CashFlow Statement</t>
  </si>
  <si>
    <t>S. NO.</t>
  </si>
  <si>
    <t>FY27 YTD</t>
  </si>
  <si>
    <t>Cash flow from operating activities</t>
  </si>
  <si>
    <t>Profit / (Loss) before Tax</t>
  </si>
  <si>
    <t>Non-cash Adjustment to Profit Before Tax:</t>
  </si>
  <si>
    <t>Change in operating assets and liabilities :</t>
  </si>
  <si>
    <t>Decrease/(increase) in other current assets</t>
  </si>
  <si>
    <t>Increase/(decrease) in other liabilities</t>
  </si>
  <si>
    <t>Others</t>
  </si>
  <si>
    <t>Cash generated from operations</t>
  </si>
  <si>
    <t>Direct taxes paid (net of refunds)</t>
  </si>
  <si>
    <t>Net cash flow from operating activities (A)</t>
  </si>
  <si>
    <t>Cash flow from investing activities</t>
  </si>
  <si>
    <t>Payments for acquisition of Property, Plant and Equipment</t>
  </si>
  <si>
    <t>Income from Investments / Fixed Deposit</t>
  </si>
  <si>
    <t>Net cash flow (used in) investing activities (B)</t>
  </si>
  <si>
    <t>Cash flows from financing activities</t>
  </si>
  <si>
    <t>Net cash flow from/(used in) in financing activities (C)</t>
  </si>
  <si>
    <t>Cash and cash equivalents at the beginning of the year</t>
  </si>
  <si>
    <t>Cash and cash equivalents at the end of the year</t>
  </si>
  <si>
    <t>Reconciliation of cash and cash equivalents as per the cash flow statement :</t>
  </si>
  <si>
    <t>Cash and cash equivalents</t>
  </si>
  <si>
    <t>Balances with banks:</t>
  </si>
  <si>
    <t>On current accounts</t>
  </si>
  <si>
    <t>Cheques/drafts on Hand</t>
  </si>
  <si>
    <t>Cash on hand</t>
  </si>
  <si>
    <t>Bank overdrafts</t>
  </si>
  <si>
    <t>Short term highly liquid Investment</t>
  </si>
  <si>
    <t>Note :</t>
  </si>
  <si>
    <t>Above statement has been prepared by using Indirect method as per  AS - 3 on Statement of Cash flows.</t>
  </si>
  <si>
    <t>Depreciation</t>
  </si>
  <si>
    <t>Issue of share capital</t>
  </si>
  <si>
    <t>Proceeds / (Repayment) of Debt</t>
  </si>
  <si>
    <t>Intetest Cost</t>
  </si>
  <si>
    <t>Net Increase / (decrease) in cash and cash equivalents (A + B + C)</t>
  </si>
  <si>
    <t>E</t>
  </si>
  <si>
    <t>Balance Sheet</t>
  </si>
  <si>
    <t>Cash Flow Statement</t>
  </si>
  <si>
    <t>BS</t>
  </si>
  <si>
    <t>CFS</t>
  </si>
  <si>
    <t>P&amp;L</t>
  </si>
  <si>
    <t>SKU Spread</t>
  </si>
  <si>
    <t>Material &amp; Labour-wise Order Count</t>
  </si>
  <si>
    <t>Material &amp; Labour-wise Average Selling Price</t>
  </si>
  <si>
    <t>Carat-wise Net Volume Split (no. of units)</t>
  </si>
  <si>
    <t>Carat-wise Average Selling Price</t>
  </si>
  <si>
    <t>Gross Booked Revenue</t>
  </si>
  <si>
    <t>Category-wise Net Revenue Split</t>
  </si>
  <si>
    <t>Please provide break-up of revenue Category-wise</t>
  </si>
  <si>
    <t xml:space="preserve">Rings &amp; I - Dissection </t>
  </si>
  <si>
    <t>Material &amp; Labour-wise COGS</t>
  </si>
  <si>
    <t>Material &amp; Labour-wise Average Cost Price</t>
  </si>
  <si>
    <t>COGS-Delivery Charges</t>
  </si>
  <si>
    <t>iii)</t>
  </si>
  <si>
    <t xml:space="preserve">Please specify the break-up of performance marketing spend </t>
  </si>
  <si>
    <t xml:space="preserve">Rings &amp; I - ROAS </t>
  </si>
  <si>
    <t>Category wise</t>
  </si>
  <si>
    <t>Carat wise</t>
  </si>
  <si>
    <t>Capital Expenditure</t>
  </si>
  <si>
    <t>Please provide break-up of capex</t>
  </si>
  <si>
    <t>Payback Period</t>
  </si>
  <si>
    <t>No. of Appointments booked</t>
  </si>
  <si>
    <t>No. of Leads generated</t>
  </si>
  <si>
    <t>E)</t>
  </si>
  <si>
    <t>Design-wise Net Revenue Split</t>
  </si>
  <si>
    <t>Revenue generated from top 25 designs</t>
  </si>
  <si>
    <t>Revenue generated from top 50 designs</t>
  </si>
  <si>
    <t>Revenue generated from top 10 designs</t>
  </si>
  <si>
    <t>Version as of September 2026</t>
  </si>
  <si>
    <t>Return Rate</t>
  </si>
  <si>
    <t>Units Returned</t>
  </si>
  <si>
    <t>Value of the units returned</t>
  </si>
  <si>
    <t>Discounts</t>
  </si>
  <si>
    <t>Discount (%)</t>
  </si>
  <si>
    <t>Discount</t>
  </si>
  <si>
    <t>Please provide category-wise break-up</t>
  </si>
  <si>
    <t>Please provide carat-wise break-up</t>
  </si>
  <si>
    <t>Additional KPIs</t>
  </si>
  <si>
    <t>Repeat Rate (%)
6 Months</t>
  </si>
  <si>
    <t>Repeat Rate (%)
3 Months</t>
  </si>
  <si>
    <t>Repeat Rate (%)
9 Months</t>
  </si>
  <si>
    <t>Repeat Rate (%)
11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</si>
</sst>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_(* #,##0.00_);_(* \(#,##0.00\);_(* &quot;-&quot;??_);_(@_)"/>
    <numFmt numFmtId="167" formatCode="_-* #,##0.00_-;\-* #,##0.00_-;_-* &quot;-&quot;??_-;_-@_-"/>
    <numFmt numFmtId="168" formatCode="_-* #,##0_-;\-* #,##0_-;_-* &quot;-&quot;??_-;_-@_-"/>
    <numFmt numFmtId="169" formatCode="&quot;Rs.&quot;\ #,##0.00;&quot;Rs.&quot;\ \-#,##0.00"/>
    <numFmt numFmtId="170" formatCode="_ &quot;Rs.&quot;\ * #,##0.00_ ;_ &quot;Rs.&quot;\ * \-#,##0.00_ ;_ &quot;Rs.&quot;\ * &quot;-&quot;??_ ;_ @_ "/>
    <numFmt numFmtId="171" formatCode="&quot;Rs.&quot;\ #,##0.00;[Red]&quot;Rs.&quot;\ \-#,##0.00"/>
    <numFmt numFmtId="172" formatCode="[$-409]mmmm\ d\,\ yyyy;@"/>
    <numFmt numFmtId="173" formatCode="mm/dd/yy"/>
    <numFmt numFmtId="174" formatCode="\-\-\-"/>
    <numFmt numFmtId="175" formatCode="_([$€-2]* #,##0.00_);_([$€-2]* \(#,##0.00\);_([$€-2]* &quot;-&quot;??_)"/>
    <numFmt numFmtId="176" formatCode="0%_);\(0%\)"/>
    <numFmt numFmtId="177" formatCode="General_)"/>
  </numFmts>
  <fonts count="10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rgb="FFBF8F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0"/>
      <name val="Aptos Narrow"/>
      <family val="2"/>
      <scheme val="minor"/>
    </font>
    <font>
      <i/>
      <sz val="9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BF8F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0"/>
      <name val="Aptos Narrow"/>
      <family val="2"/>
    </font>
    <font>
      <b/>
      <sz val="14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</font>
    <font>
      <sz val="12"/>
      <name val="Times New Roman"/>
      <family val="1"/>
      <charset val="238"/>
    </font>
    <font>
      <b/>
      <sz val="8"/>
      <color indexed="8"/>
      <name val="Helv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b/>
      <sz val="14.05"/>
      <color indexed="8"/>
      <name val="Times New Roman"/>
      <family val="1"/>
    </font>
    <font>
      <sz val="10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8"/>
      <name val="Arial"/>
      <family val="2"/>
    </font>
    <font>
      <b/>
      <sz val="13"/>
      <color indexed="8"/>
      <name val="Arial"/>
      <family val="2"/>
    </font>
    <font>
      <sz val="10"/>
      <color indexed="18"/>
      <name val="Arial"/>
      <family val="2"/>
    </font>
    <font>
      <sz val="10"/>
      <color indexed="19"/>
      <name val="Arial"/>
      <family val="2"/>
    </font>
    <font>
      <sz val="10"/>
      <color indexed="8"/>
      <name val="MS Sans Serif"/>
      <family val="2"/>
    </font>
    <font>
      <sz val="10"/>
      <name val="Comic Sans MS"/>
      <family val="4"/>
    </font>
    <font>
      <b/>
      <sz val="10"/>
      <color indexed="9"/>
      <name val="Arial"/>
      <family val="2"/>
    </font>
    <font>
      <b/>
      <sz val="18"/>
      <color indexed="8"/>
      <name val="Cambria"/>
      <family val="1"/>
    </font>
    <font>
      <b/>
      <sz val="18"/>
      <color indexed="62"/>
      <name val="Cambria"/>
      <family val="2"/>
    </font>
    <font>
      <sz val="14"/>
      <name val="ＭＳ ゴシック"/>
      <family val="3"/>
      <charset val="128"/>
    </font>
    <font>
      <u/>
      <sz val="11"/>
      <color theme="10"/>
      <name val="Calibri"/>
      <family val="2"/>
    </font>
    <font>
      <sz val="11"/>
      <color rgb="FF9C6500"/>
      <name val="Aptos Narrow"/>
      <family val="2"/>
      <scheme val="minor"/>
    </font>
    <font>
      <sz val="11"/>
      <color theme="1"/>
      <name val="Tahoma"/>
      <family val="2"/>
    </font>
    <font>
      <b/>
      <sz val="18"/>
      <color theme="3"/>
      <name val="Aptos Display"/>
      <family val="2"/>
      <scheme val="major"/>
    </font>
    <font>
      <b/>
      <sz val="26"/>
      <name val="Aptos Narrow"/>
      <family val="2"/>
      <scheme val="minor"/>
    </font>
    <font>
      <b/>
      <sz val="2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0070C0"/>
      <name val="Aptos Narrow"/>
      <family val="2"/>
    </font>
    <font>
      <i/>
      <sz val="11"/>
      <color rgb="FF0070C0"/>
      <name val="Aptos Narrow"/>
      <family val="2"/>
    </font>
    <font>
      <i/>
      <sz val="9"/>
      <color rgb="FF0070C0"/>
      <name val="Aptos Narrow"/>
      <family val="2"/>
      <scheme val="minor"/>
    </font>
  </fonts>
  <fills count="9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7" tint="0.79998168889431442"/>
        <bgColor rgb="FFDEEAF6"/>
      </patternFill>
    </fill>
    <fill>
      <patternFill patternType="solid">
        <fgColor theme="9" tint="0.79998168889431442"/>
        <bgColor rgb="FFDEEAF6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333F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55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8"/>
        <bgColor indexed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5" tint="0.39997558519241921"/>
        <bgColor rgb="FFD8D8D8"/>
      </patternFill>
    </fill>
    <fill>
      <patternFill patternType="solid">
        <fgColor rgb="FFFFFF99"/>
        <bgColor indexed="64"/>
      </patternFill>
    </fill>
  </fills>
  <borders count="207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theme="0" tint="-0.14996795556505021"/>
      </top>
      <bottom style="medium">
        <color auto="1"/>
      </bottom>
      <diagonal/>
    </border>
    <border>
      <left style="thin">
        <color theme="1"/>
      </left>
      <right/>
      <top style="thin">
        <color theme="0" tint="-0.14996795556505021"/>
      </top>
      <bottom style="medium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auto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theme="1"/>
      </left>
      <right/>
      <top style="thin">
        <color rgb="FFD8D8D8"/>
      </top>
      <bottom style="thin">
        <color rgb="FFD8D8D8"/>
      </bottom>
      <diagonal/>
    </border>
    <border>
      <left style="medium">
        <color theme="1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D8D8D8"/>
      </bottom>
      <diagonal/>
    </border>
    <border>
      <left/>
      <right style="thin">
        <color rgb="FFD8D8D8"/>
      </right>
      <top style="medium">
        <color rgb="FF000000"/>
      </top>
      <bottom style="thin">
        <color rgb="FFD8D8D8"/>
      </bottom>
      <diagonal/>
    </border>
    <border>
      <left style="thin">
        <color rgb="FFD8D8D8"/>
      </left>
      <right/>
      <top style="medium">
        <color rgb="FF000000"/>
      </top>
      <bottom style="thin">
        <color rgb="FFD8D8D8"/>
      </bottom>
      <diagonal/>
    </border>
    <border>
      <left style="medium">
        <color theme="1"/>
      </left>
      <right style="thin">
        <color rgb="FFD8D8D8"/>
      </right>
      <top style="medium">
        <color rgb="FF000000"/>
      </top>
      <bottom style="thin">
        <color rgb="FFD8D8D8"/>
      </bottom>
      <diagonal/>
    </border>
    <border>
      <left style="thin">
        <color theme="1"/>
      </left>
      <right style="thin">
        <color rgb="FFD8D8D8"/>
      </right>
      <top style="medium">
        <color rgb="FF000000"/>
      </top>
      <bottom style="thin">
        <color rgb="FFD8D8D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theme="1"/>
      </right>
      <top style="medium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1"/>
      </right>
      <top style="medium">
        <color auto="1"/>
      </top>
      <bottom style="thin">
        <color auto="1"/>
      </bottom>
      <diagonal/>
    </border>
    <border>
      <left style="thin">
        <color theme="1"/>
      </left>
      <right style="thin">
        <color theme="0" tint="-0.14999847407452621"/>
      </right>
      <top style="medium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 style="medium">
        <color auto="1"/>
      </left>
      <right/>
      <top/>
      <bottom style="thin">
        <color theme="0" tint="-0.14996795556505021"/>
      </bottom>
      <diagonal/>
    </border>
    <border>
      <left style="medium">
        <color auto="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medium">
        <color auto="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auto="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 style="medium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/>
      <top style="thin">
        <color theme="0" tint="-0.14996795556505021"/>
      </top>
      <bottom style="medium">
        <color auto="1"/>
      </bottom>
      <diagonal/>
    </border>
    <border>
      <left/>
      <right/>
      <top/>
      <bottom style="thin">
        <color theme="0" tint="-4.9989318521683403E-2"/>
      </bottom>
      <diagonal/>
    </border>
    <border>
      <left style="medium">
        <color rgb="FF000000"/>
      </left>
      <right style="thin">
        <color rgb="FFD8D8D8"/>
      </right>
      <top style="thin">
        <color rgb="FFD8D8D8"/>
      </top>
      <bottom style="thin">
        <color theme="0" tint="-0.14996795556505021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theme="0" tint="-0.14996795556505021"/>
      </bottom>
      <diagonal/>
    </border>
    <border>
      <left/>
      <right/>
      <top style="thin">
        <color rgb="FFD8D8D8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rgb="FFD8D8D8"/>
      </top>
      <bottom style="thin">
        <color theme="0" tint="-0.14996795556505021"/>
      </bottom>
      <diagonal/>
    </border>
    <border>
      <left style="medium">
        <color rgb="FF000000"/>
      </left>
      <right style="thin">
        <color rgb="FFD8D8D8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8D8D8"/>
      </left>
      <right style="thin">
        <color rgb="FFD8D8D8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rgb="FFD8D8D8"/>
      </left>
      <right style="medium">
        <color rgb="FF00000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8D8D8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000000"/>
      </left>
      <right style="thin">
        <color rgb="FFD8D8D8"/>
      </right>
      <top style="thin">
        <color theme="0" tint="-0.14996795556505021"/>
      </top>
      <bottom style="medium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theme="0" tint="-0.14996795556505021"/>
      </top>
      <bottom style="medium">
        <color rgb="FF000000"/>
      </bottom>
      <diagonal/>
    </border>
    <border>
      <left style="thin">
        <color theme="1"/>
      </left>
      <right/>
      <top style="thin">
        <color theme="0" tint="-0.14996795556505021"/>
      </top>
      <bottom style="medium">
        <color rgb="FF000000"/>
      </bottom>
      <diagonal/>
    </border>
    <border>
      <left/>
      <right/>
      <top style="thin">
        <color theme="0" tint="-0.14996795556505021"/>
      </top>
      <bottom style="medium">
        <color rgb="FF000000"/>
      </bottom>
      <diagonal/>
    </border>
    <border>
      <left style="medium">
        <color theme="1"/>
      </left>
      <right/>
      <top style="thin">
        <color theme="0" tint="-0.14996795556505021"/>
      </top>
      <bottom style="medium">
        <color rgb="FF000000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1"/>
      </left>
      <right/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/>
      <top style="thin">
        <color theme="0" tint="-0.14996795556505021"/>
      </top>
      <bottom/>
      <diagonal/>
    </border>
    <border>
      <left style="medium">
        <color auto="1"/>
      </left>
      <right/>
      <top style="thin">
        <color auto="1"/>
      </top>
      <bottom style="thin">
        <color theme="0" tint="-0.14996795556505021"/>
      </bottom>
      <diagonal/>
    </border>
    <border>
      <left style="medium">
        <color auto="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auto="1"/>
      </right>
      <top/>
      <bottom/>
      <diagonal/>
    </border>
    <border>
      <left style="medium">
        <color auto="1"/>
      </left>
      <right style="thin">
        <color theme="0" tint="-0.1499984740745262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9847407452621"/>
      </right>
      <top style="medium">
        <color auto="1"/>
      </top>
      <bottom style="medium">
        <color auto="1"/>
      </bottom>
      <diagonal/>
    </border>
    <border>
      <left style="dashed">
        <color rgb="FFD8D8D8"/>
      </left>
      <right style="medium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auto="1"/>
      </left>
      <right/>
      <top style="thin">
        <color theme="0" tint="-4.9989318521683403E-2"/>
      </top>
      <bottom style="medium">
        <color auto="1"/>
      </bottom>
      <diagonal/>
    </border>
    <border>
      <left style="medium">
        <color auto="1"/>
      </left>
      <right/>
      <top style="thin">
        <color theme="0" tint="-4.9989318521683403E-2"/>
      </top>
      <bottom/>
      <diagonal/>
    </border>
    <border>
      <left style="medium">
        <color auto="1"/>
      </left>
      <right/>
      <top/>
      <bottom style="thin">
        <color theme="0" tint="-4.9989318521683403E-2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4.9989318521683403E-2"/>
      </bottom>
      <diagonal/>
    </border>
    <border>
      <left style="thin">
        <color auto="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/>
      <top style="thin">
        <color theme="0" tint="-4.9989318521683403E-2"/>
      </top>
      <bottom/>
      <diagonal/>
    </border>
    <border>
      <left style="thin">
        <color auto="1"/>
      </left>
      <right/>
      <top style="thin">
        <color theme="0" tint="-4.9989318521683403E-2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4.9989318521683403E-2"/>
      </bottom>
      <diagonal/>
    </border>
    <border>
      <left style="thin">
        <color auto="1"/>
      </left>
      <right style="thin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 style="thin">
        <color auto="1"/>
      </right>
      <top style="thin">
        <color theme="0" tint="-4.9989318521683403E-2"/>
      </top>
      <bottom/>
      <diagonal/>
    </border>
    <border>
      <left style="thin">
        <color auto="1"/>
      </left>
      <right style="thin">
        <color auto="1"/>
      </right>
      <top style="thin">
        <color theme="0" tint="-4.9989318521683403E-2"/>
      </top>
      <bottom style="medium">
        <color auto="1"/>
      </bottom>
      <diagonal/>
    </border>
    <border>
      <left style="thin">
        <color auto="1"/>
      </left>
      <right style="thin">
        <color theme="0" tint="-0.1499984740745262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theme="0" tint="-4.9989318521683403E-2"/>
      </bottom>
      <diagonal/>
    </border>
    <border>
      <left style="thin">
        <color auto="1"/>
      </left>
      <right style="medium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 style="medium">
        <color auto="1"/>
      </right>
      <top style="thin">
        <color theme="0" tint="-4.9989318521683403E-2"/>
      </top>
      <bottom/>
      <diagonal/>
    </border>
    <border>
      <left style="thin">
        <color auto="1"/>
      </left>
      <right style="medium">
        <color auto="1"/>
      </right>
      <top style="thin">
        <color theme="0" tint="-4.9989318521683403E-2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ashed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auto="1"/>
      </left>
      <right/>
      <top style="thin">
        <color theme="0" tint="-0.14996795556505021"/>
      </top>
      <bottom/>
      <diagonal/>
    </border>
    <border>
      <left style="dashed">
        <color theme="0" tint="-0.14996795556505021"/>
      </left>
      <right style="thin">
        <color auto="1"/>
      </right>
      <top style="thin">
        <color theme="0" tint="-0.1499679555650502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dashed">
        <color theme="0" tint="-4.9989318521683403E-2"/>
      </left>
      <right style="medium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dashed">
        <color theme="0" tint="-4.9989318521683403E-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theme="0" tint="-4.9989318521683403E-2"/>
      </left>
      <right style="medium">
        <color auto="1"/>
      </right>
      <top/>
      <bottom style="thin">
        <color theme="0" tint="-4.9989318521683403E-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4.9989318521683403E-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1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theme="1"/>
      </right>
      <top/>
      <bottom style="thin">
        <color theme="0" tint="-0.1499679555650502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medium">
        <color auto="1"/>
      </bottom>
      <diagonal/>
    </border>
    <border>
      <left style="dashed">
        <color theme="0" tint="-4.9989318521683403E-2"/>
      </left>
      <right style="thin">
        <color theme="0" tint="-0.149967955565050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dashed">
        <color theme="0" tint="-4.9989318521683403E-2"/>
      </left>
      <right style="thin">
        <color theme="0" tint="-0.14996795556505021"/>
      </right>
      <top/>
      <bottom style="thin">
        <color theme="0" tint="-4.9989318521683403E-2"/>
      </bottom>
      <diagonal/>
    </border>
    <border>
      <left style="dashed">
        <color theme="0" tint="-4.9989318521683403E-2"/>
      </left>
      <right style="thin">
        <color theme="0" tint="-0.14996795556505021"/>
      </right>
      <top style="thin">
        <color auto="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auto="1"/>
      </top>
      <bottom/>
      <diagonal/>
    </border>
    <border>
      <left/>
      <right style="thin">
        <color theme="0" tint="-0.14996795556505021"/>
      </right>
      <top style="medium">
        <color auto="1"/>
      </top>
      <bottom/>
      <diagonal/>
    </border>
    <border>
      <left style="dashed">
        <color theme="0" tint="-4.9989318521683403E-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4.9989318521683403E-2"/>
      </left>
      <right style="medium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/>
      <top/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auto="1"/>
      </left>
      <right/>
      <top style="thin">
        <color theme="0" tint="-0.14996795556505021"/>
      </top>
      <bottom style="medium">
        <color auto="1"/>
      </bottom>
      <diagonal/>
    </border>
    <border>
      <left style="dashed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dashed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auto="1"/>
      </left>
      <right style="thin">
        <color auto="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medium">
        <color auto="1"/>
      </bottom>
      <diagonal/>
    </border>
    <border>
      <left style="thin">
        <color auto="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theme="1"/>
      </right>
      <top style="medium">
        <color auto="1"/>
      </top>
      <bottom style="thin">
        <color auto="1"/>
      </bottom>
      <diagonal/>
    </border>
    <border>
      <left style="dashed">
        <color theme="0" tint="-0.14996795556505021"/>
      </left>
      <right style="thin">
        <color indexed="64"/>
      </right>
      <top style="medium">
        <color auto="1"/>
      </top>
      <bottom style="thin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D8D8D8"/>
      </left>
      <right/>
      <top style="thin">
        <color theme="0" tint="-0.14996795556505021"/>
      </top>
      <bottom style="medium">
        <color rgb="FF000000"/>
      </bottom>
      <diagonal/>
    </border>
    <border>
      <left style="medium">
        <color indexed="64"/>
      </left>
      <right style="thin">
        <color rgb="FFD8D8D8"/>
      </right>
      <top style="medium">
        <color indexed="64"/>
      </top>
      <bottom style="thin">
        <color rgb="FFD8D8D8"/>
      </bottom>
      <diagonal/>
    </border>
    <border>
      <left/>
      <right style="thin">
        <color rgb="FFD8D8D8"/>
      </right>
      <top style="medium">
        <color indexed="64"/>
      </top>
      <bottom style="thin">
        <color rgb="FFD8D8D8"/>
      </bottom>
      <diagonal/>
    </border>
    <border>
      <left/>
      <right style="medium">
        <color indexed="64"/>
      </right>
      <top style="medium">
        <color indexed="64"/>
      </top>
      <bottom style="thin">
        <color rgb="FFD8D8D8"/>
      </bottom>
      <diagonal/>
    </border>
    <border>
      <left style="medium">
        <color indexed="64"/>
      </left>
      <right/>
      <top style="thin">
        <color rgb="FFD8D8D8"/>
      </top>
      <bottom style="thin">
        <color rgb="FFD8D8D8"/>
      </bottom>
      <diagonal/>
    </border>
    <border>
      <left style="dashed">
        <color rgb="FFD8D8D8"/>
      </left>
      <right style="medium">
        <color indexed="64"/>
      </right>
      <top style="thin">
        <color rgb="FFD8D8D8"/>
      </top>
      <bottom style="thin">
        <color rgb="FFD8D8D8"/>
      </bottom>
      <diagonal/>
    </border>
    <border>
      <left style="medium">
        <color indexed="64"/>
      </left>
      <right/>
      <top style="thin">
        <color rgb="FFD8D8D8"/>
      </top>
      <bottom style="thin">
        <color theme="0" tint="-0.14996795556505021"/>
      </bottom>
      <diagonal/>
    </border>
    <border>
      <left style="dashed">
        <color rgb="FFD8D8D8"/>
      </left>
      <right style="medium">
        <color indexed="64"/>
      </right>
      <top style="thin">
        <color rgb="FFD8D8D8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rgb="FFD8D8D8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0" tint="-0.14993743705557422"/>
      </bottom>
      <diagonal/>
    </border>
    <border>
      <left style="medium">
        <color rgb="FF000000"/>
      </left>
      <right style="thin">
        <color rgb="FFD8D8D8"/>
      </right>
      <top style="thin">
        <color theme="0" tint="-0.14996795556505021"/>
      </top>
      <bottom/>
      <diagonal/>
    </border>
    <border>
      <left style="thin">
        <color rgb="FFD8D8D8"/>
      </left>
      <right style="thin">
        <color rgb="FFD8D8D8"/>
      </right>
      <top style="thin">
        <color theme="0" tint="-0.14996795556505021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D8D8D8"/>
      </bottom>
      <diagonal/>
    </border>
    <border>
      <left style="dashed">
        <color rgb="FFD8D8D8"/>
      </left>
      <right style="medium">
        <color rgb="FF000000"/>
      </right>
      <top style="thin">
        <color rgb="FFD8D8D8"/>
      </top>
      <bottom style="thin">
        <color rgb="FFD8D8D8"/>
      </bottom>
      <diagonal/>
    </border>
    <border>
      <left style="dashed">
        <color rgb="FFD8D8D8"/>
      </left>
      <right style="medium">
        <color rgb="FF000000"/>
      </right>
      <top style="thin">
        <color rgb="FFD8D8D8"/>
      </top>
      <bottom style="thin">
        <color theme="0" tint="-0.14996795556505021"/>
      </bottom>
      <diagonal/>
    </border>
    <border>
      <left/>
      <right style="medium">
        <color rgb="FF000000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rgb="FFD8D8D8"/>
      </left>
      <right style="medium">
        <color rgb="FF000000"/>
      </right>
      <top style="thin">
        <color theme="0" tint="-0.14996795556505021"/>
      </top>
      <bottom style="medium">
        <color rgb="FF000000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316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/>
    <xf numFmtId="0" fontId="23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45" fillId="0" borderId="0" applyFill="0" applyBorder="0" applyAlignment="0" applyProtection="0"/>
    <xf numFmtId="0" fontId="45" fillId="0" borderId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0" fillId="0" borderId="0"/>
    <xf numFmtId="0" fontId="1" fillId="0" borderId="0"/>
    <xf numFmtId="43" fontId="1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0" borderId="0"/>
    <xf numFmtId="168" fontId="45" fillId="0" borderId="0" applyFill="0" applyBorder="0" applyAlignment="0" applyProtection="0"/>
    <xf numFmtId="168" fontId="45" fillId="0" borderId="0" applyFill="0" applyBorder="0" applyAlignment="0" applyProtection="0"/>
    <xf numFmtId="168" fontId="45" fillId="0" borderId="0" applyFill="0" applyBorder="0" applyAlignment="0" applyProtection="0"/>
    <xf numFmtId="43" fontId="49" fillId="0" borderId="0" applyFont="0" applyFill="0" applyBorder="0" applyAlignment="0" applyProtection="0"/>
    <xf numFmtId="168" fontId="45" fillId="0" borderId="0" applyFill="0" applyBorder="0" applyAlignment="0" applyProtection="0"/>
    <xf numFmtId="168" fontId="45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0" fillId="0" borderId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51" fillId="35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1" fillId="37" borderId="0" applyNumberFormat="0" applyBorder="0" applyAlignment="0" applyProtection="0"/>
    <xf numFmtId="0" fontId="51" fillId="35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51" fillId="38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1" fillId="40" borderId="0" applyNumberFormat="0" applyBorder="0" applyAlignment="0" applyProtection="0"/>
    <xf numFmtId="0" fontId="51" fillId="38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51" fillId="41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1" fillId="43" borderId="0" applyNumberFormat="0" applyBorder="0" applyAlignment="0" applyProtection="0"/>
    <xf numFmtId="0" fontId="51" fillId="41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51" fillId="44" borderId="0" applyNumberFormat="0" applyBorder="0" applyAlignment="0" applyProtection="0"/>
    <xf numFmtId="0" fontId="51" fillId="45" borderId="0" applyNumberFormat="0" applyBorder="0" applyAlignment="0" applyProtection="0"/>
    <xf numFmtId="0" fontId="51" fillId="45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1" fillId="45" borderId="0" applyNumberFormat="0" applyBorder="0" applyAlignment="0" applyProtection="0"/>
    <xf numFmtId="0" fontId="51" fillId="44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51" fillId="48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1" fillId="33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51" fillId="49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1" fillId="22" borderId="0" applyNumberFormat="0" applyBorder="0" applyAlignment="0" applyProtection="0"/>
    <xf numFmtId="0" fontId="51" fillId="49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51" fillId="52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72" fillId="39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51" fillId="53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1" fillId="55" borderId="0" applyNumberFormat="0" applyBorder="0" applyAlignment="0" applyProtection="0"/>
    <xf numFmtId="0" fontId="51" fillId="53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51" fillId="44" borderId="0" applyNumberFormat="0" applyBorder="0" applyAlignment="0" applyProtection="0"/>
    <xf numFmtId="0" fontId="51" fillId="45" borderId="0" applyNumberFormat="0" applyBorder="0" applyAlignment="0" applyProtection="0"/>
    <xf numFmtId="0" fontId="51" fillId="45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1" fillId="28" borderId="0" applyNumberFormat="0" applyBorder="0" applyAlignment="0" applyProtection="0"/>
    <xf numFmtId="0" fontId="51" fillId="44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51" fillId="49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1" fillId="30" borderId="0" applyNumberFormat="0" applyBorder="0" applyAlignment="0" applyProtection="0"/>
    <xf numFmtId="0" fontId="51" fillId="49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51" fillId="56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1" fillId="34" borderId="0" applyNumberFormat="0" applyBorder="0" applyAlignment="0" applyProtection="0"/>
    <xf numFmtId="0" fontId="51" fillId="56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52" fillId="58" borderId="0" applyNumberFormat="0" applyBorder="0" applyAlignment="0" applyProtection="0"/>
    <xf numFmtId="0" fontId="52" fillId="60" borderId="0" applyNumberFormat="0" applyBorder="0" applyAlignment="0" applyProtection="0"/>
    <xf numFmtId="0" fontId="52" fillId="60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52" fillId="58" borderId="0" applyNumberFormat="0" applyBorder="0" applyAlignment="0" applyProtection="0"/>
    <xf numFmtId="0" fontId="24" fillId="23" borderId="0" applyNumberFormat="0" applyBorder="0" applyAlignment="0" applyProtection="0"/>
    <xf numFmtId="0" fontId="52" fillId="58" borderId="0" applyNumberFormat="0" applyBorder="0" applyAlignment="0" applyProtection="0"/>
    <xf numFmtId="0" fontId="52" fillId="52" borderId="0" applyNumberFormat="0" applyBorder="0" applyAlignment="0" applyProtection="0"/>
    <xf numFmtId="0" fontId="52" fillId="52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52" fillId="52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52" fillId="52" borderId="0" applyNumberFormat="0" applyBorder="0" applyAlignment="0" applyProtection="0"/>
    <xf numFmtId="0" fontId="24" fillId="25" borderId="0" applyNumberFormat="0" applyBorder="0" applyAlignment="0" applyProtection="0"/>
    <xf numFmtId="0" fontId="52" fillId="52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80" fillId="54" borderId="0" applyNumberFormat="0" applyBorder="0" applyAlignment="0" applyProtection="0"/>
    <xf numFmtId="0" fontId="80" fillId="54" borderId="0" applyNumberFormat="0" applyBorder="0" applyAlignment="0" applyProtection="0"/>
    <xf numFmtId="0" fontId="80" fillId="54" borderId="0" applyNumberFormat="0" applyBorder="0" applyAlignment="0" applyProtection="0"/>
    <xf numFmtId="0" fontId="80" fillId="54" borderId="0" applyNumberFormat="0" applyBorder="0" applyAlignment="0" applyProtection="0"/>
    <xf numFmtId="0" fontId="80" fillId="54" borderId="0" applyNumberFormat="0" applyBorder="0" applyAlignment="0" applyProtection="0"/>
    <xf numFmtId="0" fontId="80" fillId="54" borderId="0" applyNumberFormat="0" applyBorder="0" applyAlignment="0" applyProtection="0"/>
    <xf numFmtId="0" fontId="52" fillId="53" borderId="0" applyNumberFormat="0" applyBorder="0" applyAlignment="0" applyProtection="0"/>
    <xf numFmtId="0" fontId="52" fillId="55" borderId="0" applyNumberFormat="0" applyBorder="0" applyAlignment="0" applyProtection="0"/>
    <xf numFmtId="0" fontId="52" fillId="55" borderId="0" applyNumberFormat="0" applyBorder="0" applyAlignment="0" applyProtection="0"/>
    <xf numFmtId="0" fontId="80" fillId="54" borderId="0" applyNumberFormat="0" applyBorder="0" applyAlignment="0" applyProtection="0"/>
    <xf numFmtId="0" fontId="80" fillId="54" borderId="0" applyNumberFormat="0" applyBorder="0" applyAlignment="0" applyProtection="0"/>
    <xf numFmtId="0" fontId="80" fillId="54" borderId="0" applyNumberFormat="0" applyBorder="0" applyAlignment="0" applyProtection="0"/>
    <xf numFmtId="0" fontId="80" fillId="54" borderId="0" applyNumberFormat="0" applyBorder="0" applyAlignment="0" applyProtection="0"/>
    <xf numFmtId="0" fontId="80" fillId="54" borderId="0" applyNumberFormat="0" applyBorder="0" applyAlignment="0" applyProtection="0"/>
    <xf numFmtId="0" fontId="80" fillId="54" borderId="0" applyNumberFormat="0" applyBorder="0" applyAlignment="0" applyProtection="0"/>
    <xf numFmtId="0" fontId="52" fillId="53" borderId="0" applyNumberFormat="0" applyBorder="0" applyAlignment="0" applyProtection="0"/>
    <xf numFmtId="0" fontId="24" fillId="55" borderId="0" applyNumberFormat="0" applyBorder="0" applyAlignment="0" applyProtection="0"/>
    <xf numFmtId="0" fontId="52" fillId="53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80" fillId="50" borderId="0" applyNumberFormat="0" applyBorder="0" applyAlignment="0" applyProtection="0"/>
    <xf numFmtId="0" fontId="80" fillId="50" borderId="0" applyNumberFormat="0" applyBorder="0" applyAlignment="0" applyProtection="0"/>
    <xf numFmtId="0" fontId="80" fillId="50" borderId="0" applyNumberFormat="0" applyBorder="0" applyAlignment="0" applyProtection="0"/>
    <xf numFmtId="0" fontId="80" fillId="50" borderId="0" applyNumberFormat="0" applyBorder="0" applyAlignment="0" applyProtection="0"/>
    <xf numFmtId="0" fontId="80" fillId="50" borderId="0" applyNumberFormat="0" applyBorder="0" applyAlignment="0" applyProtection="0"/>
    <xf numFmtId="0" fontId="80" fillId="50" borderId="0" applyNumberFormat="0" applyBorder="0" applyAlignment="0" applyProtection="0"/>
    <xf numFmtId="0" fontId="52" fillId="61" borderId="0" applyNumberFormat="0" applyBorder="0" applyAlignment="0" applyProtection="0"/>
    <xf numFmtId="0" fontId="52" fillId="62" borderId="0" applyNumberFormat="0" applyBorder="0" applyAlignment="0" applyProtection="0"/>
    <xf numFmtId="0" fontId="52" fillId="62" borderId="0" applyNumberFormat="0" applyBorder="0" applyAlignment="0" applyProtection="0"/>
    <xf numFmtId="0" fontId="80" fillId="50" borderId="0" applyNumberFormat="0" applyBorder="0" applyAlignment="0" applyProtection="0"/>
    <xf numFmtId="0" fontId="80" fillId="50" borderId="0" applyNumberFormat="0" applyBorder="0" applyAlignment="0" applyProtection="0"/>
    <xf numFmtId="0" fontId="80" fillId="50" borderId="0" applyNumberFormat="0" applyBorder="0" applyAlignment="0" applyProtection="0"/>
    <xf numFmtId="0" fontId="80" fillId="50" borderId="0" applyNumberFormat="0" applyBorder="0" applyAlignment="0" applyProtection="0"/>
    <xf numFmtId="0" fontId="80" fillId="50" borderId="0" applyNumberFormat="0" applyBorder="0" applyAlignment="0" applyProtection="0"/>
    <xf numFmtId="0" fontId="80" fillId="50" borderId="0" applyNumberFormat="0" applyBorder="0" applyAlignment="0" applyProtection="0"/>
    <xf numFmtId="0" fontId="52" fillId="61" borderId="0" applyNumberFormat="0" applyBorder="0" applyAlignment="0" applyProtection="0"/>
    <xf numFmtId="0" fontId="24" fillId="62" borderId="0" applyNumberFormat="0" applyBorder="0" applyAlignment="0" applyProtection="0"/>
    <xf numFmtId="0" fontId="52" fillId="61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52" fillId="63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52" fillId="63" borderId="0" applyNumberFormat="0" applyBorder="0" applyAlignment="0" applyProtection="0"/>
    <xf numFmtId="0" fontId="24" fillId="31" borderId="0" applyNumberFormat="0" applyBorder="0" applyAlignment="0" applyProtection="0"/>
    <xf numFmtId="0" fontId="52" fillId="63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52" fillId="64" borderId="0" applyNumberFormat="0" applyBorder="0" applyAlignment="0" applyProtection="0"/>
    <xf numFmtId="0" fontId="52" fillId="65" borderId="0" applyNumberFormat="0" applyBorder="0" applyAlignment="0" applyProtection="0"/>
    <xf numFmtId="0" fontId="52" fillId="65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52" fillId="64" borderId="0" applyNumberFormat="0" applyBorder="0" applyAlignment="0" applyProtection="0"/>
    <xf numFmtId="0" fontId="24" fillId="65" borderId="0" applyNumberFormat="0" applyBorder="0" applyAlignment="0" applyProtection="0"/>
    <xf numFmtId="0" fontId="52" fillId="64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52" fillId="66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52" fillId="66" borderId="0" applyNumberFormat="0" applyBorder="0" applyAlignment="0" applyProtection="0"/>
    <xf numFmtId="0" fontId="24" fillId="21" borderId="0" applyNumberFormat="0" applyBorder="0" applyAlignment="0" applyProtection="0"/>
    <xf numFmtId="0" fontId="52" fillId="66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80" fillId="69" borderId="0" applyNumberFormat="0" applyBorder="0" applyAlignment="0" applyProtection="0"/>
    <xf numFmtId="0" fontId="80" fillId="69" borderId="0" applyNumberFormat="0" applyBorder="0" applyAlignment="0" applyProtection="0"/>
    <xf numFmtId="0" fontId="80" fillId="69" borderId="0" applyNumberFormat="0" applyBorder="0" applyAlignment="0" applyProtection="0"/>
    <xf numFmtId="0" fontId="80" fillId="69" borderId="0" applyNumberFormat="0" applyBorder="0" applyAlignment="0" applyProtection="0"/>
    <xf numFmtId="0" fontId="80" fillId="69" borderId="0" applyNumberFormat="0" applyBorder="0" applyAlignment="0" applyProtection="0"/>
    <xf numFmtId="0" fontId="80" fillId="69" borderId="0" applyNumberFormat="0" applyBorder="0" applyAlignment="0" applyProtection="0"/>
    <xf numFmtId="0" fontId="52" fillId="68" borderId="0" applyNumberFormat="0" applyBorder="0" applyAlignment="0" applyProtection="0"/>
    <xf numFmtId="0" fontId="52" fillId="69" borderId="0" applyNumberFormat="0" applyBorder="0" applyAlignment="0" applyProtection="0"/>
    <xf numFmtId="0" fontId="52" fillId="69" borderId="0" applyNumberFormat="0" applyBorder="0" applyAlignment="0" applyProtection="0"/>
    <xf numFmtId="0" fontId="80" fillId="69" borderId="0" applyNumberFormat="0" applyBorder="0" applyAlignment="0" applyProtection="0"/>
    <xf numFmtId="0" fontId="80" fillId="69" borderId="0" applyNumberFormat="0" applyBorder="0" applyAlignment="0" applyProtection="0"/>
    <xf numFmtId="0" fontId="80" fillId="69" borderId="0" applyNumberFormat="0" applyBorder="0" applyAlignment="0" applyProtection="0"/>
    <xf numFmtId="0" fontId="80" fillId="69" borderId="0" applyNumberFormat="0" applyBorder="0" applyAlignment="0" applyProtection="0"/>
    <xf numFmtId="0" fontId="80" fillId="69" borderId="0" applyNumberFormat="0" applyBorder="0" applyAlignment="0" applyProtection="0"/>
    <xf numFmtId="0" fontId="80" fillId="69" borderId="0" applyNumberFormat="0" applyBorder="0" applyAlignment="0" applyProtection="0"/>
    <xf numFmtId="0" fontId="52" fillId="68" borderId="0" applyNumberFormat="0" applyBorder="0" applyAlignment="0" applyProtection="0"/>
    <xf numFmtId="0" fontId="24" fillId="24" borderId="0" applyNumberFormat="0" applyBorder="0" applyAlignment="0" applyProtection="0"/>
    <xf numFmtId="0" fontId="52" fillId="68" borderId="0" applyNumberFormat="0" applyBorder="0" applyAlignment="0" applyProtection="0"/>
    <xf numFmtId="0" fontId="52" fillId="70" borderId="0" applyNumberFormat="0" applyBorder="0" applyAlignment="0" applyProtection="0"/>
    <xf numFmtId="0" fontId="52" fillId="70" borderId="0" applyNumberFormat="0" applyBorder="0" applyAlignment="0" applyProtection="0"/>
    <xf numFmtId="0" fontId="80" fillId="71" borderId="0" applyNumberFormat="0" applyBorder="0" applyAlignment="0" applyProtection="0"/>
    <xf numFmtId="0" fontId="80" fillId="71" borderId="0" applyNumberFormat="0" applyBorder="0" applyAlignment="0" applyProtection="0"/>
    <xf numFmtId="0" fontId="80" fillId="71" borderId="0" applyNumberFormat="0" applyBorder="0" applyAlignment="0" applyProtection="0"/>
    <xf numFmtId="0" fontId="80" fillId="71" borderId="0" applyNumberFormat="0" applyBorder="0" applyAlignment="0" applyProtection="0"/>
    <xf numFmtId="0" fontId="80" fillId="71" borderId="0" applyNumberFormat="0" applyBorder="0" applyAlignment="0" applyProtection="0"/>
    <xf numFmtId="0" fontId="80" fillId="71" borderId="0" applyNumberFormat="0" applyBorder="0" applyAlignment="0" applyProtection="0"/>
    <xf numFmtId="0" fontId="52" fillId="70" borderId="0" applyNumberFormat="0" applyBorder="0" applyAlignment="0" applyProtection="0"/>
    <xf numFmtId="0" fontId="52" fillId="71" borderId="0" applyNumberFormat="0" applyBorder="0" applyAlignment="0" applyProtection="0"/>
    <xf numFmtId="0" fontId="52" fillId="71" borderId="0" applyNumberFormat="0" applyBorder="0" applyAlignment="0" applyProtection="0"/>
    <xf numFmtId="0" fontId="80" fillId="71" borderId="0" applyNumberFormat="0" applyBorder="0" applyAlignment="0" applyProtection="0"/>
    <xf numFmtId="0" fontId="80" fillId="71" borderId="0" applyNumberFormat="0" applyBorder="0" applyAlignment="0" applyProtection="0"/>
    <xf numFmtId="0" fontId="80" fillId="71" borderId="0" applyNumberFormat="0" applyBorder="0" applyAlignment="0" applyProtection="0"/>
    <xf numFmtId="0" fontId="80" fillId="71" borderId="0" applyNumberFormat="0" applyBorder="0" applyAlignment="0" applyProtection="0"/>
    <xf numFmtId="0" fontId="80" fillId="71" borderId="0" applyNumberFormat="0" applyBorder="0" applyAlignment="0" applyProtection="0"/>
    <xf numFmtId="0" fontId="80" fillId="71" borderId="0" applyNumberFormat="0" applyBorder="0" applyAlignment="0" applyProtection="0"/>
    <xf numFmtId="0" fontId="52" fillId="70" borderId="0" applyNumberFormat="0" applyBorder="0" applyAlignment="0" applyProtection="0"/>
    <xf numFmtId="0" fontId="24" fillId="26" borderId="0" applyNumberFormat="0" applyBorder="0" applyAlignment="0" applyProtection="0"/>
    <xf numFmtId="0" fontId="52" fillId="70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80" fillId="72" borderId="0" applyNumberFormat="0" applyBorder="0" applyAlignment="0" applyProtection="0"/>
    <xf numFmtId="0" fontId="80" fillId="72" borderId="0" applyNumberFormat="0" applyBorder="0" applyAlignment="0" applyProtection="0"/>
    <xf numFmtId="0" fontId="80" fillId="72" borderId="0" applyNumberFormat="0" applyBorder="0" applyAlignment="0" applyProtection="0"/>
    <xf numFmtId="0" fontId="80" fillId="72" borderId="0" applyNumberFormat="0" applyBorder="0" applyAlignment="0" applyProtection="0"/>
    <xf numFmtId="0" fontId="80" fillId="72" borderId="0" applyNumberFormat="0" applyBorder="0" applyAlignment="0" applyProtection="0"/>
    <xf numFmtId="0" fontId="80" fillId="72" borderId="0" applyNumberFormat="0" applyBorder="0" applyAlignment="0" applyProtection="0"/>
    <xf numFmtId="0" fontId="52" fillId="61" borderId="0" applyNumberFormat="0" applyBorder="0" applyAlignment="0" applyProtection="0"/>
    <xf numFmtId="0" fontId="52" fillId="62" borderId="0" applyNumberFormat="0" applyBorder="0" applyAlignment="0" applyProtection="0"/>
    <xf numFmtId="0" fontId="52" fillId="62" borderId="0" applyNumberFormat="0" applyBorder="0" applyAlignment="0" applyProtection="0"/>
    <xf numFmtId="0" fontId="80" fillId="72" borderId="0" applyNumberFormat="0" applyBorder="0" applyAlignment="0" applyProtection="0"/>
    <xf numFmtId="0" fontId="80" fillId="72" borderId="0" applyNumberFormat="0" applyBorder="0" applyAlignment="0" applyProtection="0"/>
    <xf numFmtId="0" fontId="80" fillId="72" borderId="0" applyNumberFormat="0" applyBorder="0" applyAlignment="0" applyProtection="0"/>
    <xf numFmtId="0" fontId="80" fillId="72" borderId="0" applyNumberFormat="0" applyBorder="0" applyAlignment="0" applyProtection="0"/>
    <xf numFmtId="0" fontId="80" fillId="72" borderId="0" applyNumberFormat="0" applyBorder="0" applyAlignment="0" applyProtection="0"/>
    <xf numFmtId="0" fontId="80" fillId="72" borderId="0" applyNumberFormat="0" applyBorder="0" applyAlignment="0" applyProtection="0"/>
    <xf numFmtId="0" fontId="52" fillId="61" borderId="0" applyNumberFormat="0" applyBorder="0" applyAlignment="0" applyProtection="0"/>
    <xf numFmtId="0" fontId="24" fillId="27" borderId="0" applyNumberFormat="0" applyBorder="0" applyAlignment="0" applyProtection="0"/>
    <xf numFmtId="0" fontId="52" fillId="61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52" fillId="63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80" fillId="59" borderId="0" applyNumberFormat="0" applyBorder="0" applyAlignment="0" applyProtection="0"/>
    <xf numFmtId="0" fontId="52" fillId="63" borderId="0" applyNumberFormat="0" applyBorder="0" applyAlignment="0" applyProtection="0"/>
    <xf numFmtId="0" fontId="24" fillId="29" borderId="0" applyNumberFormat="0" applyBorder="0" applyAlignment="0" applyProtection="0"/>
    <xf numFmtId="0" fontId="52" fillId="6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52" fillId="73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52" fillId="73" borderId="0" applyNumberFormat="0" applyBorder="0" applyAlignment="0" applyProtection="0"/>
    <xf numFmtId="0" fontId="24" fillId="32" borderId="0" applyNumberFormat="0" applyBorder="0" applyAlignment="0" applyProtection="0"/>
    <xf numFmtId="0" fontId="52" fillId="73" borderId="0" applyNumberFormat="0" applyBorder="0" applyAlignment="0" applyProtection="0"/>
    <xf numFmtId="0" fontId="53" fillId="38" borderId="0" applyNumberFormat="0" applyBorder="0" applyAlignment="0" applyProtection="0"/>
    <xf numFmtId="0" fontId="53" fillId="38" borderId="0" applyNumberFormat="0" applyBorder="0" applyAlignment="0" applyProtection="0"/>
    <xf numFmtId="0" fontId="78" fillId="75" borderId="0" applyNumberFormat="0" applyBorder="0" applyAlignment="0" applyProtection="0"/>
    <xf numFmtId="0" fontId="78" fillId="75" borderId="0" applyNumberFormat="0" applyBorder="0" applyAlignment="0" applyProtection="0"/>
    <xf numFmtId="0" fontId="78" fillId="75" borderId="0" applyNumberFormat="0" applyBorder="0" applyAlignment="0" applyProtection="0"/>
    <xf numFmtId="0" fontId="78" fillId="75" borderId="0" applyNumberFormat="0" applyBorder="0" applyAlignment="0" applyProtection="0"/>
    <xf numFmtId="0" fontId="78" fillId="75" borderId="0" applyNumberFormat="0" applyBorder="0" applyAlignment="0" applyProtection="0"/>
    <xf numFmtId="0" fontId="78" fillId="75" borderId="0" applyNumberFormat="0" applyBorder="0" applyAlignment="0" applyProtection="0"/>
    <xf numFmtId="0" fontId="53" fillId="38" borderId="0" applyNumberFormat="0" applyBorder="0" applyAlignment="0" applyProtection="0"/>
    <xf numFmtId="0" fontId="53" fillId="40" borderId="0" applyNumberFormat="0" applyBorder="0" applyAlignment="0" applyProtection="0"/>
    <xf numFmtId="0" fontId="53" fillId="40" borderId="0" applyNumberFormat="0" applyBorder="0" applyAlignment="0" applyProtection="0"/>
    <xf numFmtId="0" fontId="78" fillId="75" borderId="0" applyNumberFormat="0" applyBorder="0" applyAlignment="0" applyProtection="0"/>
    <xf numFmtId="0" fontId="78" fillId="75" borderId="0" applyNumberFormat="0" applyBorder="0" applyAlignment="0" applyProtection="0"/>
    <xf numFmtId="0" fontId="78" fillId="75" borderId="0" applyNumberFormat="0" applyBorder="0" applyAlignment="0" applyProtection="0"/>
    <xf numFmtId="0" fontId="78" fillId="75" borderId="0" applyNumberFormat="0" applyBorder="0" applyAlignment="0" applyProtection="0"/>
    <xf numFmtId="0" fontId="78" fillId="75" borderId="0" applyNumberFormat="0" applyBorder="0" applyAlignment="0" applyProtection="0"/>
    <xf numFmtId="0" fontId="78" fillId="75" borderId="0" applyNumberFormat="0" applyBorder="0" applyAlignment="0" applyProtection="0"/>
    <xf numFmtId="0" fontId="53" fillId="38" borderId="0" applyNumberFormat="0" applyBorder="0" applyAlignment="0" applyProtection="0"/>
    <xf numFmtId="0" fontId="40" fillId="15" borderId="0" applyNumberFormat="0" applyBorder="0" applyAlignment="0" applyProtection="0"/>
    <xf numFmtId="0" fontId="53" fillId="38" borderId="0" applyNumberFormat="0" applyBorder="0" applyAlignment="0" applyProtection="0"/>
    <xf numFmtId="0" fontId="72" fillId="0" borderId="0" applyFill="0" applyBorder="0" applyAlignment="0"/>
    <xf numFmtId="0" fontId="54" fillId="76" borderId="132" applyNumberFormat="0" applyAlignment="0" applyProtection="0"/>
    <xf numFmtId="0" fontId="54" fillId="76" borderId="132" applyNumberFormat="0" applyAlignment="0" applyProtection="0"/>
    <xf numFmtId="0" fontId="80" fillId="51" borderId="133" applyNumberFormat="0" applyAlignment="0" applyProtection="0"/>
    <xf numFmtId="0" fontId="80" fillId="51" borderId="133" applyNumberFormat="0" applyAlignment="0" applyProtection="0"/>
    <xf numFmtId="0" fontId="80" fillId="51" borderId="133" applyNumberFormat="0" applyAlignment="0" applyProtection="0"/>
    <xf numFmtId="0" fontId="80" fillId="51" borderId="133" applyNumberFormat="0" applyAlignment="0" applyProtection="0"/>
    <xf numFmtId="0" fontId="80" fillId="51" borderId="133" applyNumberFormat="0" applyAlignment="0" applyProtection="0"/>
    <xf numFmtId="0" fontId="80" fillId="51" borderId="133" applyNumberFormat="0" applyAlignment="0" applyProtection="0"/>
    <xf numFmtId="0" fontId="54" fillId="76" borderId="132" applyNumberFormat="0" applyAlignment="0" applyProtection="0"/>
    <xf numFmtId="0" fontId="54" fillId="50" borderId="132" applyNumberFormat="0" applyAlignment="0" applyProtection="0"/>
    <xf numFmtId="0" fontId="54" fillId="50" borderId="132" applyNumberFormat="0" applyAlignment="0" applyProtection="0"/>
    <xf numFmtId="0" fontId="80" fillId="51" borderId="133" applyNumberFormat="0" applyAlignment="0" applyProtection="0"/>
    <xf numFmtId="0" fontId="80" fillId="51" borderId="133" applyNumberFormat="0" applyAlignment="0" applyProtection="0"/>
    <xf numFmtId="0" fontId="80" fillId="51" borderId="133" applyNumberFormat="0" applyAlignment="0" applyProtection="0"/>
    <xf numFmtId="0" fontId="80" fillId="51" borderId="133" applyNumberFormat="0" applyAlignment="0" applyProtection="0"/>
    <xf numFmtId="0" fontId="80" fillId="51" borderId="133" applyNumberFormat="0" applyAlignment="0" applyProtection="0"/>
    <xf numFmtId="0" fontId="80" fillId="51" borderId="133" applyNumberFormat="0" applyAlignment="0" applyProtection="0"/>
    <xf numFmtId="0" fontId="54" fillId="76" borderId="132" applyNumberFormat="0" applyAlignment="0" applyProtection="0"/>
    <xf numFmtId="0" fontId="43" fillId="18" borderId="124" applyNumberFormat="0" applyAlignment="0" applyProtection="0"/>
    <xf numFmtId="0" fontId="54" fillId="76" borderId="132" applyNumberFormat="0" applyAlignment="0" applyProtection="0"/>
    <xf numFmtId="0" fontId="55" fillId="77" borderId="134" applyNumberFormat="0" applyAlignment="0" applyProtection="0"/>
    <xf numFmtId="0" fontId="55" fillId="77" borderId="134" applyNumberFormat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77" borderId="134" applyNumberFormat="0" applyAlignment="0" applyProtection="0"/>
    <xf numFmtId="0" fontId="55" fillId="78" borderId="134" applyNumberFormat="0" applyAlignment="0" applyProtection="0"/>
    <xf numFmtId="0" fontId="55" fillId="78" borderId="134" applyNumberFormat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77" borderId="134" applyNumberFormat="0" applyAlignment="0" applyProtection="0"/>
    <xf numFmtId="0" fontId="16" fillId="19" borderId="127" applyNumberFormat="0" applyAlignment="0" applyProtection="0"/>
    <xf numFmtId="0" fontId="55" fillId="77" borderId="134" applyNumberFormat="0" applyAlignment="0" applyProtection="0"/>
    <xf numFmtId="167" fontId="45" fillId="0" borderId="0" applyFill="0" applyBorder="0" applyAlignment="0" applyProtection="0"/>
    <xf numFmtId="168" fontId="45" fillId="0" borderId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168" fontId="45" fillId="0" borderId="0" applyFill="0" applyBorder="0" applyAlignment="0" applyProtection="0"/>
    <xf numFmtId="43" fontId="51" fillId="0" borderId="0" applyFont="0" applyFill="0" applyBorder="0" applyAlignment="0" applyProtection="0"/>
    <xf numFmtId="168" fontId="45" fillId="0" borderId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68" fontId="45" fillId="0" borderId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172" fontId="45" fillId="0" borderId="0" applyFill="0" applyBorder="0" applyAlignment="0" applyProtection="0"/>
    <xf numFmtId="170" fontId="45" fillId="0" borderId="0" applyFill="0" applyBorder="0" applyAlignment="0" applyProtection="0"/>
    <xf numFmtId="172" fontId="45" fillId="0" borderId="0" applyFill="0" applyBorder="0" applyAlignment="0" applyProtection="0"/>
    <xf numFmtId="168" fontId="45" fillId="0" borderId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168" fontId="45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51" fillId="0" borderId="0" applyFont="0" applyFill="0" applyBorder="0" applyAlignment="0" applyProtection="0"/>
    <xf numFmtId="167" fontId="45" fillId="0" borderId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168" fontId="5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2" fillId="0" borderId="0" applyFont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43" fontId="82" fillId="0" borderId="0" applyFont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1" fontId="45" fillId="0" borderId="0" applyFill="0" applyBorder="0" applyAlignment="0" applyProtection="0"/>
    <xf numFmtId="174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top"/>
    </xf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167" fontId="72" fillId="0" borderId="0" applyFont="0" applyFill="0" applyBorder="0" applyAlignment="0" applyProtection="0">
      <alignment vertical="top"/>
    </xf>
    <xf numFmtId="167" fontId="72" fillId="0" borderId="0" applyFont="0" applyFill="0" applyBorder="0" applyAlignment="0" applyProtection="0">
      <alignment vertical="top"/>
    </xf>
    <xf numFmtId="167" fontId="72" fillId="0" borderId="0" applyFont="0" applyFill="0" applyBorder="0" applyAlignment="0" applyProtection="0">
      <alignment vertical="top"/>
    </xf>
    <xf numFmtId="167" fontId="72" fillId="0" borderId="0" applyFont="0" applyFill="0" applyBorder="0" applyAlignment="0" applyProtection="0">
      <alignment vertical="top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171" fontId="45" fillId="0" borderId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3" fontId="45" fillId="0" borderId="0" applyFont="0" applyFill="0" applyBorder="0" applyAlignment="0" applyProtection="0"/>
    <xf numFmtId="171" fontId="51" fillId="0" borderId="0" applyFont="0" applyFill="0" applyBorder="0" applyAlignment="0" applyProtection="0"/>
    <xf numFmtId="43" fontId="45" fillId="0" borderId="0" applyFont="0" applyFill="0" applyBorder="0" applyAlignment="0" applyProtection="0"/>
    <xf numFmtId="168" fontId="45" fillId="0" borderId="0" applyFill="0" applyBorder="0" applyAlignment="0" applyProtection="0"/>
    <xf numFmtId="168" fontId="45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45" fillId="0" borderId="0" applyFill="0" applyBorder="0" applyAlignment="0" applyProtection="0"/>
    <xf numFmtId="167" fontId="72" fillId="0" borderId="0" applyFont="0" applyFill="0" applyBorder="0" applyAlignment="0" applyProtection="0">
      <alignment vertical="top"/>
    </xf>
    <xf numFmtId="167" fontId="72" fillId="0" borderId="0" applyFont="0" applyFill="0" applyBorder="0" applyAlignment="0" applyProtection="0">
      <alignment vertical="top"/>
    </xf>
    <xf numFmtId="168" fontId="45" fillId="0" borderId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167" fontId="51" fillId="0" borderId="0" applyFont="0" applyFill="0" applyBorder="0" applyAlignment="0" applyProtection="0"/>
    <xf numFmtId="173" fontId="45" fillId="0" borderId="0" applyFill="0" applyBorder="0" applyAlignment="0" applyProtection="0"/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169" fontId="45" fillId="0" borderId="0" applyFill="0" applyBorder="0" applyAlignment="0" applyProtection="0"/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168" fontId="45" fillId="0" borderId="0" applyFill="0" applyBorder="0" applyAlignment="0" applyProtection="0"/>
    <xf numFmtId="168" fontId="45" fillId="0" borderId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73" fillId="0" borderId="0" applyNumberFormat="0" applyAlignment="0">
      <alignment horizontal="left"/>
    </xf>
    <xf numFmtId="0" fontId="71" fillId="79" borderId="0" applyNumberFormat="0" applyBorder="0" applyAlignment="0" applyProtection="0"/>
    <xf numFmtId="0" fontId="71" fillId="80" borderId="0" applyNumberFormat="0" applyBorder="0" applyAlignment="0" applyProtection="0"/>
    <xf numFmtId="0" fontId="71" fillId="80" borderId="0" applyNumberFormat="0" applyBorder="0" applyAlignment="0" applyProtection="0"/>
    <xf numFmtId="0" fontId="74" fillId="0" borderId="0" applyNumberFormat="0" applyAlignment="0">
      <alignment horizontal="left"/>
    </xf>
    <xf numFmtId="175" fontId="48" fillId="0" borderId="0" applyFont="0" applyFill="0" applyBorder="0" applyAlignment="0" applyProtection="0"/>
    <xf numFmtId="175" fontId="4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41" borderId="0" applyNumberFormat="0" applyBorder="0" applyAlignment="0" applyProtection="0"/>
    <xf numFmtId="0" fontId="57" fillId="4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57" fillId="41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57" fillId="41" borderId="0" applyNumberFormat="0" applyBorder="0" applyAlignment="0" applyProtection="0"/>
    <xf numFmtId="0" fontId="39" fillId="14" borderId="0" applyNumberFormat="0" applyBorder="0" applyAlignment="0" applyProtection="0"/>
    <xf numFmtId="0" fontId="57" fillId="41" borderId="0" applyNumberFormat="0" applyBorder="0" applyAlignment="0" applyProtection="0"/>
    <xf numFmtId="38" fontId="69" fillId="82" borderId="0" applyNumberFormat="0" applyBorder="0" applyAlignment="0" applyProtection="0"/>
    <xf numFmtId="0" fontId="47" fillId="0" borderId="130" applyNumberFormat="0" applyAlignment="0" applyProtection="0">
      <alignment horizontal="left" vertical="center"/>
    </xf>
    <xf numFmtId="0" fontId="47" fillId="0" borderId="113">
      <alignment horizontal="left" vertical="center"/>
    </xf>
    <xf numFmtId="14" fontId="46" fillId="83" borderId="131">
      <alignment horizontal="center" vertical="center" wrapText="1"/>
    </xf>
    <xf numFmtId="0" fontId="58" fillId="0" borderId="135" applyNumberFormat="0" applyFill="0" applyAlignment="0" applyProtection="0"/>
    <xf numFmtId="0" fontId="58" fillId="0" borderId="135" applyNumberFormat="0" applyFill="0" applyAlignment="0" applyProtection="0"/>
    <xf numFmtId="0" fontId="85" fillId="0" borderId="136" applyNumberFormat="0" applyFill="0" applyAlignment="0" applyProtection="0"/>
    <xf numFmtId="0" fontId="85" fillId="0" borderId="136" applyNumberFormat="0" applyFill="0" applyAlignment="0" applyProtection="0"/>
    <xf numFmtId="0" fontId="85" fillId="0" borderId="136" applyNumberFormat="0" applyFill="0" applyAlignment="0" applyProtection="0"/>
    <xf numFmtId="0" fontId="85" fillId="0" borderId="136" applyNumberFormat="0" applyFill="0" applyAlignment="0" applyProtection="0"/>
    <xf numFmtId="0" fontId="85" fillId="0" borderId="136" applyNumberFormat="0" applyFill="0" applyAlignment="0" applyProtection="0"/>
    <xf numFmtId="0" fontId="85" fillId="0" borderId="136" applyNumberFormat="0" applyFill="0" applyAlignment="0" applyProtection="0"/>
    <xf numFmtId="0" fontId="58" fillId="0" borderId="135" applyNumberFormat="0" applyFill="0" applyAlignment="0" applyProtection="0"/>
    <xf numFmtId="0" fontId="58" fillId="0" borderId="135" applyNumberFormat="0" applyFill="0" applyAlignment="0" applyProtection="0"/>
    <xf numFmtId="0" fontId="85" fillId="0" borderId="136" applyNumberFormat="0" applyFill="0" applyAlignment="0" applyProtection="0"/>
    <xf numFmtId="0" fontId="85" fillId="0" borderId="136" applyNumberFormat="0" applyFill="0" applyAlignment="0" applyProtection="0"/>
    <xf numFmtId="0" fontId="85" fillId="0" borderId="136" applyNumberFormat="0" applyFill="0" applyAlignment="0" applyProtection="0"/>
    <xf numFmtId="0" fontId="85" fillId="0" borderId="136" applyNumberFormat="0" applyFill="0" applyAlignment="0" applyProtection="0"/>
    <xf numFmtId="0" fontId="85" fillId="0" borderId="136" applyNumberFormat="0" applyFill="0" applyAlignment="0" applyProtection="0"/>
    <xf numFmtId="0" fontId="85" fillId="0" borderId="136" applyNumberFormat="0" applyFill="0" applyAlignment="0" applyProtection="0"/>
    <xf numFmtId="0" fontId="58" fillId="0" borderId="135" applyNumberFormat="0" applyFill="0" applyAlignment="0" applyProtection="0"/>
    <xf numFmtId="0" fontId="36" fillId="0" borderId="121" applyNumberFormat="0" applyFill="0" applyAlignment="0" applyProtection="0"/>
    <xf numFmtId="0" fontId="58" fillId="0" borderId="135" applyNumberFormat="0" applyFill="0" applyAlignment="0" applyProtection="0"/>
    <xf numFmtId="0" fontId="59" fillId="0" borderId="137" applyNumberFormat="0" applyFill="0" applyAlignment="0" applyProtection="0"/>
    <xf numFmtId="0" fontId="59" fillId="0" borderId="137" applyNumberFormat="0" applyFill="0" applyAlignment="0" applyProtection="0"/>
    <xf numFmtId="0" fontId="86" fillId="0" borderId="137" applyNumberFormat="0" applyFill="0" applyAlignment="0" applyProtection="0"/>
    <xf numFmtId="0" fontId="86" fillId="0" borderId="137" applyNumberFormat="0" applyFill="0" applyAlignment="0" applyProtection="0"/>
    <xf numFmtId="0" fontId="86" fillId="0" borderId="137" applyNumberFormat="0" applyFill="0" applyAlignment="0" applyProtection="0"/>
    <xf numFmtId="0" fontId="86" fillId="0" borderId="137" applyNumberFormat="0" applyFill="0" applyAlignment="0" applyProtection="0"/>
    <xf numFmtId="0" fontId="86" fillId="0" borderId="137" applyNumberFormat="0" applyFill="0" applyAlignment="0" applyProtection="0"/>
    <xf numFmtId="0" fontId="86" fillId="0" borderId="137" applyNumberFormat="0" applyFill="0" applyAlignment="0" applyProtection="0"/>
    <xf numFmtId="0" fontId="59" fillId="0" borderId="137" applyNumberFormat="0" applyFill="0" applyAlignment="0" applyProtection="0"/>
    <xf numFmtId="0" fontId="59" fillId="0" borderId="137" applyNumberFormat="0" applyFill="0" applyAlignment="0" applyProtection="0"/>
    <xf numFmtId="0" fontId="86" fillId="0" borderId="137" applyNumberFormat="0" applyFill="0" applyAlignment="0" applyProtection="0"/>
    <xf numFmtId="0" fontId="86" fillId="0" borderId="137" applyNumberFormat="0" applyFill="0" applyAlignment="0" applyProtection="0"/>
    <xf numFmtId="0" fontId="86" fillId="0" borderId="137" applyNumberFormat="0" applyFill="0" applyAlignment="0" applyProtection="0"/>
    <xf numFmtId="0" fontId="86" fillId="0" borderId="137" applyNumberFormat="0" applyFill="0" applyAlignment="0" applyProtection="0"/>
    <xf numFmtId="0" fontId="86" fillId="0" borderId="137" applyNumberFormat="0" applyFill="0" applyAlignment="0" applyProtection="0"/>
    <xf numFmtId="0" fontId="86" fillId="0" borderId="137" applyNumberFormat="0" applyFill="0" applyAlignment="0" applyProtection="0"/>
    <xf numFmtId="0" fontId="59" fillId="0" borderId="137" applyNumberFormat="0" applyFill="0" applyAlignment="0" applyProtection="0"/>
    <xf numFmtId="0" fontId="37" fillId="0" borderId="122" applyNumberFormat="0" applyFill="0" applyAlignment="0" applyProtection="0"/>
    <xf numFmtId="0" fontId="59" fillId="0" borderId="137" applyNumberFormat="0" applyFill="0" applyAlignment="0" applyProtection="0"/>
    <xf numFmtId="0" fontId="60" fillId="0" borderId="138" applyNumberFormat="0" applyFill="0" applyAlignment="0" applyProtection="0"/>
    <xf numFmtId="0" fontId="60" fillId="0" borderId="138" applyNumberFormat="0" applyFill="0" applyAlignment="0" applyProtection="0"/>
    <xf numFmtId="0" fontId="70" fillId="0" borderId="139" applyNumberFormat="0" applyFill="0" applyAlignment="0" applyProtection="0"/>
    <xf numFmtId="0" fontId="70" fillId="0" borderId="139" applyNumberFormat="0" applyFill="0" applyAlignment="0" applyProtection="0"/>
    <xf numFmtId="0" fontId="70" fillId="0" borderId="139" applyNumberFormat="0" applyFill="0" applyAlignment="0" applyProtection="0"/>
    <xf numFmtId="0" fontId="70" fillId="0" borderId="139" applyNumberFormat="0" applyFill="0" applyAlignment="0" applyProtection="0"/>
    <xf numFmtId="0" fontId="70" fillId="0" borderId="139" applyNumberFormat="0" applyFill="0" applyAlignment="0" applyProtection="0"/>
    <xf numFmtId="0" fontId="70" fillId="0" borderId="139" applyNumberFormat="0" applyFill="0" applyAlignment="0" applyProtection="0"/>
    <xf numFmtId="0" fontId="60" fillId="0" borderId="138" applyNumberFormat="0" applyFill="0" applyAlignment="0" applyProtection="0"/>
    <xf numFmtId="0" fontId="60" fillId="0" borderId="138" applyNumberFormat="0" applyFill="0" applyAlignment="0" applyProtection="0"/>
    <xf numFmtId="0" fontId="70" fillId="0" borderId="139" applyNumberFormat="0" applyFill="0" applyAlignment="0" applyProtection="0"/>
    <xf numFmtId="0" fontId="70" fillId="0" borderId="139" applyNumberFormat="0" applyFill="0" applyAlignment="0" applyProtection="0"/>
    <xf numFmtId="0" fontId="70" fillId="0" borderId="139" applyNumberFormat="0" applyFill="0" applyAlignment="0" applyProtection="0"/>
    <xf numFmtId="0" fontId="70" fillId="0" borderId="139" applyNumberFormat="0" applyFill="0" applyAlignment="0" applyProtection="0"/>
    <xf numFmtId="0" fontId="70" fillId="0" borderId="139" applyNumberFormat="0" applyFill="0" applyAlignment="0" applyProtection="0"/>
    <xf numFmtId="0" fontId="70" fillId="0" borderId="139" applyNumberFormat="0" applyFill="0" applyAlignment="0" applyProtection="0"/>
    <xf numFmtId="0" fontId="60" fillId="0" borderId="138" applyNumberFormat="0" applyFill="0" applyAlignment="0" applyProtection="0"/>
    <xf numFmtId="0" fontId="38" fillId="0" borderId="123" applyNumberFormat="0" applyFill="0" applyAlignment="0" applyProtection="0"/>
    <xf numFmtId="0" fontId="60" fillId="0" borderId="138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61" fillId="48" borderId="132" applyNumberFormat="0" applyAlignment="0" applyProtection="0"/>
    <xf numFmtId="10" fontId="69" fillId="84" borderId="114" applyNumberFormat="0" applyBorder="0" applyAlignment="0" applyProtection="0"/>
    <xf numFmtId="0" fontId="61" fillId="48" borderId="132" applyNumberFormat="0" applyAlignment="0" applyProtection="0"/>
    <xf numFmtId="0" fontId="87" fillId="47" borderId="140" applyNumberFormat="0" applyAlignment="0" applyProtection="0"/>
    <xf numFmtId="0" fontId="87" fillId="47" borderId="140" applyNumberFormat="0" applyAlignment="0" applyProtection="0"/>
    <xf numFmtId="0" fontId="87" fillId="47" borderId="140" applyNumberFormat="0" applyAlignment="0" applyProtection="0"/>
    <xf numFmtId="0" fontId="87" fillId="47" borderId="140" applyNumberFormat="0" applyAlignment="0" applyProtection="0"/>
    <xf numFmtId="0" fontId="87" fillId="47" borderId="140" applyNumberFormat="0" applyAlignment="0" applyProtection="0"/>
    <xf numFmtId="0" fontId="87" fillId="47" borderId="140" applyNumberFormat="0" applyAlignment="0" applyProtection="0"/>
    <xf numFmtId="0" fontId="61" fillId="48" borderId="132" applyNumberFormat="0" applyAlignment="0" applyProtection="0"/>
    <xf numFmtId="0" fontId="61" fillId="36" borderId="132" applyNumberFormat="0" applyAlignment="0" applyProtection="0"/>
    <xf numFmtId="0" fontId="61" fillId="36" borderId="132" applyNumberFormat="0" applyAlignment="0" applyProtection="0"/>
    <xf numFmtId="0" fontId="87" fillId="47" borderId="140" applyNumberFormat="0" applyAlignment="0" applyProtection="0"/>
    <xf numFmtId="0" fontId="87" fillId="47" borderId="140" applyNumberFormat="0" applyAlignment="0" applyProtection="0"/>
    <xf numFmtId="0" fontId="87" fillId="47" borderId="140" applyNumberFormat="0" applyAlignment="0" applyProtection="0"/>
    <xf numFmtId="0" fontId="87" fillId="47" borderId="140" applyNumberFormat="0" applyAlignment="0" applyProtection="0"/>
    <xf numFmtId="0" fontId="87" fillId="47" borderId="140" applyNumberFormat="0" applyAlignment="0" applyProtection="0"/>
    <xf numFmtId="0" fontId="87" fillId="47" borderId="140" applyNumberFormat="0" applyAlignment="0" applyProtection="0"/>
    <xf numFmtId="0" fontId="61" fillId="48" borderId="132" applyNumberFormat="0" applyAlignment="0" applyProtection="0"/>
    <xf numFmtId="0" fontId="41" fillId="17" borderId="124" applyNumberFormat="0" applyAlignment="0" applyProtection="0"/>
    <xf numFmtId="0" fontId="61" fillId="48" borderId="132" applyNumberFormat="0" applyAlignment="0" applyProtection="0"/>
    <xf numFmtId="0" fontId="62" fillId="0" borderId="141" applyNumberFormat="0" applyFill="0" applyAlignment="0" applyProtection="0"/>
    <xf numFmtId="0" fontId="62" fillId="0" borderId="141" applyNumberFormat="0" applyFill="0" applyAlignment="0" applyProtection="0"/>
    <xf numFmtId="0" fontId="45" fillId="85" borderId="142" applyNumberFormat="0" applyFont="0" applyAlignment="0" applyProtection="0"/>
    <xf numFmtId="0" fontId="45" fillId="85" borderId="142" applyNumberFormat="0" applyFont="0" applyAlignment="0" applyProtection="0"/>
    <xf numFmtId="0" fontId="45" fillId="85" borderId="142" applyNumberFormat="0" applyFont="0" applyAlignment="0" applyProtection="0"/>
    <xf numFmtId="0" fontId="45" fillId="85" borderId="142" applyNumberFormat="0" applyFont="0" applyAlignment="0" applyProtection="0"/>
    <xf numFmtId="0" fontId="45" fillId="85" borderId="142" applyNumberFormat="0" applyFont="0" applyAlignment="0" applyProtection="0"/>
    <xf numFmtId="0" fontId="45" fillId="85" borderId="142" applyNumberFormat="0" applyFont="0" applyAlignment="0" applyProtection="0"/>
    <xf numFmtId="0" fontId="62" fillId="0" borderId="141" applyNumberFormat="0" applyFill="0" applyAlignment="0" applyProtection="0"/>
    <xf numFmtId="0" fontId="62" fillId="0" borderId="141" applyNumberFormat="0" applyFill="0" applyAlignment="0" applyProtection="0"/>
    <xf numFmtId="0" fontId="45" fillId="85" borderId="142" applyNumberFormat="0" applyFont="0" applyAlignment="0" applyProtection="0"/>
    <xf numFmtId="0" fontId="45" fillId="85" borderId="142" applyNumberFormat="0" applyFont="0" applyAlignment="0" applyProtection="0"/>
    <xf numFmtId="0" fontId="45" fillId="85" borderId="142" applyNumberFormat="0" applyFont="0" applyAlignment="0" applyProtection="0"/>
    <xf numFmtId="0" fontId="45" fillId="85" borderId="142" applyNumberFormat="0" applyFont="0" applyAlignment="0" applyProtection="0"/>
    <xf numFmtId="0" fontId="45" fillId="85" borderId="142" applyNumberFormat="0" applyFont="0" applyAlignment="0" applyProtection="0"/>
    <xf numFmtId="0" fontId="45" fillId="85" borderId="142" applyNumberFormat="0" applyFont="0" applyAlignment="0" applyProtection="0"/>
    <xf numFmtId="0" fontId="62" fillId="0" borderId="141" applyNumberFormat="0" applyFill="0" applyAlignment="0" applyProtection="0"/>
    <xf numFmtId="0" fontId="44" fillId="0" borderId="126" applyNumberFormat="0" applyFill="0" applyAlignment="0" applyProtection="0"/>
    <xf numFmtId="0" fontId="62" fillId="0" borderId="141" applyNumberFormat="0" applyFill="0" applyAlignment="0" applyProtection="0"/>
    <xf numFmtId="0" fontId="63" fillId="86" borderId="0" applyNumberFormat="0" applyBorder="0" applyAlignment="0" applyProtection="0"/>
    <xf numFmtId="0" fontId="63" fillId="86" borderId="0" applyNumberFormat="0" applyBorder="0" applyAlignment="0" applyProtection="0"/>
    <xf numFmtId="0" fontId="88" fillId="87" borderId="0" applyNumberFormat="0" applyBorder="0" applyAlignment="0" applyProtection="0"/>
    <xf numFmtId="0" fontId="88" fillId="87" borderId="0" applyNumberFormat="0" applyBorder="0" applyAlignment="0" applyProtection="0"/>
    <xf numFmtId="0" fontId="88" fillId="87" borderId="0" applyNumberFormat="0" applyBorder="0" applyAlignment="0" applyProtection="0"/>
    <xf numFmtId="0" fontId="88" fillId="87" borderId="0" applyNumberFormat="0" applyBorder="0" applyAlignment="0" applyProtection="0"/>
    <xf numFmtId="0" fontId="88" fillId="87" borderId="0" applyNumberFormat="0" applyBorder="0" applyAlignment="0" applyProtection="0"/>
    <xf numFmtId="0" fontId="88" fillId="87" borderId="0" applyNumberFormat="0" applyBorder="0" applyAlignment="0" applyProtection="0"/>
    <xf numFmtId="0" fontId="63" fillId="86" borderId="0" applyNumberFormat="0" applyBorder="0" applyAlignment="0" applyProtection="0"/>
    <xf numFmtId="0" fontId="63" fillId="54" borderId="0" applyNumberFormat="0" applyBorder="0" applyAlignment="0" applyProtection="0"/>
    <xf numFmtId="0" fontId="63" fillId="54" borderId="0" applyNumberFormat="0" applyBorder="0" applyAlignment="0" applyProtection="0"/>
    <xf numFmtId="0" fontId="88" fillId="87" borderId="0" applyNumberFormat="0" applyBorder="0" applyAlignment="0" applyProtection="0"/>
    <xf numFmtId="0" fontId="88" fillId="87" borderId="0" applyNumberFormat="0" applyBorder="0" applyAlignment="0" applyProtection="0"/>
    <xf numFmtId="0" fontId="88" fillId="87" borderId="0" applyNumberFormat="0" applyBorder="0" applyAlignment="0" applyProtection="0"/>
    <xf numFmtId="0" fontId="88" fillId="87" borderId="0" applyNumberFormat="0" applyBorder="0" applyAlignment="0" applyProtection="0"/>
    <xf numFmtId="0" fontId="88" fillId="87" borderId="0" applyNumberFormat="0" applyBorder="0" applyAlignment="0" applyProtection="0"/>
    <xf numFmtId="0" fontId="88" fillId="87" borderId="0" applyNumberFormat="0" applyBorder="0" applyAlignment="0" applyProtection="0"/>
    <xf numFmtId="0" fontId="63" fillId="86" borderId="0" applyNumberFormat="0" applyBorder="0" applyAlignment="0" applyProtection="0"/>
    <xf numFmtId="0" fontId="96" fillId="16" borderId="0" applyNumberFormat="0" applyBorder="0" applyAlignment="0" applyProtection="0"/>
    <xf numFmtId="0" fontId="63" fillId="86" borderId="0" applyNumberFormat="0" applyBorder="0" applyAlignment="0" applyProtection="0"/>
    <xf numFmtId="0" fontId="45" fillId="0" borderId="0"/>
    <xf numFmtId="0" fontId="45" fillId="0" borderId="0"/>
    <xf numFmtId="0" fontId="89" fillId="0" borderId="0"/>
    <xf numFmtId="0" fontId="1" fillId="0" borderId="0"/>
    <xf numFmtId="0" fontId="72" fillId="0" borderId="0">
      <alignment vertical="top"/>
    </xf>
    <xf numFmtId="0" fontId="72" fillId="0" borderId="0">
      <alignment vertical="top"/>
    </xf>
    <xf numFmtId="0" fontId="45" fillId="0" borderId="0"/>
    <xf numFmtId="0" fontId="69" fillId="0" borderId="0"/>
    <xf numFmtId="0" fontId="69" fillId="0" borderId="0"/>
    <xf numFmtId="0" fontId="45" fillId="0" borderId="0"/>
    <xf numFmtId="0" fontId="45" fillId="0" borderId="0"/>
    <xf numFmtId="0" fontId="45" fillId="0" borderId="0"/>
    <xf numFmtId="0" fontId="69" fillId="0" borderId="0"/>
    <xf numFmtId="0" fontId="69" fillId="0" borderId="0"/>
    <xf numFmtId="0" fontId="97" fillId="0" borderId="0"/>
    <xf numFmtId="0" fontId="22" fillId="0" borderId="0"/>
    <xf numFmtId="0" fontId="69" fillId="0" borderId="0"/>
    <xf numFmtId="0" fontId="69" fillId="0" borderId="0"/>
    <xf numFmtId="0" fontId="1" fillId="0" borderId="0"/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69" fillId="0" borderId="0"/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2" fillId="0" borderId="0">
      <alignment vertical="top"/>
    </xf>
    <xf numFmtId="0" fontId="45" fillId="0" borderId="0">
      <alignment wrapText="1"/>
    </xf>
    <xf numFmtId="0" fontId="4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45" fillId="0" borderId="0"/>
    <xf numFmtId="0" fontId="90" fillId="0" borderId="0"/>
    <xf numFmtId="0" fontId="90" fillId="0" borderId="0"/>
    <xf numFmtId="0" fontId="45" fillId="0" borderId="0"/>
    <xf numFmtId="0" fontId="48" fillId="0" borderId="0"/>
    <xf numFmtId="0" fontId="90" fillId="0" borderId="0"/>
    <xf numFmtId="0" fontId="45" fillId="0" borderId="0"/>
    <xf numFmtId="0" fontId="90" fillId="0" borderId="0"/>
    <xf numFmtId="0" fontId="45" fillId="0" borderId="0"/>
    <xf numFmtId="0" fontId="90" fillId="0" borderId="0"/>
    <xf numFmtId="0" fontId="90" fillId="0" borderId="0"/>
    <xf numFmtId="0" fontId="45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45" fillId="0" borderId="0"/>
    <xf numFmtId="0" fontId="4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89" fillId="0" borderId="0"/>
    <xf numFmtId="0" fontId="89" fillId="0" borderId="0"/>
    <xf numFmtId="0" fontId="45" fillId="0" borderId="0"/>
    <xf numFmtId="0" fontId="45" fillId="0" borderId="0"/>
    <xf numFmtId="0" fontId="89" fillId="0" borderId="0"/>
    <xf numFmtId="0" fontId="4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1" fillId="0" borderId="0"/>
    <xf numFmtId="0" fontId="4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5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72" fillId="0" borderId="0">
      <alignment vertical="top"/>
    </xf>
    <xf numFmtId="0" fontId="1" fillId="0" borderId="0"/>
    <xf numFmtId="0" fontId="1" fillId="0" borderId="0"/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72" fillId="0" borderId="0">
      <alignment vertical="top"/>
    </xf>
    <xf numFmtId="0" fontId="1" fillId="0" borderId="0"/>
    <xf numFmtId="0" fontId="72" fillId="0" borderId="0">
      <alignment vertical="top"/>
    </xf>
    <xf numFmtId="0" fontId="69" fillId="0" borderId="0"/>
    <xf numFmtId="0" fontId="6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88" borderId="143" applyNumberFormat="0" applyAlignment="0" applyProtection="0"/>
    <xf numFmtId="0" fontId="45" fillId="88" borderId="143" applyNumberFormat="0" applyAlignment="0" applyProtection="0"/>
    <xf numFmtId="0" fontId="45" fillId="87" borderId="143" applyNumberFormat="0" applyFont="0" applyAlignment="0" applyProtection="0"/>
    <xf numFmtId="0" fontId="45" fillId="87" borderId="143" applyNumberFormat="0" applyFont="0" applyAlignment="0" applyProtection="0"/>
    <xf numFmtId="0" fontId="45" fillId="87" borderId="143" applyNumberFormat="0" applyFont="0" applyAlignment="0" applyProtection="0"/>
    <xf numFmtId="0" fontId="45" fillId="87" borderId="143" applyNumberFormat="0" applyFont="0" applyAlignment="0" applyProtection="0"/>
    <xf numFmtId="0" fontId="45" fillId="87" borderId="143" applyNumberFormat="0" applyFont="0" applyAlignment="0" applyProtection="0"/>
    <xf numFmtId="0" fontId="45" fillId="87" borderId="143" applyNumberFormat="0" applyFont="0" applyAlignment="0" applyProtection="0"/>
    <xf numFmtId="0" fontId="45" fillId="88" borderId="143" applyNumberFormat="0" applyAlignment="0" applyProtection="0"/>
    <xf numFmtId="0" fontId="45" fillId="42" borderId="143" applyNumberFormat="0" applyFont="0" applyAlignment="0" applyProtection="0"/>
    <xf numFmtId="0" fontId="45" fillId="42" borderId="143" applyNumberFormat="0" applyFont="0" applyAlignment="0" applyProtection="0"/>
    <xf numFmtId="0" fontId="45" fillId="87" borderId="143" applyNumberFormat="0" applyFont="0" applyAlignment="0" applyProtection="0"/>
    <xf numFmtId="0" fontId="45" fillId="87" borderId="143" applyNumberFormat="0" applyFont="0" applyAlignment="0" applyProtection="0"/>
    <xf numFmtId="0" fontId="45" fillId="87" borderId="143" applyNumberFormat="0" applyFont="0" applyAlignment="0" applyProtection="0"/>
    <xf numFmtId="0" fontId="45" fillId="87" borderId="143" applyNumberFormat="0" applyFont="0" applyAlignment="0" applyProtection="0"/>
    <xf numFmtId="0" fontId="45" fillId="87" borderId="143" applyNumberFormat="0" applyFont="0" applyAlignment="0" applyProtection="0"/>
    <xf numFmtId="0" fontId="45" fillId="87" borderId="143" applyNumberFormat="0" applyFont="0" applyAlignment="0" applyProtection="0"/>
    <xf numFmtId="0" fontId="45" fillId="88" borderId="143" applyNumberForma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51" fillId="20" borderId="128" applyNumberFormat="0" applyFont="0" applyAlignment="0" applyProtection="0"/>
    <xf numFmtId="0" fontId="45" fillId="88" borderId="143" applyNumberFormat="0" applyAlignment="0" applyProtection="0"/>
    <xf numFmtId="0" fontId="64" fillId="76" borderId="144" applyNumberFormat="0" applyAlignment="0" applyProtection="0"/>
    <xf numFmtId="0" fontId="64" fillId="76" borderId="144" applyNumberFormat="0" applyAlignment="0" applyProtection="0"/>
    <xf numFmtId="0" fontId="91" fillId="89" borderId="145" applyNumberFormat="0" applyAlignment="0" applyProtection="0"/>
    <xf numFmtId="0" fontId="91" fillId="89" borderId="145" applyNumberFormat="0" applyAlignment="0" applyProtection="0"/>
    <xf numFmtId="0" fontId="91" fillId="89" borderId="145" applyNumberFormat="0" applyAlignment="0" applyProtection="0"/>
    <xf numFmtId="0" fontId="91" fillId="89" borderId="145" applyNumberFormat="0" applyAlignment="0" applyProtection="0"/>
    <xf numFmtId="0" fontId="91" fillId="89" borderId="145" applyNumberFormat="0" applyAlignment="0" applyProtection="0"/>
    <xf numFmtId="0" fontId="91" fillId="89" borderId="145" applyNumberFormat="0" applyAlignment="0" applyProtection="0"/>
    <xf numFmtId="0" fontId="64" fillId="76" borderId="144" applyNumberFormat="0" applyAlignment="0" applyProtection="0"/>
    <xf numFmtId="0" fontId="64" fillId="50" borderId="144" applyNumberFormat="0" applyAlignment="0" applyProtection="0"/>
    <xf numFmtId="0" fontId="64" fillId="50" borderId="144" applyNumberFormat="0" applyAlignment="0" applyProtection="0"/>
    <xf numFmtId="0" fontId="91" fillId="89" borderId="145" applyNumberFormat="0" applyAlignment="0" applyProtection="0"/>
    <xf numFmtId="0" fontId="91" fillId="89" borderId="145" applyNumberFormat="0" applyAlignment="0" applyProtection="0"/>
    <xf numFmtId="0" fontId="91" fillId="89" borderId="145" applyNumberFormat="0" applyAlignment="0" applyProtection="0"/>
    <xf numFmtId="0" fontId="91" fillId="89" borderId="145" applyNumberFormat="0" applyAlignment="0" applyProtection="0"/>
    <xf numFmtId="0" fontId="91" fillId="89" borderId="145" applyNumberFormat="0" applyAlignment="0" applyProtection="0"/>
    <xf numFmtId="0" fontId="91" fillId="89" borderId="145" applyNumberFormat="0" applyAlignment="0" applyProtection="0"/>
    <xf numFmtId="0" fontId="64" fillId="76" borderId="144" applyNumberFormat="0" applyAlignment="0" applyProtection="0"/>
    <xf numFmtId="0" fontId="42" fillId="18" borderId="125" applyNumberFormat="0" applyAlignment="0" applyProtection="0"/>
    <xf numFmtId="0" fontId="64" fillId="76" borderId="144" applyNumberFormat="0" applyAlignment="0" applyProtection="0"/>
    <xf numFmtId="9" fontId="45" fillId="0" borderId="0" applyFill="0" applyBorder="0" applyAlignment="0" applyProtection="0"/>
    <xf numFmtId="176" fontId="45" fillId="0" borderId="0" applyFont="0" applyFill="0" applyBorder="0" applyAlignment="0" applyProtection="0"/>
    <xf numFmtId="10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72" fillId="0" borderId="0" applyFont="0" applyFill="0" applyBorder="0" applyAlignment="0" applyProtection="0">
      <alignment vertical="top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173" fontId="75" fillId="0" borderId="0" applyNumberFormat="0" applyFill="0" applyBorder="0" applyAlignment="0" applyProtection="0">
      <alignment horizontal="left"/>
    </xf>
    <xf numFmtId="0" fontId="92" fillId="0" borderId="0" applyNumberForma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6" fillId="0" borderId="0" applyNumberFormat="0" applyFill="0" applyBorder="0" applyAlignment="0" applyProtection="0"/>
    <xf numFmtId="0" fontId="45" fillId="0" borderId="0"/>
    <xf numFmtId="40" fontId="77" fillId="0" borderId="0" applyBorder="0">
      <alignment horizontal="right"/>
    </xf>
    <xf numFmtId="0" fontId="79" fillId="0" borderId="0" applyFill="0" applyBorder="0" applyProtection="0">
      <alignment horizontal="left" vertical="top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146" applyNumberFormat="0" applyFill="0" applyAlignment="0" applyProtection="0"/>
    <xf numFmtId="0" fontId="66" fillId="0" borderId="146" applyNumberFormat="0" applyFill="0" applyAlignment="0" applyProtection="0"/>
    <xf numFmtId="0" fontId="71" fillId="0" borderId="147" applyNumberFormat="0" applyFill="0" applyAlignment="0" applyProtection="0"/>
    <xf numFmtId="0" fontId="71" fillId="0" borderId="147" applyNumberFormat="0" applyFill="0" applyAlignment="0" applyProtection="0"/>
    <xf numFmtId="0" fontId="71" fillId="0" borderId="147" applyNumberFormat="0" applyFill="0" applyAlignment="0" applyProtection="0"/>
    <xf numFmtId="0" fontId="71" fillId="0" borderId="147" applyNumberFormat="0" applyFill="0" applyAlignment="0" applyProtection="0"/>
    <xf numFmtId="0" fontId="71" fillId="0" borderId="147" applyNumberFormat="0" applyFill="0" applyAlignment="0" applyProtection="0"/>
    <xf numFmtId="0" fontId="71" fillId="0" borderId="147" applyNumberFormat="0" applyFill="0" applyAlignment="0" applyProtection="0"/>
    <xf numFmtId="0" fontId="66" fillId="0" borderId="146" applyNumberFormat="0" applyFill="0" applyAlignment="0" applyProtection="0"/>
    <xf numFmtId="0" fontId="66" fillId="0" borderId="146" applyNumberFormat="0" applyFill="0" applyAlignment="0" applyProtection="0"/>
    <xf numFmtId="0" fontId="71" fillId="0" borderId="147" applyNumberFormat="0" applyFill="0" applyAlignment="0" applyProtection="0"/>
    <xf numFmtId="0" fontId="71" fillId="0" borderId="147" applyNumberFormat="0" applyFill="0" applyAlignment="0" applyProtection="0"/>
    <xf numFmtId="0" fontId="71" fillId="0" borderId="147" applyNumberFormat="0" applyFill="0" applyAlignment="0" applyProtection="0"/>
    <xf numFmtId="0" fontId="71" fillId="0" borderId="147" applyNumberFormat="0" applyFill="0" applyAlignment="0" applyProtection="0"/>
    <xf numFmtId="0" fontId="71" fillId="0" borderId="147" applyNumberFormat="0" applyFill="0" applyAlignment="0" applyProtection="0"/>
    <xf numFmtId="0" fontId="71" fillId="0" borderId="147" applyNumberFormat="0" applyFill="0" applyAlignment="0" applyProtection="0"/>
    <xf numFmtId="0" fontId="66" fillId="0" borderId="146" applyNumberFormat="0" applyFill="0" applyAlignment="0" applyProtection="0"/>
    <xf numFmtId="0" fontId="2" fillId="0" borderId="129" applyNumberFormat="0" applyFill="0" applyAlignment="0" applyProtection="0"/>
    <xf numFmtId="0" fontId="66" fillId="0" borderId="146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4" fillId="0" borderId="0"/>
    <xf numFmtId="0" fontId="1" fillId="0" borderId="0"/>
    <xf numFmtId="0" fontId="1" fillId="0" borderId="0"/>
    <xf numFmtId="0" fontId="1" fillId="0" borderId="0"/>
    <xf numFmtId="0" fontId="45" fillId="0" borderId="0"/>
    <xf numFmtId="9" fontId="49" fillId="0" borderId="0" applyFont="0" applyFill="0" applyBorder="0" applyAlignment="0" applyProtection="0"/>
    <xf numFmtId="0" fontId="4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top"/>
    </xf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2" fillId="0" borderId="0"/>
    <xf numFmtId="0" fontId="103" fillId="0" borderId="0"/>
    <xf numFmtId="9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167" fontId="103" fillId="0" borderId="0" applyFon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166" fontId="45" fillId="0" borderId="0" applyFont="0" applyFill="0" applyBorder="0" applyAlignment="0" applyProtection="0"/>
    <xf numFmtId="37" fontId="48" fillId="0" borderId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top"/>
    </xf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top"/>
    </xf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72" fillId="0" borderId="0" applyFont="0" applyFill="0" applyBorder="0" applyAlignment="0" applyProtection="0">
      <alignment vertical="top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7" fillId="0" borderId="113">
      <alignment horizontal="left" vertical="center"/>
    </xf>
    <xf numFmtId="10" fontId="69" fillId="84" borderId="114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7">
    <xf numFmtId="0" fontId="0" fillId="0" borderId="0" xfId="0"/>
    <xf numFmtId="164" fontId="5" fillId="0" borderId="1" xfId="4" applyNumberFormat="1" applyFont="1" applyFill="1" applyBorder="1"/>
    <xf numFmtId="164" fontId="1" fillId="0" borderId="1" xfId="4" applyNumberFormat="1" applyFont="1" applyFill="1" applyBorder="1"/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7" fillId="0" borderId="1" xfId="2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left" indent="2"/>
    </xf>
    <xf numFmtId="0" fontId="0" fillId="0" borderId="1" xfId="0" applyBorder="1" applyAlignment="1">
      <alignment horizontal="left" indent="3"/>
    </xf>
    <xf numFmtId="164" fontId="5" fillId="0" borderId="2" xfId="4" applyNumberFormat="1" applyFont="1" applyFill="1" applyBorder="1"/>
    <xf numFmtId="0" fontId="1" fillId="0" borderId="0" xfId="0" applyFont="1"/>
    <xf numFmtId="164" fontId="1" fillId="0" borderId="3" xfId="4" applyNumberFormat="1" applyFont="1" applyFill="1" applyBorder="1"/>
    <xf numFmtId="164" fontId="5" fillId="0" borderId="3" xfId="4" applyNumberFormat="1" applyFont="1" applyFill="1" applyBorder="1"/>
    <xf numFmtId="164" fontId="2" fillId="3" borderId="3" xfId="0" applyNumberFormat="1" applyFont="1" applyFill="1" applyBorder="1" applyAlignment="1">
      <alignment horizontal="left" indent="2"/>
    </xf>
    <xf numFmtId="164" fontId="5" fillId="0" borderId="4" xfId="4" applyNumberFormat="1" applyFont="1" applyFill="1" applyBorder="1"/>
    <xf numFmtId="164" fontId="9" fillId="0" borderId="3" xfId="4" applyNumberFormat="1" applyFont="1" applyFill="1" applyBorder="1"/>
    <xf numFmtId="164" fontId="9" fillId="0" borderId="1" xfId="4" applyNumberFormat="1" applyFont="1" applyFill="1" applyBorder="1"/>
    <xf numFmtId="164" fontId="0" fillId="0" borderId="0" xfId="0" applyNumberFormat="1"/>
    <xf numFmtId="0" fontId="9" fillId="0" borderId="1" xfId="0" applyFont="1" applyBorder="1" applyAlignment="1">
      <alignment horizontal="left" indent="2"/>
    </xf>
    <xf numFmtId="164" fontId="0" fillId="0" borderId="0" xfId="1" applyNumberFormat="1" applyFont="1"/>
    <xf numFmtId="0" fontId="2" fillId="0" borderId="0" xfId="0" applyFont="1"/>
    <xf numFmtId="164" fontId="5" fillId="0" borderId="13" xfId="4" applyNumberFormat="1" applyFont="1" applyFill="1" applyBorder="1"/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164" fontId="20" fillId="0" borderId="22" xfId="0" applyNumberFormat="1" applyFont="1" applyBorder="1" applyAlignment="1">
      <alignment horizontal="center"/>
    </xf>
    <xf numFmtId="164" fontId="20" fillId="0" borderId="2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17" fillId="0" borderId="21" xfId="0" applyNumberFormat="1" applyFont="1" applyBorder="1"/>
    <xf numFmtId="9" fontId="0" fillId="0" borderId="0" xfId="2" applyFont="1"/>
    <xf numFmtId="164" fontId="20" fillId="0" borderId="23" xfId="0" applyNumberFormat="1" applyFont="1" applyBorder="1" applyAlignment="1">
      <alignment horizontal="center"/>
    </xf>
    <xf numFmtId="0" fontId="16" fillId="10" borderId="0" xfId="0" applyFont="1" applyFill="1"/>
    <xf numFmtId="0" fontId="18" fillId="11" borderId="16" xfId="0" applyFont="1" applyFill="1" applyBorder="1" applyAlignment="1">
      <alignment vertical="center"/>
    </xf>
    <xf numFmtId="0" fontId="19" fillId="11" borderId="17" xfId="0" applyFont="1" applyFill="1" applyBorder="1" applyAlignment="1">
      <alignment vertical="center"/>
    </xf>
    <xf numFmtId="0" fontId="19" fillId="11" borderId="18" xfId="0" applyFont="1" applyFill="1" applyBorder="1" applyAlignment="1">
      <alignment vertical="center"/>
    </xf>
    <xf numFmtId="0" fontId="3" fillId="10" borderId="8" xfId="0" applyFont="1" applyFill="1" applyBorder="1" applyAlignment="1">
      <alignment vertical="center"/>
    </xf>
    <xf numFmtId="0" fontId="3" fillId="10" borderId="9" xfId="0" applyFont="1" applyFill="1" applyBorder="1" applyAlignment="1">
      <alignment vertical="center"/>
    </xf>
    <xf numFmtId="164" fontId="3" fillId="10" borderId="9" xfId="0" applyNumberFormat="1" applyFont="1" applyFill="1" applyBorder="1" applyAlignment="1">
      <alignment vertical="center"/>
    </xf>
    <xf numFmtId="0" fontId="3" fillId="10" borderId="10" xfId="0" applyFont="1" applyFill="1" applyBorder="1" applyAlignment="1">
      <alignment vertical="center"/>
    </xf>
    <xf numFmtId="0" fontId="24" fillId="10" borderId="0" xfId="0" applyFont="1" applyFill="1"/>
    <xf numFmtId="0" fontId="0" fillId="0" borderId="24" xfId="0" applyBorder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164" fontId="5" fillId="0" borderId="36" xfId="4" applyNumberFormat="1" applyFont="1" applyFill="1" applyBorder="1"/>
    <xf numFmtId="0" fontId="2" fillId="0" borderId="37" xfId="0" applyFont="1" applyBorder="1" applyAlignment="1">
      <alignment horizontal="center"/>
    </xf>
    <xf numFmtId="0" fontId="0" fillId="0" borderId="2" xfId="0" applyBorder="1" applyAlignment="1">
      <alignment horizontal="left" indent="2"/>
    </xf>
    <xf numFmtId="0" fontId="2" fillId="0" borderId="38" xfId="0" applyFont="1" applyBorder="1" applyAlignment="1">
      <alignment horizontal="center"/>
    </xf>
    <xf numFmtId="0" fontId="2" fillId="0" borderId="5" xfId="0" applyFont="1" applyBorder="1"/>
    <xf numFmtId="164" fontId="2" fillId="0" borderId="6" xfId="4" applyNumberFormat="1" applyFont="1" applyFill="1" applyBorder="1"/>
    <xf numFmtId="164" fontId="2" fillId="0" borderId="5" xfId="4" applyNumberFormat="1" applyFont="1" applyFill="1" applyBorder="1"/>
    <xf numFmtId="0" fontId="2" fillId="0" borderId="39" xfId="0" applyFont="1" applyBorder="1" applyAlignment="1">
      <alignment horizontal="center"/>
    </xf>
    <xf numFmtId="9" fontId="1" fillId="0" borderId="40" xfId="2" applyFont="1" applyBorder="1" applyAlignment="1">
      <alignment horizontal="left" indent="1"/>
    </xf>
    <xf numFmtId="164" fontId="1" fillId="0" borderId="41" xfId="1" applyNumberFormat="1" applyFont="1" applyFill="1" applyBorder="1"/>
    <xf numFmtId="164" fontId="1" fillId="0" borderId="40" xfId="1" applyNumberFormat="1" applyFont="1" applyFill="1" applyBorder="1"/>
    <xf numFmtId="165" fontId="1" fillId="0" borderId="40" xfId="4" applyNumberFormat="1" applyFont="1" applyFill="1" applyBorder="1"/>
    <xf numFmtId="0" fontId="2" fillId="0" borderId="42" xfId="0" applyFont="1" applyBorder="1" applyAlignment="1">
      <alignment horizontal="center"/>
    </xf>
    <xf numFmtId="165" fontId="1" fillId="0" borderId="43" xfId="4" applyNumberFormat="1" applyFont="1" applyFill="1" applyBorder="1"/>
    <xf numFmtId="165" fontId="1" fillId="0" borderId="44" xfId="4" applyNumberFormat="1" applyFont="1" applyFill="1" applyBorder="1"/>
    <xf numFmtId="0" fontId="2" fillId="0" borderId="1" xfId="0" applyFont="1" applyBorder="1"/>
    <xf numFmtId="164" fontId="2" fillId="0" borderId="3" xfId="6" applyNumberFormat="1" applyFont="1" applyFill="1" applyBorder="1"/>
    <xf numFmtId="164" fontId="2" fillId="0" borderId="1" xfId="6" applyNumberFormat="1" applyFont="1" applyFill="1" applyBorder="1"/>
    <xf numFmtId="0" fontId="0" fillId="0" borderId="45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2" fillId="3" borderId="4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right"/>
    </xf>
    <xf numFmtId="9" fontId="14" fillId="0" borderId="3" xfId="2" applyFont="1" applyFill="1" applyBorder="1" applyAlignment="1">
      <alignment horizontal="right"/>
    </xf>
    <xf numFmtId="9" fontId="14" fillId="0" borderId="1" xfId="2" applyFont="1" applyFill="1" applyBorder="1" applyAlignment="1">
      <alignment horizontal="right"/>
    </xf>
    <xf numFmtId="0" fontId="2" fillId="0" borderId="45" xfId="0" applyFont="1" applyBorder="1" applyAlignment="1">
      <alignment horizontal="center"/>
    </xf>
    <xf numFmtId="9" fontId="14" fillId="0" borderId="3" xfId="2" applyFont="1" applyBorder="1"/>
    <xf numFmtId="9" fontId="14" fillId="0" borderId="1" xfId="2" applyFont="1" applyBorder="1"/>
    <xf numFmtId="0" fontId="0" fillId="0" borderId="46" xfId="0" applyBorder="1" applyAlignment="1">
      <alignment horizontal="center"/>
    </xf>
    <xf numFmtId="0" fontId="14" fillId="0" borderId="11" xfId="0" applyFont="1" applyBorder="1" applyAlignment="1">
      <alignment horizontal="right"/>
    </xf>
    <xf numFmtId="9" fontId="14" fillId="0" borderId="12" xfId="2" applyFont="1" applyFill="1" applyBorder="1" applyAlignment="1">
      <alignment horizontal="right"/>
    </xf>
    <xf numFmtId="9" fontId="14" fillId="0" borderId="11" xfId="2" applyFont="1" applyFill="1" applyBorder="1" applyAlignment="1">
      <alignment horizontal="right"/>
    </xf>
    <xf numFmtId="164" fontId="1" fillId="0" borderId="40" xfId="4" applyNumberFormat="1" applyFont="1" applyFill="1" applyBorder="1"/>
    <xf numFmtId="0" fontId="0" fillId="0" borderId="47" xfId="0" applyBorder="1"/>
    <xf numFmtId="0" fontId="0" fillId="0" borderId="24" xfId="0" applyBorder="1" applyAlignment="1">
      <alignment horizontal="center"/>
    </xf>
    <xf numFmtId="0" fontId="0" fillId="0" borderId="47" xfId="0" applyBorder="1" applyAlignment="1">
      <alignment horizontal="center"/>
    </xf>
    <xf numFmtId="0" fontId="17" fillId="0" borderId="52" xfId="0" applyFont="1" applyBorder="1"/>
    <xf numFmtId="0" fontId="17" fillId="0" borderId="53" xfId="0" applyFont="1" applyBorder="1"/>
    <xf numFmtId="0" fontId="17" fillId="0" borderId="1" xfId="0" applyFont="1" applyBorder="1" applyAlignment="1">
      <alignment horizontal="left"/>
    </xf>
    <xf numFmtId="164" fontId="17" fillId="0" borderId="3" xfId="1" applyNumberFormat="1" applyFont="1" applyBorder="1"/>
    <xf numFmtId="164" fontId="17" fillId="0" borderId="1" xfId="1" applyNumberFormat="1" applyFont="1" applyBorder="1"/>
    <xf numFmtId="164" fontId="17" fillId="0" borderId="54" xfId="1" applyNumberFormat="1" applyFont="1" applyBorder="1"/>
    <xf numFmtId="164" fontId="17" fillId="0" borderId="55" xfId="1" applyNumberFormat="1" applyFont="1" applyBorder="1"/>
    <xf numFmtId="0" fontId="0" fillId="2" borderId="0" xfId="0" applyFill="1"/>
    <xf numFmtId="0" fontId="25" fillId="2" borderId="0" xfId="0" applyFont="1" applyFill="1" applyAlignment="1">
      <alignment vertical="center"/>
    </xf>
    <xf numFmtId="0" fontId="20" fillId="8" borderId="48" xfId="0" applyFont="1" applyFill="1" applyBorder="1" applyAlignment="1">
      <alignment horizontal="center"/>
    </xf>
    <xf numFmtId="0" fontId="20" fillId="8" borderId="49" xfId="0" applyFont="1" applyFill="1" applyBorder="1" applyAlignment="1">
      <alignment horizontal="center"/>
    </xf>
    <xf numFmtId="0" fontId="20" fillId="8" borderId="50" xfId="0" applyFont="1" applyFill="1" applyBorder="1"/>
    <xf numFmtId="0" fontId="17" fillId="0" borderId="1" xfId="0" applyFont="1" applyBorder="1"/>
    <xf numFmtId="0" fontId="20" fillId="8" borderId="52" xfId="0" applyFont="1" applyFill="1" applyBorder="1" applyAlignment="1">
      <alignment horizontal="center"/>
    </xf>
    <xf numFmtId="0" fontId="20" fillId="8" borderId="53" xfId="0" applyFont="1" applyFill="1" applyBorder="1" applyAlignment="1">
      <alignment horizontal="center"/>
    </xf>
    <xf numFmtId="0" fontId="20" fillId="8" borderId="1" xfId="0" applyFont="1" applyFill="1" applyBorder="1"/>
    <xf numFmtId="0" fontId="20" fillId="9" borderId="52" xfId="0" applyFont="1" applyFill="1" applyBorder="1" applyAlignment="1">
      <alignment horizontal="center"/>
    </xf>
    <xf numFmtId="0" fontId="20" fillId="9" borderId="53" xfId="0" applyFont="1" applyFill="1" applyBorder="1" applyAlignment="1">
      <alignment horizontal="center"/>
    </xf>
    <xf numFmtId="0" fontId="20" fillId="9" borderId="1" xfId="0" applyFont="1" applyFill="1" applyBorder="1"/>
    <xf numFmtId="164" fontId="20" fillId="8" borderId="3" xfId="1" applyNumberFormat="1" applyFont="1" applyFill="1" applyBorder="1"/>
    <xf numFmtId="164" fontId="20" fillId="8" borderId="1" xfId="1" applyNumberFormat="1" applyFont="1" applyFill="1" applyBorder="1"/>
    <xf numFmtId="0" fontId="17" fillId="0" borderId="56" xfId="0" applyFont="1" applyBorder="1"/>
    <xf numFmtId="0" fontId="17" fillId="0" borderId="57" xfId="0" applyFont="1" applyBorder="1"/>
    <xf numFmtId="0" fontId="17" fillId="0" borderId="58" xfId="0" applyFont="1" applyBorder="1"/>
    <xf numFmtId="164" fontId="17" fillId="0" borderId="59" xfId="0" applyNumberFormat="1" applyFont="1" applyBorder="1"/>
    <xf numFmtId="164" fontId="17" fillId="0" borderId="60" xfId="0" applyNumberFormat="1" applyFont="1" applyBorder="1"/>
    <xf numFmtId="164" fontId="17" fillId="0" borderId="61" xfId="0" applyNumberFormat="1" applyFont="1" applyBorder="1"/>
    <xf numFmtId="0" fontId="0" fillId="0" borderId="36" xfId="0" applyBorder="1" applyAlignment="1">
      <alignment horizontal="left" indent="3"/>
    </xf>
    <xf numFmtId="164" fontId="5" fillId="0" borderId="63" xfId="4" applyNumberFormat="1" applyFont="1" applyFill="1" applyBorder="1"/>
    <xf numFmtId="0" fontId="0" fillId="0" borderId="62" xfId="0" applyBorder="1" applyAlignment="1">
      <alignment horizontal="left" indent="3"/>
    </xf>
    <xf numFmtId="164" fontId="5" fillId="0" borderId="64" xfId="4" applyNumberFormat="1" applyFont="1" applyFill="1" applyBorder="1"/>
    <xf numFmtId="164" fontId="5" fillId="0" borderId="65" xfId="4" applyNumberFormat="1" applyFont="1" applyFill="1" applyBorder="1"/>
    <xf numFmtId="164" fontId="5" fillId="0" borderId="62" xfId="4" applyNumberFormat="1" applyFont="1" applyFill="1" applyBorder="1"/>
    <xf numFmtId="0" fontId="9" fillId="0" borderId="0" xfId="0" applyFont="1"/>
    <xf numFmtId="0" fontId="6" fillId="0" borderId="0" xfId="0" applyFont="1"/>
    <xf numFmtId="164" fontId="9" fillId="0" borderId="15" xfId="1" applyNumberFormat="1" applyFont="1" applyFill="1" applyBorder="1" applyAlignment="1">
      <alignment horizontal="right"/>
    </xf>
    <xf numFmtId="164" fontId="9" fillId="0" borderId="3" xfId="4" applyNumberFormat="1" applyFont="1" applyFill="1" applyBorder="1" applyAlignment="1">
      <alignment horizontal="right"/>
    </xf>
    <xf numFmtId="164" fontId="9" fillId="0" borderId="1" xfId="4" applyNumberFormat="1" applyFont="1" applyFill="1" applyBorder="1" applyAlignment="1">
      <alignment horizontal="right"/>
    </xf>
    <xf numFmtId="0" fontId="2" fillId="6" borderId="32" xfId="0" applyFont="1" applyFill="1" applyBorder="1" applyAlignment="1">
      <alignment horizontal="center" vertical="center"/>
    </xf>
    <xf numFmtId="0" fontId="9" fillId="0" borderId="62" xfId="0" applyFont="1" applyBorder="1" applyAlignment="1">
      <alignment horizontal="left" indent="2"/>
    </xf>
    <xf numFmtId="0" fontId="2" fillId="0" borderId="62" xfId="0" applyFont="1" applyBorder="1" applyAlignment="1">
      <alignment horizontal="left" indent="1"/>
    </xf>
    <xf numFmtId="164" fontId="6" fillId="0" borderId="65" xfId="4" applyNumberFormat="1" applyFont="1" applyFill="1" applyBorder="1" applyAlignment="1">
      <alignment horizontal="right"/>
    </xf>
    <xf numFmtId="164" fontId="6" fillId="0" borderId="62" xfId="4" applyNumberFormat="1" applyFont="1" applyFill="1" applyBorder="1" applyAlignment="1">
      <alignment horizontal="right"/>
    </xf>
    <xf numFmtId="164" fontId="6" fillId="0" borderId="64" xfId="4" applyNumberFormat="1" applyFont="1" applyFill="1" applyBorder="1" applyAlignment="1">
      <alignment horizontal="right"/>
    </xf>
    <xf numFmtId="0" fontId="2" fillId="0" borderId="66" xfId="0" applyFont="1" applyBorder="1" applyAlignment="1">
      <alignment horizontal="center"/>
    </xf>
    <xf numFmtId="0" fontId="0" fillId="0" borderId="67" xfId="0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0" fillId="0" borderId="69" xfId="0" applyBorder="1" applyAlignment="1">
      <alignment horizontal="center"/>
    </xf>
    <xf numFmtId="0" fontId="2" fillId="0" borderId="70" xfId="0" applyFont="1" applyBorder="1" applyAlignment="1">
      <alignment horizontal="center"/>
    </xf>
    <xf numFmtId="164" fontId="9" fillId="0" borderId="64" xfId="4" applyNumberFormat="1" applyFont="1" applyFill="1" applyBorder="1" applyAlignment="1">
      <alignment horizontal="right"/>
    </xf>
    <xf numFmtId="164" fontId="9" fillId="0" borderId="65" xfId="4" applyNumberFormat="1" applyFont="1" applyFill="1" applyBorder="1" applyAlignment="1">
      <alignment horizontal="right"/>
    </xf>
    <xf numFmtId="164" fontId="9" fillId="0" borderId="62" xfId="4" applyNumberFormat="1" applyFont="1" applyFill="1" applyBorder="1" applyAlignment="1">
      <alignment horizontal="right"/>
    </xf>
    <xf numFmtId="164" fontId="9" fillId="0" borderId="15" xfId="4" applyNumberFormat="1" applyFont="1" applyFill="1" applyBorder="1" applyAlignment="1">
      <alignment horizontal="right"/>
    </xf>
    <xf numFmtId="164" fontId="9" fillId="0" borderId="64" xfId="1" applyNumberFormat="1" applyFont="1" applyFill="1" applyBorder="1" applyAlignment="1">
      <alignment horizontal="right"/>
    </xf>
    <xf numFmtId="164" fontId="9" fillId="0" borderId="65" xfId="1" applyNumberFormat="1" applyFont="1" applyFill="1" applyBorder="1" applyAlignment="1">
      <alignment horizontal="right"/>
    </xf>
    <xf numFmtId="164" fontId="9" fillId="0" borderId="62" xfId="1" applyNumberFormat="1" applyFont="1" applyFill="1" applyBorder="1" applyAlignment="1">
      <alignment horizontal="right"/>
    </xf>
    <xf numFmtId="0" fontId="6" fillId="12" borderId="5" xfId="0" applyFont="1" applyFill="1" applyBorder="1" applyAlignment="1">
      <alignment horizontal="left" indent="1"/>
    </xf>
    <xf numFmtId="0" fontId="2" fillId="6" borderId="31" xfId="0" quotePrefix="1" applyFont="1" applyFill="1" applyBorder="1" applyAlignment="1">
      <alignment horizontal="centerContinuous" vertical="center"/>
    </xf>
    <xf numFmtId="0" fontId="2" fillId="6" borderId="25" xfId="0" quotePrefix="1" applyFont="1" applyFill="1" applyBorder="1" applyAlignment="1">
      <alignment horizontal="centerContinuous" vertical="center"/>
    </xf>
    <xf numFmtId="0" fontId="6" fillId="12" borderId="38" xfId="0" applyFont="1" applyFill="1" applyBorder="1" applyAlignment="1">
      <alignment horizontal="center"/>
    </xf>
    <xf numFmtId="0" fontId="6" fillId="12" borderId="71" xfId="0" applyFont="1" applyFill="1" applyBorder="1" applyAlignment="1">
      <alignment horizontal="center"/>
    </xf>
    <xf numFmtId="164" fontId="6" fillId="12" borderId="14" xfId="4" applyNumberFormat="1" applyFont="1" applyFill="1" applyBorder="1"/>
    <xf numFmtId="164" fontId="6" fillId="12" borderId="6" xfId="4" applyNumberFormat="1" applyFont="1" applyFill="1" applyBorder="1"/>
    <xf numFmtId="164" fontId="6" fillId="12" borderId="5" xfId="4" applyNumberFormat="1" applyFont="1" applyFill="1" applyBorder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" fillId="6" borderId="73" xfId="0" quotePrefix="1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0" borderId="75" xfId="0" applyFont="1" applyBorder="1" applyAlignment="1">
      <alignment horizontal="center"/>
    </xf>
    <xf numFmtId="0" fontId="0" fillId="0" borderId="54" xfId="0" applyBorder="1" applyAlignment="1">
      <alignment horizontal="center"/>
    </xf>
    <xf numFmtId="43" fontId="0" fillId="0" borderId="0" xfId="1" applyFont="1"/>
    <xf numFmtId="0" fontId="23" fillId="0" borderId="47" xfId="19" quotePrefix="1" applyBorder="1" applyAlignment="1">
      <alignment horizontal="center"/>
    </xf>
    <xf numFmtId="0" fontId="23" fillId="0" borderId="24" xfId="19" quotePrefix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2" fillId="5" borderId="69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left" indent="1"/>
    </xf>
    <xf numFmtId="164" fontId="6" fillId="5" borderId="15" xfId="4" applyNumberFormat="1" applyFont="1" applyFill="1" applyBorder="1" applyAlignment="1">
      <alignment horizontal="right"/>
    </xf>
    <xf numFmtId="164" fontId="6" fillId="5" borderId="3" xfId="4" applyNumberFormat="1" applyFont="1" applyFill="1" applyBorder="1" applyAlignment="1">
      <alignment horizontal="right"/>
    </xf>
    <xf numFmtId="164" fontId="6" fillId="5" borderId="1" xfId="4" applyNumberFormat="1" applyFont="1" applyFill="1" applyBorder="1" applyAlignment="1">
      <alignment horizontal="right"/>
    </xf>
    <xf numFmtId="164" fontId="20" fillId="8" borderId="51" xfId="1" applyNumberFormat="1" applyFont="1" applyFill="1" applyBorder="1"/>
    <xf numFmtId="164" fontId="20" fillId="8" borderId="50" xfId="1" applyNumberFormat="1" applyFont="1" applyFill="1" applyBorder="1"/>
    <xf numFmtId="164" fontId="20" fillId="8" borderId="54" xfId="1" applyNumberFormat="1" applyFont="1" applyFill="1" applyBorder="1"/>
    <xf numFmtId="164" fontId="20" fillId="9" borderId="3" xfId="1" applyNumberFormat="1" applyFont="1" applyFill="1" applyBorder="1"/>
    <xf numFmtId="164" fontId="20" fillId="9" borderId="1" xfId="1" applyNumberFormat="1" applyFont="1" applyFill="1" applyBorder="1"/>
    <xf numFmtId="164" fontId="20" fillId="9" borderId="54" xfId="1" applyNumberFormat="1" applyFont="1" applyFill="1" applyBorder="1"/>
    <xf numFmtId="164" fontId="17" fillId="0" borderId="3" xfId="0" applyNumberFormat="1" applyFont="1" applyBorder="1"/>
    <xf numFmtId="164" fontId="17" fillId="0" borderId="1" xfId="0" applyNumberFormat="1" applyFont="1" applyBorder="1"/>
    <xf numFmtId="164" fontId="17" fillId="0" borderId="54" xfId="0" applyNumberFormat="1" applyFont="1" applyBorder="1"/>
    <xf numFmtId="164" fontId="17" fillId="0" borderId="55" xfId="0" applyNumberFormat="1" applyFont="1" applyBorder="1"/>
    <xf numFmtId="164" fontId="20" fillId="8" borderId="51" xfId="0" applyNumberFormat="1" applyFont="1" applyFill="1" applyBorder="1"/>
    <xf numFmtId="164" fontId="20" fillId="8" borderId="50" xfId="0" applyNumberFormat="1" applyFont="1" applyFill="1" applyBorder="1"/>
    <xf numFmtId="164" fontId="20" fillId="8" borderId="3" xfId="0" applyNumberFormat="1" applyFont="1" applyFill="1" applyBorder="1"/>
    <xf numFmtId="164" fontId="20" fillId="8" borderId="1" xfId="0" applyNumberFormat="1" applyFont="1" applyFill="1" applyBorder="1"/>
    <xf numFmtId="164" fontId="20" fillId="0" borderId="1" xfId="0" applyNumberFormat="1" applyFont="1" applyBorder="1"/>
    <xf numFmtId="164" fontId="20" fillId="8" borderId="77" xfId="1" applyNumberFormat="1" applyFont="1" applyFill="1" applyBorder="1"/>
    <xf numFmtId="164" fontId="17" fillId="0" borderId="77" xfId="1" applyNumberFormat="1" applyFont="1" applyBorder="1"/>
    <xf numFmtId="0" fontId="2" fillId="6" borderId="78" xfId="0" applyFont="1" applyFill="1" applyBorder="1" applyAlignment="1">
      <alignment horizontal="center" vertical="center"/>
    </xf>
    <xf numFmtId="164" fontId="1" fillId="0" borderId="5" xfId="4" applyNumberFormat="1" applyFont="1" applyFill="1" applyBorder="1"/>
    <xf numFmtId="0" fontId="29" fillId="0" borderId="0" xfId="0" applyFont="1" applyAlignment="1">
      <alignment horizontal="left"/>
    </xf>
    <xf numFmtId="164" fontId="2" fillId="3" borderId="84" xfId="0" applyNumberFormat="1" applyFont="1" applyFill="1" applyBorder="1" applyAlignment="1">
      <alignment horizontal="left" indent="2"/>
    </xf>
    <xf numFmtId="0" fontId="30" fillId="4" borderId="85" xfId="0" applyFont="1" applyFill="1" applyBorder="1" applyAlignment="1">
      <alignment horizontal="centerContinuous"/>
    </xf>
    <xf numFmtId="0" fontId="30" fillId="4" borderId="85" xfId="0" applyFont="1" applyFill="1" applyBorder="1" applyAlignment="1">
      <alignment horizontal="center"/>
    </xf>
    <xf numFmtId="0" fontId="30" fillId="0" borderId="85" xfId="0" applyFont="1" applyBorder="1" applyAlignment="1">
      <alignment horizontal="center"/>
    </xf>
    <xf numFmtId="0" fontId="30" fillId="0" borderId="85" xfId="0" applyFont="1" applyBorder="1"/>
    <xf numFmtId="0" fontId="31" fillId="0" borderId="85" xfId="0" applyFont="1" applyBorder="1"/>
    <xf numFmtId="164" fontId="31" fillId="0" borderId="85" xfId="1" applyNumberFormat="1" applyFont="1" applyBorder="1"/>
    <xf numFmtId="0" fontId="31" fillId="0" borderId="85" xfId="0" applyFont="1" applyBorder="1" applyAlignment="1">
      <alignment horizontal="center"/>
    </xf>
    <xf numFmtId="164" fontId="31" fillId="0" borderId="85" xfId="1" applyNumberFormat="1" applyFont="1" applyFill="1" applyBorder="1"/>
    <xf numFmtId="164" fontId="30" fillId="0" borderId="85" xfId="1" applyNumberFormat="1" applyFont="1" applyFill="1" applyBorder="1"/>
    <xf numFmtId="0" fontId="31" fillId="0" borderId="0" xfId="0" applyFont="1" applyAlignment="1">
      <alignment horizontal="center"/>
    </xf>
    <xf numFmtId="0" fontId="31" fillId="0" borderId="0" xfId="0" applyFont="1"/>
    <xf numFmtId="164" fontId="31" fillId="0" borderId="0" xfId="1" applyNumberFormat="1" applyFont="1"/>
    <xf numFmtId="0" fontId="29" fillId="0" borderId="86" xfId="0" applyFont="1" applyBorder="1" applyAlignment="1">
      <alignment horizontal="center"/>
    </xf>
    <xf numFmtId="0" fontId="29" fillId="0" borderId="87" xfId="0" applyFont="1" applyBorder="1" applyAlignment="1">
      <alignment horizontal="center"/>
    </xf>
    <xf numFmtId="0" fontId="29" fillId="0" borderId="88" xfId="0" applyFont="1" applyBorder="1" applyAlignment="1">
      <alignment horizontal="center"/>
    </xf>
    <xf numFmtId="0" fontId="29" fillId="0" borderId="89" xfId="0" applyFont="1" applyBorder="1" applyAlignment="1">
      <alignment horizontal="center"/>
    </xf>
    <xf numFmtId="14" fontId="9" fillId="0" borderId="91" xfId="4" applyNumberFormat="1" applyFont="1" applyFill="1" applyBorder="1" applyAlignment="1">
      <alignment horizontal="center"/>
    </xf>
    <xf numFmtId="164" fontId="9" fillId="0" borderId="92" xfId="4" applyNumberFormat="1" applyFont="1" applyFill="1" applyBorder="1" applyAlignment="1">
      <alignment horizontal="center"/>
    </xf>
    <xf numFmtId="1" fontId="9" fillId="0" borderId="92" xfId="4" applyNumberFormat="1" applyFont="1" applyFill="1" applyBorder="1" applyAlignment="1">
      <alignment horizontal="center"/>
    </xf>
    <xf numFmtId="164" fontId="23" fillId="0" borderId="94" xfId="19" applyNumberFormat="1" applyFill="1" applyBorder="1" applyAlignment="1">
      <alignment horizontal="center"/>
    </xf>
    <xf numFmtId="164" fontId="20" fillId="0" borderId="84" xfId="0" applyNumberFormat="1" applyFont="1" applyBorder="1"/>
    <xf numFmtId="164" fontId="2" fillId="0" borderId="83" xfId="4" applyNumberFormat="1" applyFont="1" applyFill="1" applyBorder="1"/>
    <xf numFmtId="164" fontId="1" fillId="0" borderId="83" xfId="4" applyNumberFormat="1" applyFont="1" applyFill="1" applyBorder="1"/>
    <xf numFmtId="164" fontId="2" fillId="0" borderId="84" xfId="6" applyNumberFormat="1" applyFont="1" applyFill="1" applyBorder="1"/>
    <xf numFmtId="164" fontId="1" fillId="0" borderId="84" xfId="4" applyNumberFormat="1" applyFont="1" applyFill="1" applyBorder="1"/>
    <xf numFmtId="164" fontId="5" fillId="0" borderId="84" xfId="4" applyNumberFormat="1" applyFont="1" applyFill="1" applyBorder="1"/>
    <xf numFmtId="9" fontId="7" fillId="0" borderId="84" xfId="2" applyFont="1" applyFill="1" applyBorder="1" applyAlignment="1">
      <alignment horizontal="right"/>
    </xf>
    <xf numFmtId="164" fontId="9" fillId="0" borderId="84" xfId="4" applyNumberFormat="1" applyFont="1" applyFill="1" applyBorder="1"/>
    <xf numFmtId="0" fontId="0" fillId="0" borderId="96" xfId="0" applyBorder="1" applyAlignment="1">
      <alignment horizontal="left" indent="2"/>
    </xf>
    <xf numFmtId="0" fontId="0" fillId="0" borderId="97" xfId="0" applyBorder="1" applyAlignment="1">
      <alignment horizontal="left" indent="2"/>
    </xf>
    <xf numFmtId="0" fontId="0" fillId="0" borderId="98" xfId="0" applyBorder="1" applyAlignment="1">
      <alignment horizontal="left" indent="2"/>
    </xf>
    <xf numFmtId="0" fontId="0" fillId="0" borderId="99" xfId="0" applyBorder="1" applyAlignment="1">
      <alignment horizontal="left" indent="2"/>
    </xf>
    <xf numFmtId="0" fontId="2" fillId="6" borderId="103" xfId="0" applyFont="1" applyFill="1" applyBorder="1" applyAlignment="1">
      <alignment horizontal="center" vertical="center"/>
    </xf>
    <xf numFmtId="0" fontId="2" fillId="0" borderId="81" xfId="0" applyFont="1" applyBorder="1" applyAlignment="1">
      <alignment horizontal="left" indent="1"/>
    </xf>
    <xf numFmtId="14" fontId="9" fillId="0" borderId="104" xfId="4" applyNumberFormat="1" applyFont="1" applyFill="1" applyBorder="1" applyAlignment="1">
      <alignment horizontal="center"/>
    </xf>
    <xf numFmtId="164" fontId="9" fillId="0" borderId="105" xfId="4" applyNumberFormat="1" applyFont="1" applyFill="1" applyBorder="1" applyAlignment="1">
      <alignment horizontal="center"/>
    </xf>
    <xf numFmtId="1" fontId="9" fillId="0" borderId="105" xfId="4" applyNumberFormat="1" applyFont="1" applyFill="1" applyBorder="1" applyAlignment="1">
      <alignment horizontal="center"/>
    </xf>
    <xf numFmtId="164" fontId="23" fillId="0" borderId="107" xfId="19" applyNumberFormat="1" applyFill="1" applyBorder="1" applyAlignment="1">
      <alignment horizontal="center"/>
    </xf>
    <xf numFmtId="3" fontId="9" fillId="0" borderId="93" xfId="1" applyNumberFormat="1" applyFont="1" applyFill="1" applyBorder="1" applyAlignment="1">
      <alignment horizontal="center"/>
    </xf>
    <xf numFmtId="3" fontId="9" fillId="0" borderId="106" xfId="1" applyNumberFormat="1" applyFont="1" applyFill="1" applyBorder="1" applyAlignment="1">
      <alignment horizontal="center"/>
    </xf>
    <xf numFmtId="0" fontId="29" fillId="0" borderId="0" xfId="0" applyFont="1"/>
    <xf numFmtId="0" fontId="35" fillId="0" borderId="0" xfId="0" applyFont="1"/>
    <xf numFmtId="164" fontId="20" fillId="0" borderId="109" xfId="0" applyNumberFormat="1" applyFont="1" applyBorder="1"/>
    <xf numFmtId="164" fontId="2" fillId="0" borderId="110" xfId="4" applyNumberFormat="1" applyFont="1" applyFill="1" applyBorder="1"/>
    <xf numFmtId="164" fontId="1" fillId="0" borderId="110" xfId="4" applyNumberFormat="1" applyFont="1" applyFill="1" applyBorder="1"/>
    <xf numFmtId="9" fontId="7" fillId="0" borderId="109" xfId="2" applyFont="1" applyFill="1" applyBorder="1" applyAlignment="1">
      <alignment horizontal="right"/>
    </xf>
    <xf numFmtId="0" fontId="2" fillId="6" borderId="100" xfId="0" applyFont="1" applyFill="1" applyBorder="1" applyAlignment="1">
      <alignment horizontal="centerContinuous" vertical="center"/>
    </xf>
    <xf numFmtId="0" fontId="2" fillId="6" borderId="76" xfId="0" applyFont="1" applyFill="1" applyBorder="1" applyAlignment="1">
      <alignment horizontal="centerContinuous" vertical="center"/>
    </xf>
    <xf numFmtId="0" fontId="2" fillId="6" borderId="108" xfId="0" applyFont="1" applyFill="1" applyBorder="1" applyAlignment="1">
      <alignment horizontal="centerContinuous" vertical="center"/>
    </xf>
    <xf numFmtId="0" fontId="2" fillId="6" borderId="101" xfId="0" quotePrefix="1" applyFont="1" applyFill="1" applyBorder="1" applyAlignment="1">
      <alignment horizontal="centerContinuous" vertical="center"/>
    </xf>
    <xf numFmtId="0" fontId="0" fillId="0" borderId="81" xfId="0" applyBorder="1" applyAlignment="1">
      <alignment horizontal="left" indent="1"/>
    </xf>
    <xf numFmtId="0" fontId="0" fillId="0" borderId="75" xfId="0" applyBorder="1" applyAlignment="1">
      <alignment horizontal="center"/>
    </xf>
    <xf numFmtId="164" fontId="17" fillId="0" borderId="84" xfId="0" applyNumberFormat="1" applyFont="1" applyBorder="1"/>
    <xf numFmtId="164" fontId="17" fillId="0" borderId="109" xfId="0" applyNumberFormat="1" applyFont="1" applyBorder="1"/>
    <xf numFmtId="0" fontId="2" fillId="5" borderId="81" xfId="0" applyFont="1" applyFill="1" applyBorder="1" applyAlignment="1">
      <alignment horizontal="left" indent="1"/>
    </xf>
    <xf numFmtId="9" fontId="20" fillId="5" borderId="84" xfId="2" applyFont="1" applyFill="1" applyBorder="1" applyAlignment="1">
      <alignment horizontal="right"/>
    </xf>
    <xf numFmtId="9" fontId="20" fillId="5" borderId="1" xfId="2" applyFont="1" applyFill="1" applyBorder="1" applyAlignment="1">
      <alignment horizontal="right"/>
    </xf>
    <xf numFmtId="9" fontId="20" fillId="5" borderId="109" xfId="2" applyFont="1" applyFill="1" applyBorder="1" applyAlignment="1">
      <alignment horizontal="right"/>
    </xf>
    <xf numFmtId="9" fontId="20" fillId="5" borderId="1" xfId="2" applyFont="1" applyFill="1" applyBorder="1" applyAlignment="1">
      <alignment horizontal="right" indent="2"/>
    </xf>
    <xf numFmtId="0" fontId="2" fillId="5" borderId="75" xfId="0" applyFont="1" applyFill="1" applyBorder="1" applyAlignment="1">
      <alignment horizontal="center"/>
    </xf>
    <xf numFmtId="0" fontId="2" fillId="4" borderId="75" xfId="0" applyFont="1" applyFill="1" applyBorder="1" applyAlignment="1">
      <alignment horizontal="center"/>
    </xf>
    <xf numFmtId="0" fontId="2" fillId="4" borderId="81" xfId="0" applyFont="1" applyFill="1" applyBorder="1" applyAlignment="1">
      <alignment horizontal="left" indent="1"/>
    </xf>
    <xf numFmtId="164" fontId="2" fillId="4" borderId="83" xfId="4" applyNumberFormat="1" applyFont="1" applyFill="1" applyBorder="1" applyAlignment="1">
      <alignment horizontal="right"/>
    </xf>
    <xf numFmtId="43" fontId="2" fillId="4" borderId="5" xfId="1" applyFont="1" applyFill="1" applyBorder="1" applyAlignment="1">
      <alignment horizontal="right" indent="2"/>
    </xf>
    <xf numFmtId="164" fontId="2" fillId="4" borderId="110" xfId="4" applyNumberFormat="1" applyFont="1" applyFill="1" applyBorder="1" applyAlignment="1">
      <alignment horizontal="right"/>
    </xf>
    <xf numFmtId="164" fontId="2" fillId="4" borderId="5" xfId="4" applyNumberFormat="1" applyFont="1" applyFill="1" applyBorder="1" applyAlignment="1">
      <alignment horizontal="right"/>
    </xf>
    <xf numFmtId="164" fontId="17" fillId="0" borderId="111" xfId="0" applyNumberFormat="1" applyFont="1" applyBorder="1"/>
    <xf numFmtId="164" fontId="17" fillId="0" borderId="62" xfId="0" applyNumberFormat="1" applyFont="1" applyBorder="1"/>
    <xf numFmtId="164" fontId="17" fillId="0" borderId="112" xfId="0" applyNumberFormat="1" applyFont="1" applyBorder="1"/>
    <xf numFmtId="0" fontId="3" fillId="10" borderId="0" xfId="0" applyFont="1" applyFill="1" applyAlignment="1">
      <alignment vertical="center"/>
    </xf>
    <xf numFmtId="164" fontId="0" fillId="0" borderId="24" xfId="1" applyNumberFormat="1" applyFont="1" applyBorder="1" applyAlignment="1">
      <alignment horizontal="center"/>
    </xf>
    <xf numFmtId="164" fontId="0" fillId="0" borderId="116" xfId="1" applyNumberFormat="1" applyFont="1" applyBorder="1" applyAlignment="1">
      <alignment horizontal="center"/>
    </xf>
    <xf numFmtId="0" fontId="20" fillId="13" borderId="28" xfId="0" applyFont="1" applyFill="1" applyBorder="1" applyAlignment="1">
      <alignment horizontal="center" vertical="center"/>
    </xf>
    <xf numFmtId="0" fontId="20" fillId="13" borderId="30" xfId="0" applyFont="1" applyFill="1" applyBorder="1" applyAlignment="1">
      <alignment horizontal="centerContinuous" vertical="center"/>
    </xf>
    <xf numFmtId="0" fontId="20" fillId="13" borderId="27" xfId="0" applyFont="1" applyFill="1" applyBorder="1" applyAlignment="1">
      <alignment horizontal="centerContinuous" vertical="center"/>
    </xf>
    <xf numFmtId="0" fontId="20" fillId="13" borderId="29" xfId="0" applyFont="1" applyFill="1" applyBorder="1" applyAlignment="1">
      <alignment horizontal="centerContinuous" vertical="center"/>
    </xf>
    <xf numFmtId="164" fontId="2" fillId="4" borderId="115" xfId="1" applyNumberFormat="1" applyFont="1" applyFill="1" applyBorder="1"/>
    <xf numFmtId="164" fontId="2" fillId="4" borderId="117" xfId="1" applyNumberFormat="1" applyFont="1" applyFill="1" applyBorder="1"/>
    <xf numFmtId="0" fontId="2" fillId="12" borderId="0" xfId="0" applyFont="1" applyFill="1" applyAlignment="1">
      <alignment horizontal="centerContinuous"/>
    </xf>
    <xf numFmtId="0" fontId="0" fillId="12" borderId="0" xfId="0" applyFill="1" applyAlignment="1">
      <alignment horizontal="centerContinuous"/>
    </xf>
    <xf numFmtId="164" fontId="0" fillId="0" borderId="47" xfId="1" applyNumberFormat="1" applyFont="1" applyBorder="1" applyAlignment="1">
      <alignment horizontal="center"/>
    </xf>
    <xf numFmtId="164" fontId="0" fillId="0" borderId="118" xfId="1" applyNumberFormat="1" applyFont="1" applyBorder="1" applyAlignment="1">
      <alignment horizont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 wrapText="1"/>
    </xf>
    <xf numFmtId="0" fontId="0" fillId="0" borderId="0" xfId="0" applyAlignment="1">
      <alignment horizontal="centerContinuous" vertical="center"/>
    </xf>
    <xf numFmtId="0" fontId="0" fillId="0" borderId="0" xfId="0" applyAlignment="1">
      <alignment horizontal="centerContinuous"/>
    </xf>
    <xf numFmtId="0" fontId="2" fillId="4" borderId="85" xfId="0" applyFont="1" applyFill="1" applyBorder="1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0" fillId="3" borderId="85" xfId="0" applyFill="1" applyBorder="1"/>
    <xf numFmtId="0" fontId="2" fillId="4" borderId="119" xfId="0" applyFont="1" applyFill="1" applyBorder="1" applyAlignment="1">
      <alignment horizontal="center"/>
    </xf>
    <xf numFmtId="0" fontId="2" fillId="0" borderId="119" xfId="0" applyFont="1" applyBorder="1" applyAlignment="1">
      <alignment horizontal="center"/>
    </xf>
    <xf numFmtId="0" fontId="0" fillId="0" borderId="119" xfId="0" applyBorder="1" applyAlignment="1">
      <alignment horizontal="center"/>
    </xf>
    <xf numFmtId="0" fontId="0" fillId="3" borderId="119" xfId="0" applyFill="1" applyBorder="1" applyAlignment="1">
      <alignment horizontal="center"/>
    </xf>
    <xf numFmtId="0" fontId="23" fillId="0" borderId="0" xfId="19" quotePrefix="1" applyAlignment="1">
      <alignment horizontal="center"/>
    </xf>
    <xf numFmtId="0" fontId="2" fillId="4" borderId="1" xfId="0" applyFont="1" applyFill="1" applyBorder="1" applyAlignment="1">
      <alignment horizontal="centerContinuous"/>
    </xf>
    <xf numFmtId="0" fontId="0" fillId="0" borderId="120" xfId="0" applyBorder="1"/>
    <xf numFmtId="0" fontId="2" fillId="5" borderId="1" xfId="0" applyFont="1" applyFill="1" applyBorder="1" applyAlignment="1">
      <alignment horizontal="center"/>
    </xf>
    <xf numFmtId="0" fontId="0" fillId="0" borderId="120" xfId="0" applyBorder="1" applyAlignment="1">
      <alignment horizontal="center"/>
    </xf>
    <xf numFmtId="0" fontId="23" fillId="0" borderId="120" xfId="19" quotePrefix="1" applyBorder="1" applyAlignment="1">
      <alignment horizontal="center"/>
    </xf>
    <xf numFmtId="9" fontId="2" fillId="0" borderId="119" xfId="2" applyFont="1" applyBorder="1" applyAlignment="1">
      <alignment horizontal="center"/>
    </xf>
    <xf numFmtId="9" fontId="2" fillId="3" borderId="119" xfId="2" applyFont="1" applyFill="1" applyBorder="1" applyAlignment="1">
      <alignment horizontal="center"/>
    </xf>
    <xf numFmtId="164" fontId="0" fillId="3" borderId="85" xfId="1" applyNumberFormat="1" applyFont="1" applyFill="1" applyBorder="1"/>
    <xf numFmtId="164" fontId="0" fillId="0" borderId="85" xfId="1" applyNumberFormat="1" applyFont="1" applyFill="1" applyBorder="1" applyAlignment="1">
      <alignment horizontal="center"/>
    </xf>
    <xf numFmtId="164" fontId="0" fillId="0" borderId="85" xfId="1" applyNumberFormat="1" applyFont="1" applyFill="1" applyBorder="1"/>
    <xf numFmtId="0" fontId="2" fillId="0" borderId="72" xfId="0" applyFont="1" applyBorder="1" applyAlignment="1">
      <alignment horizontal="center"/>
    </xf>
    <xf numFmtId="0" fontId="0" fillId="0" borderId="0" xfId="0" applyAlignment="1">
      <alignment horizontal="left" indent="3"/>
    </xf>
    <xf numFmtId="164" fontId="5" fillId="0" borderId="148" xfId="4" applyNumberFormat="1" applyFont="1" applyFill="1" applyBorder="1"/>
    <xf numFmtId="0" fontId="2" fillId="4" borderId="45" xfId="0" applyFont="1" applyFill="1" applyBorder="1" applyAlignment="1">
      <alignment horizontal="center"/>
    </xf>
    <xf numFmtId="0" fontId="2" fillId="4" borderId="69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left" indent="1"/>
    </xf>
    <xf numFmtId="164" fontId="6" fillId="4" borderId="15" xfId="4" applyNumberFormat="1" applyFont="1" applyFill="1" applyBorder="1" applyAlignment="1">
      <alignment horizontal="right"/>
    </xf>
    <xf numFmtId="164" fontId="6" fillId="4" borderId="3" xfId="4" applyNumberFormat="1" applyFont="1" applyFill="1" applyBorder="1" applyAlignment="1">
      <alignment horizontal="right"/>
    </xf>
    <xf numFmtId="164" fontId="6" fillId="4" borderId="1" xfId="4" applyNumberFormat="1" applyFont="1" applyFill="1" applyBorder="1" applyAlignment="1">
      <alignment horizontal="right"/>
    </xf>
    <xf numFmtId="0" fontId="6" fillId="12" borderId="37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left"/>
    </xf>
    <xf numFmtId="164" fontId="6" fillId="12" borderId="4" xfId="4" applyNumberFormat="1" applyFont="1" applyFill="1" applyBorder="1"/>
    <xf numFmtId="164" fontId="6" fillId="12" borderId="2" xfId="4" applyNumberFormat="1" applyFont="1" applyFill="1" applyBorder="1"/>
    <xf numFmtId="0" fontId="2" fillId="5" borderId="37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164" fontId="6" fillId="5" borderId="4" xfId="4" applyNumberFormat="1" applyFont="1" applyFill="1" applyBorder="1"/>
    <xf numFmtId="164" fontId="6" fillId="5" borderId="2" xfId="4" applyNumberFormat="1" applyFont="1" applyFill="1" applyBorder="1"/>
    <xf numFmtId="0" fontId="0" fillId="0" borderId="86" xfId="0" applyBorder="1" applyAlignment="1">
      <alignment horizontal="center"/>
    </xf>
    <xf numFmtId="0" fontId="0" fillId="0" borderId="89" xfId="0" applyBorder="1" applyAlignment="1">
      <alignment horizontal="center"/>
    </xf>
    <xf numFmtId="0" fontId="2" fillId="4" borderId="149" xfId="0" applyFont="1" applyFill="1" applyBorder="1"/>
    <xf numFmtId="0" fontId="0" fillId="0" borderId="150" xfId="0" applyBorder="1" applyAlignment="1">
      <alignment horizontal="left"/>
    </xf>
    <xf numFmtId="0" fontId="2" fillId="4" borderId="152" xfId="0" applyFont="1" applyFill="1" applyBorder="1"/>
    <xf numFmtId="1" fontId="0" fillId="0" borderId="150" xfId="1" applyNumberFormat="1" applyFont="1" applyBorder="1" applyAlignment="1">
      <alignment horizontal="center"/>
    </xf>
    <xf numFmtId="1" fontId="0" fillId="0" borderId="151" xfId="1" applyNumberFormat="1" applyFont="1" applyBorder="1" applyAlignment="1">
      <alignment horizontal="center"/>
    </xf>
    <xf numFmtId="1" fontId="2" fillId="4" borderId="152" xfId="1" applyNumberFormat="1" applyFont="1" applyFill="1" applyBorder="1" applyAlignment="1">
      <alignment horizontal="center"/>
    </xf>
    <xf numFmtId="164" fontId="0" fillId="0" borderId="153" xfId="1" applyNumberFormat="1" applyFont="1" applyBorder="1" applyAlignment="1">
      <alignment horizontal="center"/>
    </xf>
    <xf numFmtId="164" fontId="0" fillId="0" borderId="154" xfId="1" applyNumberFormat="1" applyFont="1" applyBorder="1" applyAlignment="1">
      <alignment horizontal="center"/>
    </xf>
    <xf numFmtId="164" fontId="2" fillId="4" borderId="155" xfId="1" applyNumberFormat="1" applyFont="1" applyFill="1" applyBorder="1"/>
    <xf numFmtId="0" fontId="2" fillId="6" borderId="8" xfId="0" applyFont="1" applyFill="1" applyBorder="1" applyAlignment="1">
      <alignment horizontal="center"/>
    </xf>
    <xf numFmtId="0" fontId="2" fillId="6" borderId="156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Continuous"/>
    </xf>
    <xf numFmtId="0" fontId="2" fillId="6" borderId="157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5" borderId="85" xfId="0" applyFont="1" applyFill="1" applyBorder="1" applyAlignment="1">
      <alignment horizontal="center"/>
    </xf>
    <xf numFmtId="0" fontId="2" fillId="5" borderId="158" xfId="0" applyFont="1" applyFill="1" applyBorder="1" applyAlignment="1">
      <alignment horizontal="center"/>
    </xf>
    <xf numFmtId="0" fontId="2" fillId="5" borderId="159" xfId="0" applyFont="1" applyFill="1" applyBorder="1" applyAlignment="1">
      <alignment horizontal="center"/>
    </xf>
    <xf numFmtId="164" fontId="1" fillId="0" borderId="44" xfId="4" applyNumberFormat="1" applyFont="1" applyFill="1" applyBorder="1"/>
    <xf numFmtId="0" fontId="99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31" fillId="0" borderId="85" xfId="2028" applyNumberFormat="1" applyFont="1" applyFill="1" applyBorder="1"/>
    <xf numFmtId="164" fontId="31" fillId="0" borderId="85" xfId="2031" applyNumberFormat="1" applyFont="1" applyFill="1" applyBorder="1"/>
    <xf numFmtId="164" fontId="30" fillId="0" borderId="85" xfId="2031" applyNumberFormat="1" applyFont="1" applyFill="1" applyBorder="1"/>
    <xf numFmtId="0" fontId="2" fillId="6" borderId="82" xfId="0" applyFont="1" applyFill="1" applyBorder="1" applyAlignment="1">
      <alignment horizontal="center" vertical="center"/>
    </xf>
    <xf numFmtId="164" fontId="5" fillId="0" borderId="160" xfId="4" applyNumberFormat="1" applyFont="1" applyFill="1" applyBorder="1"/>
    <xf numFmtId="164" fontId="6" fillId="4" borderId="84" xfId="4" applyNumberFormat="1" applyFont="1" applyFill="1" applyBorder="1" applyAlignment="1">
      <alignment horizontal="right"/>
    </xf>
    <xf numFmtId="164" fontId="5" fillId="0" borderId="161" xfId="4" applyNumberFormat="1" applyFont="1" applyFill="1" applyBorder="1"/>
    <xf numFmtId="164" fontId="6" fillId="5" borderId="84" xfId="4" applyNumberFormat="1" applyFont="1" applyFill="1" applyBorder="1" applyAlignment="1">
      <alignment horizontal="right"/>
    </xf>
    <xf numFmtId="164" fontId="9" fillId="0" borderId="111" xfId="4" applyNumberFormat="1" applyFont="1" applyFill="1" applyBorder="1" applyAlignment="1">
      <alignment horizontal="right"/>
    </xf>
    <xf numFmtId="164" fontId="6" fillId="0" borderId="111" xfId="4" applyNumberFormat="1" applyFont="1" applyFill="1" applyBorder="1" applyAlignment="1">
      <alignment horizontal="right"/>
    </xf>
    <xf numFmtId="164" fontId="9" fillId="0" borderId="84" xfId="4" applyNumberFormat="1" applyFont="1" applyFill="1" applyBorder="1" applyAlignment="1">
      <alignment horizontal="right"/>
    </xf>
    <xf numFmtId="164" fontId="9" fillId="0" borderId="111" xfId="1" applyNumberFormat="1" applyFont="1" applyFill="1" applyBorder="1" applyAlignment="1">
      <alignment horizontal="right"/>
    </xf>
    <xf numFmtId="164" fontId="5" fillId="0" borderId="111" xfId="4" applyNumberFormat="1" applyFont="1" applyFill="1" applyBorder="1"/>
    <xf numFmtId="164" fontId="6" fillId="12" borderId="83" xfId="4" applyNumberFormat="1" applyFont="1" applyFill="1" applyBorder="1"/>
    <xf numFmtId="164" fontId="2" fillId="3" borderId="84" xfId="1" applyNumberFormat="1" applyFont="1" applyFill="1" applyBorder="1" applyAlignment="1">
      <alignment horizontal="left" indent="2"/>
    </xf>
    <xf numFmtId="0" fontId="2" fillId="91" borderId="100" xfId="0" applyFont="1" applyFill="1" applyBorder="1" applyAlignment="1">
      <alignment horizontal="centerContinuous" vertical="center"/>
    </xf>
    <xf numFmtId="0" fontId="2" fillId="91" borderId="76" xfId="0" applyFont="1" applyFill="1" applyBorder="1" applyAlignment="1">
      <alignment horizontal="centerContinuous" vertical="center"/>
    </xf>
    <xf numFmtId="0" fontId="2" fillId="91" borderId="130" xfId="0" applyFont="1" applyFill="1" applyBorder="1" applyAlignment="1">
      <alignment horizontal="centerContinuous" vertical="center"/>
    </xf>
    <xf numFmtId="9" fontId="20" fillId="5" borderId="164" xfId="2" applyFont="1" applyFill="1" applyBorder="1" applyAlignment="1">
      <alignment horizontal="right"/>
    </xf>
    <xf numFmtId="164" fontId="17" fillId="0" borderId="164" xfId="0" applyNumberFormat="1" applyFont="1" applyBorder="1"/>
    <xf numFmtId="164" fontId="20" fillId="0" borderId="164" xfId="0" applyNumberFormat="1" applyFont="1" applyBorder="1"/>
    <xf numFmtId="164" fontId="2" fillId="4" borderId="165" xfId="4" applyNumberFormat="1" applyFont="1" applyFill="1" applyBorder="1" applyAlignment="1">
      <alignment horizontal="right"/>
    </xf>
    <xf numFmtId="164" fontId="17" fillId="0" borderId="166" xfId="0" applyNumberFormat="1" applyFont="1" applyBorder="1"/>
    <xf numFmtId="164" fontId="2" fillId="0" borderId="164" xfId="4" applyNumberFormat="1" applyFont="1" applyFill="1" applyBorder="1"/>
    <xf numFmtId="9" fontId="7" fillId="0" borderId="164" xfId="2" applyFont="1" applyFill="1" applyBorder="1" applyAlignment="1">
      <alignment horizontal="right"/>
    </xf>
    <xf numFmtId="0" fontId="2" fillId="91" borderId="82" xfId="0" applyFont="1" applyFill="1" applyBorder="1" applyAlignment="1">
      <alignment horizontal="center" vertical="center"/>
    </xf>
    <xf numFmtId="164" fontId="6" fillId="5" borderId="161" xfId="4" applyNumberFormat="1" applyFont="1" applyFill="1" applyBorder="1"/>
    <xf numFmtId="164" fontId="6" fillId="12" borderId="161" xfId="4" applyNumberFormat="1" applyFont="1" applyFill="1" applyBorder="1"/>
    <xf numFmtId="164" fontId="6" fillId="0" borderId="161" xfId="4" applyNumberFormat="1" applyFont="1" applyFill="1" applyBorder="1"/>
    <xf numFmtId="164" fontId="9" fillId="0" borderId="161" xfId="4" applyNumberFormat="1" applyFont="1" applyFill="1" applyBorder="1"/>
    <xf numFmtId="164" fontId="1" fillId="0" borderId="162" xfId="1" applyNumberFormat="1" applyFont="1" applyFill="1" applyBorder="1"/>
    <xf numFmtId="164" fontId="2" fillId="0" borderId="84" xfId="1" applyNumberFormat="1" applyFont="1" applyFill="1" applyBorder="1"/>
    <xf numFmtId="164" fontId="5" fillId="0" borderId="84" xfId="1" applyNumberFormat="1" applyFont="1" applyFill="1" applyBorder="1"/>
    <xf numFmtId="9" fontId="14" fillId="0" borderId="84" xfId="2" applyFont="1" applyFill="1" applyBorder="1" applyAlignment="1">
      <alignment horizontal="right"/>
    </xf>
    <xf numFmtId="164" fontId="14" fillId="0" borderId="84" xfId="1" applyNumberFormat="1" applyFont="1" applyBorder="1"/>
    <xf numFmtId="9" fontId="14" fillId="0" borderId="84" xfId="2" applyFont="1" applyBorder="1"/>
    <xf numFmtId="9" fontId="14" fillId="0" borderId="163" xfId="2" applyFont="1" applyFill="1" applyBorder="1" applyAlignment="1">
      <alignment horizontal="right"/>
    </xf>
    <xf numFmtId="164" fontId="5" fillId="0" borderId="168" xfId="4" applyNumberFormat="1" applyFont="1" applyFill="1" applyBorder="1"/>
    <xf numFmtId="164" fontId="6" fillId="5" borderId="168" xfId="4" applyNumberFormat="1" applyFont="1" applyFill="1" applyBorder="1"/>
    <xf numFmtId="164" fontId="6" fillId="12" borderId="168" xfId="4" applyNumberFormat="1" applyFont="1" applyFill="1" applyBorder="1"/>
    <xf numFmtId="164" fontId="2" fillId="0" borderId="81" xfId="4" applyNumberFormat="1" applyFont="1" applyFill="1" applyBorder="1"/>
    <xf numFmtId="164" fontId="1" fillId="0" borderId="169" xfId="4" applyNumberFormat="1" applyFont="1" applyFill="1" applyBorder="1"/>
    <xf numFmtId="164" fontId="1" fillId="0" borderId="170" xfId="4" applyNumberFormat="1" applyFont="1" applyFill="1" applyBorder="1"/>
    <xf numFmtId="164" fontId="2" fillId="0" borderId="80" xfId="6" applyNumberFormat="1" applyFont="1" applyFill="1" applyBorder="1"/>
    <xf numFmtId="164" fontId="1" fillId="0" borderId="80" xfId="4" applyNumberFormat="1" applyFont="1" applyFill="1" applyBorder="1"/>
    <xf numFmtId="164" fontId="5" fillId="0" borderId="80" xfId="4" applyNumberFormat="1" applyFont="1" applyFill="1" applyBorder="1"/>
    <xf numFmtId="164" fontId="2" fillId="3" borderId="80" xfId="0" applyNumberFormat="1" applyFont="1" applyFill="1" applyBorder="1" applyAlignment="1">
      <alignment horizontal="left" indent="2"/>
    </xf>
    <xf numFmtId="9" fontId="14" fillId="0" borderId="80" xfId="2" applyFont="1" applyFill="1" applyBorder="1" applyAlignment="1">
      <alignment horizontal="right"/>
    </xf>
    <xf numFmtId="9" fontId="14" fillId="0" borderId="80" xfId="2" applyFont="1" applyBorder="1"/>
    <xf numFmtId="164" fontId="9" fillId="0" borderId="80" xfId="4" applyNumberFormat="1" applyFont="1" applyFill="1" applyBorder="1"/>
    <xf numFmtId="9" fontId="14" fillId="0" borderId="172" xfId="2" applyFont="1" applyFill="1" applyBorder="1" applyAlignment="1">
      <alignment horizontal="right"/>
    </xf>
    <xf numFmtId="0" fontId="2" fillId="90" borderId="167" xfId="0" applyFont="1" applyFill="1" applyBorder="1" applyAlignment="1">
      <alignment horizontal="center" vertical="center"/>
    </xf>
    <xf numFmtId="0" fontId="2" fillId="90" borderId="82" xfId="0" applyFont="1" applyFill="1" applyBorder="1" applyAlignment="1">
      <alignment horizontal="center" vertical="center"/>
    </xf>
    <xf numFmtId="164" fontId="1" fillId="0" borderId="162" xfId="4" applyNumberFormat="1" applyFont="1" applyFill="1" applyBorder="1"/>
    <xf numFmtId="164" fontId="1" fillId="0" borderId="173" xfId="4" applyNumberFormat="1" applyFont="1" applyFill="1" applyBorder="1"/>
    <xf numFmtId="164" fontId="0" fillId="0" borderId="95" xfId="1" applyNumberFormat="1" applyFont="1" applyBorder="1"/>
    <xf numFmtId="0" fontId="2" fillId="90" borderId="25" xfId="0" applyFont="1" applyFill="1" applyBorder="1" applyAlignment="1">
      <alignment horizontal="center" vertical="center"/>
    </xf>
    <xf numFmtId="164" fontId="0" fillId="0" borderId="0" xfId="1" applyNumberFormat="1" applyFont="1" applyBorder="1"/>
    <xf numFmtId="164" fontId="9" fillId="0" borderId="80" xfId="4" applyNumberFormat="1" applyFont="1" applyFill="1" applyBorder="1" applyAlignment="1">
      <alignment horizontal="right"/>
    </xf>
    <xf numFmtId="0" fontId="2" fillId="90" borderId="34" xfId="0" applyFont="1" applyFill="1" applyBorder="1" applyAlignment="1">
      <alignment horizontal="center" vertical="center"/>
    </xf>
    <xf numFmtId="0" fontId="2" fillId="90" borderId="35" xfId="0" applyFont="1" applyFill="1" applyBorder="1" applyAlignment="1">
      <alignment horizontal="center" vertical="center"/>
    </xf>
    <xf numFmtId="0" fontId="2" fillId="90" borderId="78" xfId="0" applyFont="1" applyFill="1" applyBorder="1" applyAlignment="1">
      <alignment horizontal="center" vertical="center"/>
    </xf>
    <xf numFmtId="0" fontId="2" fillId="6" borderId="167" xfId="0" applyFont="1" applyFill="1" applyBorder="1" applyAlignment="1">
      <alignment horizontal="center" vertical="center"/>
    </xf>
    <xf numFmtId="164" fontId="5" fillId="0" borderId="174" xfId="4" applyNumberFormat="1" applyFont="1" applyFill="1" applyBorder="1"/>
    <xf numFmtId="164" fontId="6" fillId="4" borderId="80" xfId="4" applyNumberFormat="1" applyFont="1" applyFill="1" applyBorder="1" applyAlignment="1">
      <alignment horizontal="right"/>
    </xf>
    <xf numFmtId="164" fontId="6" fillId="5" borderId="80" xfId="4" applyNumberFormat="1" applyFont="1" applyFill="1" applyBorder="1" applyAlignment="1">
      <alignment horizontal="right"/>
    </xf>
    <xf numFmtId="164" fontId="9" fillId="0" borderId="175" xfId="4" applyNumberFormat="1" applyFont="1" applyFill="1" applyBorder="1" applyAlignment="1">
      <alignment horizontal="right"/>
    </xf>
    <xf numFmtId="164" fontId="6" fillId="0" borderId="175" xfId="4" applyNumberFormat="1" applyFont="1" applyFill="1" applyBorder="1" applyAlignment="1">
      <alignment horizontal="right"/>
    </xf>
    <xf numFmtId="164" fontId="9" fillId="0" borderId="175" xfId="1" applyNumberFormat="1" applyFont="1" applyFill="1" applyBorder="1" applyAlignment="1">
      <alignment horizontal="right"/>
    </xf>
    <xf numFmtId="164" fontId="5" fillId="0" borderId="175" xfId="4" applyNumberFormat="1" applyFont="1" applyFill="1" applyBorder="1"/>
    <xf numFmtId="164" fontId="6" fillId="12" borderId="81" xfId="4" applyNumberFormat="1" applyFont="1" applyFill="1" applyBorder="1"/>
    <xf numFmtId="0" fontId="2" fillId="3" borderId="90" xfId="0" applyFont="1" applyFill="1" applyBorder="1" applyAlignment="1">
      <alignment horizontal="center" vertical="center"/>
    </xf>
    <xf numFmtId="0" fontId="2" fillId="3" borderId="82" xfId="0" applyFont="1" applyFill="1" applyBorder="1" applyAlignment="1">
      <alignment horizontal="center" vertical="center"/>
    </xf>
    <xf numFmtId="0" fontId="33" fillId="3" borderId="82" xfId="0" applyFont="1" applyFill="1" applyBorder="1" applyAlignment="1">
      <alignment horizontal="center" vertical="center"/>
    </xf>
    <xf numFmtId="0" fontId="32" fillId="3" borderId="79" xfId="0" applyFont="1" applyFill="1" applyBorder="1" applyAlignment="1">
      <alignment horizontal="center" vertical="center"/>
    </xf>
    <xf numFmtId="0" fontId="33" fillId="3" borderId="82" xfId="0" applyFont="1" applyFill="1" applyBorder="1" applyAlignment="1">
      <alignment horizontal="center" vertical="center" wrapText="1"/>
    </xf>
    <xf numFmtId="14" fontId="9" fillId="0" borderId="0" xfId="4" applyNumberFormat="1" applyFont="1" applyFill="1" applyBorder="1" applyAlignment="1">
      <alignment horizontal="center"/>
    </xf>
    <xf numFmtId="164" fontId="9" fillId="0" borderId="0" xfId="4" applyNumberFormat="1" applyFont="1" applyFill="1" applyBorder="1" applyAlignment="1">
      <alignment horizontal="center"/>
    </xf>
    <xf numFmtId="1" fontId="9" fillId="0" borderId="0" xfId="4" applyNumberFormat="1" applyFont="1" applyFill="1" applyBorder="1" applyAlignment="1">
      <alignment horizontal="center"/>
    </xf>
    <xf numFmtId="3" fontId="9" fillId="0" borderId="0" xfId="1" applyNumberFormat="1" applyFont="1" applyFill="1" applyBorder="1" applyAlignment="1">
      <alignment horizontal="center"/>
    </xf>
    <xf numFmtId="164" fontId="23" fillId="0" borderId="0" xfId="19" applyNumberForma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74" xfId="0" applyFont="1" applyBorder="1" applyAlignment="1">
      <alignment horizontal="center" vertical="center"/>
    </xf>
    <xf numFmtId="0" fontId="2" fillId="0" borderId="102" xfId="0" applyFont="1" applyBorder="1" applyAlignment="1">
      <alignment horizontal="left" vertical="center"/>
    </xf>
    <xf numFmtId="164" fontId="32" fillId="0" borderId="0" xfId="4" applyNumberFormat="1" applyFont="1" applyFill="1" applyBorder="1" applyAlignment="1">
      <alignment horizontal="center" vertical="center"/>
    </xf>
    <xf numFmtId="164" fontId="2" fillId="6" borderId="176" xfId="0" applyNumberFormat="1" applyFont="1" applyFill="1" applyBorder="1" applyAlignment="1">
      <alignment horizontal="center" vertical="center"/>
    </xf>
    <xf numFmtId="164" fontId="28" fillId="0" borderId="177" xfId="4" applyNumberFormat="1" applyFont="1" applyFill="1" applyBorder="1" applyAlignment="1">
      <alignment horizontal="center" vertical="center"/>
    </xf>
    <xf numFmtId="164" fontId="20" fillId="0" borderId="111" xfId="0" applyNumberFormat="1" applyFont="1" applyBorder="1"/>
    <xf numFmtId="164" fontId="20" fillId="0" borderId="62" xfId="0" applyNumberFormat="1" applyFont="1" applyBorder="1"/>
    <xf numFmtId="0" fontId="17" fillId="0" borderId="181" xfId="0" applyFont="1" applyBorder="1"/>
    <xf numFmtId="0" fontId="20" fillId="7" borderId="182" xfId="0" applyFont="1" applyFill="1" applyBorder="1" applyAlignment="1">
      <alignment horizontal="centerContinuous" vertical="center"/>
    </xf>
    <xf numFmtId="0" fontId="20" fillId="7" borderId="183" xfId="0" applyFont="1" applyFill="1" applyBorder="1" applyAlignment="1">
      <alignment horizontal="centerContinuous" vertical="center"/>
    </xf>
    <xf numFmtId="0" fontId="20" fillId="7" borderId="184" xfId="0" applyFont="1" applyFill="1" applyBorder="1" applyAlignment="1">
      <alignment horizontal="centerContinuous" vertical="center"/>
    </xf>
    <xf numFmtId="164" fontId="20" fillId="0" borderId="185" xfId="0" applyNumberFormat="1" applyFont="1" applyBorder="1" applyAlignment="1">
      <alignment horizontal="center"/>
    </xf>
    <xf numFmtId="164" fontId="20" fillId="0" borderId="186" xfId="0" applyNumberFormat="1" applyFont="1" applyBorder="1" applyAlignment="1">
      <alignment horizontal="center"/>
    </xf>
    <xf numFmtId="164" fontId="20" fillId="8" borderId="187" xfId="1" applyNumberFormat="1" applyFont="1" applyFill="1" applyBorder="1"/>
    <xf numFmtId="164" fontId="20" fillId="8" borderId="188" xfId="1" applyNumberFormat="1" applyFont="1" applyFill="1" applyBorder="1"/>
    <xf numFmtId="164" fontId="17" fillId="0" borderId="45" xfId="1" applyNumberFormat="1" applyFont="1" applyBorder="1"/>
    <xf numFmtId="164" fontId="17" fillId="0" borderId="189" xfId="1" applyNumberFormat="1" applyFont="1" applyBorder="1"/>
    <xf numFmtId="164" fontId="20" fillId="8" borderId="45" xfId="1" applyNumberFormat="1" applyFont="1" applyFill="1" applyBorder="1"/>
    <xf numFmtId="164" fontId="20" fillId="9" borderId="45" xfId="1" applyNumberFormat="1" applyFont="1" applyFill="1" applyBorder="1"/>
    <xf numFmtId="164" fontId="20" fillId="9" borderId="77" xfId="1" applyNumberFormat="1" applyFont="1" applyFill="1" applyBorder="1"/>
    <xf numFmtId="164" fontId="17" fillId="0" borderId="45" xfId="0" applyNumberFormat="1" applyFont="1" applyBorder="1"/>
    <xf numFmtId="164" fontId="17" fillId="0" borderId="77" xfId="0" applyNumberFormat="1" applyFont="1" applyBorder="1"/>
    <xf numFmtId="164" fontId="17" fillId="0" borderId="46" xfId="0" applyNumberFormat="1" applyFont="1" applyBorder="1"/>
    <xf numFmtId="164" fontId="17" fillId="0" borderId="11" xfId="0" applyNumberFormat="1" applyFont="1" applyBorder="1"/>
    <xf numFmtId="164" fontId="17" fillId="0" borderId="190" xfId="0" applyNumberFormat="1" applyFont="1" applyBorder="1"/>
    <xf numFmtId="0" fontId="20" fillId="92" borderId="182" xfId="0" applyFont="1" applyFill="1" applyBorder="1" applyAlignment="1">
      <alignment horizontal="centerContinuous" vertical="center"/>
    </xf>
    <xf numFmtId="0" fontId="20" fillId="92" borderId="183" xfId="0" applyFont="1" applyFill="1" applyBorder="1" applyAlignment="1">
      <alignment horizontal="centerContinuous" vertical="center"/>
    </xf>
    <xf numFmtId="0" fontId="20" fillId="92" borderId="184" xfId="0" applyFont="1" applyFill="1" applyBorder="1" applyAlignment="1">
      <alignment horizontal="centerContinuous" vertical="center"/>
    </xf>
    <xf numFmtId="164" fontId="20" fillId="8" borderId="187" xfId="0" applyNumberFormat="1" applyFont="1" applyFill="1" applyBorder="1"/>
    <xf numFmtId="164" fontId="20" fillId="8" borderId="188" xfId="0" applyNumberFormat="1" applyFont="1" applyFill="1" applyBorder="1"/>
    <xf numFmtId="164" fontId="17" fillId="0" borderId="189" xfId="0" applyNumberFormat="1" applyFont="1" applyBorder="1"/>
    <xf numFmtId="164" fontId="20" fillId="8" borderId="45" xfId="0" applyNumberFormat="1" applyFont="1" applyFill="1" applyBorder="1"/>
    <xf numFmtId="164" fontId="20" fillId="8" borderId="77" xfId="0" applyNumberFormat="1" applyFont="1" applyFill="1" applyBorder="1"/>
    <xf numFmtId="0" fontId="20" fillId="93" borderId="182" xfId="0" applyFont="1" applyFill="1" applyBorder="1" applyAlignment="1">
      <alignment horizontal="centerContinuous" vertical="center"/>
    </xf>
    <xf numFmtId="0" fontId="20" fillId="93" borderId="183" xfId="0" applyFont="1" applyFill="1" applyBorder="1" applyAlignment="1">
      <alignment horizontal="centerContinuous" vertical="center"/>
    </xf>
    <xf numFmtId="0" fontId="20" fillId="93" borderId="184" xfId="0" applyFont="1" applyFill="1" applyBorder="1" applyAlignment="1">
      <alignment horizontal="centerContinuous" vertical="center"/>
    </xf>
    <xf numFmtId="0" fontId="103" fillId="0" borderId="0" xfId="2401" applyAlignment="1">
      <alignment vertical="top"/>
    </xf>
    <xf numFmtId="0" fontId="104" fillId="0" borderId="0" xfId="2401" applyFont="1" applyAlignment="1">
      <alignment vertical="top"/>
    </xf>
    <xf numFmtId="164" fontId="1" fillId="0" borderId="0" xfId="1" applyNumberFormat="1" applyFont="1"/>
    <xf numFmtId="0" fontId="6" fillId="0" borderId="0" xfId="2408" applyFont="1" applyFill="1" applyBorder="1" applyAlignment="1" applyProtection="1">
      <protection locked="0"/>
    </xf>
    <xf numFmtId="166" fontId="6" fillId="0" borderId="0" xfId="2409" applyFont="1" applyFill="1" applyBorder="1" applyAlignment="1" applyProtection="1">
      <alignment horizontal="center" wrapText="1"/>
      <protection locked="0"/>
    </xf>
    <xf numFmtId="0" fontId="104" fillId="94" borderId="0" xfId="2401" applyFont="1" applyFill="1" applyAlignment="1">
      <alignment horizontal="center"/>
    </xf>
    <xf numFmtId="0" fontId="104" fillId="94" borderId="0" xfId="2401" applyFont="1" applyFill="1" applyAlignment="1">
      <alignment horizontal="left"/>
    </xf>
    <xf numFmtId="0" fontId="6" fillId="0" borderId="0" xfId="2408" applyFont="1" applyFill="1" applyBorder="1" applyAlignment="1" applyProtection="1">
      <alignment vertical="top" wrapText="1"/>
      <protection locked="0"/>
    </xf>
    <xf numFmtId="43" fontId="6" fillId="0" borderId="0" xfId="1" quotePrefix="1" applyFont="1" applyFill="1" applyBorder="1" applyAlignment="1" applyProtection="1">
      <alignment vertical="top"/>
      <protection locked="0"/>
    </xf>
    <xf numFmtId="0" fontId="9" fillId="0" borderId="0" xfId="2408" applyFont="1" applyFill="1" applyBorder="1" applyAlignment="1" applyProtection="1">
      <alignment vertical="top" wrapText="1"/>
      <protection locked="0"/>
    </xf>
    <xf numFmtId="43" fontId="9" fillId="0" borderId="0" xfId="1" applyFont="1" applyFill="1" applyBorder="1" applyAlignment="1" applyProtection="1">
      <alignment vertical="top"/>
      <protection locked="0"/>
    </xf>
    <xf numFmtId="0" fontId="9" fillId="0" borderId="0" xfId="2407" applyFont="1" applyAlignment="1" applyProtection="1">
      <alignment vertical="top" wrapText="1"/>
      <protection locked="0"/>
    </xf>
    <xf numFmtId="43" fontId="6" fillId="0" borderId="191" xfId="1" applyFont="1" applyFill="1" applyBorder="1" applyAlignment="1" applyProtection="1">
      <alignment vertical="top"/>
      <protection locked="0"/>
    </xf>
    <xf numFmtId="0" fontId="9" fillId="0" borderId="0" xfId="2407" applyFont="1" applyAlignment="1" applyProtection="1">
      <alignment horizontal="left" vertical="top" wrapText="1" indent="1"/>
      <protection locked="0"/>
    </xf>
    <xf numFmtId="0" fontId="6" fillId="0" borderId="0" xfId="2407" applyFont="1" applyAlignment="1" applyProtection="1">
      <alignment vertical="top" wrapText="1"/>
      <protection locked="0"/>
    </xf>
    <xf numFmtId="43" fontId="6" fillId="0" borderId="180" xfId="1" applyFont="1" applyFill="1" applyBorder="1" applyAlignment="1" applyProtection="1">
      <alignment vertical="top"/>
      <protection locked="0"/>
    </xf>
    <xf numFmtId="164" fontId="6" fillId="0" borderId="0" xfId="1" applyNumberFormat="1" applyFont="1" applyFill="1" applyBorder="1" applyAlignment="1" applyProtection="1">
      <alignment vertical="top"/>
      <protection locked="0"/>
    </xf>
    <xf numFmtId="0" fontId="9" fillId="0" borderId="0" xfId="2408" applyFont="1" applyFill="1" applyBorder="1" applyAlignment="1" applyProtection="1">
      <alignment horizontal="left" vertical="top" wrapText="1" indent="1"/>
      <protection locked="0"/>
    </xf>
    <xf numFmtId="164" fontId="9" fillId="0" borderId="0" xfId="1" applyNumberFormat="1" applyFont="1" applyFill="1" applyBorder="1" applyAlignment="1" applyProtection="1">
      <alignment vertical="top"/>
      <protection locked="0"/>
    </xf>
    <xf numFmtId="164" fontId="6" fillId="0" borderId="180" xfId="1" applyNumberFormat="1" applyFont="1" applyFill="1" applyBorder="1" applyAlignment="1" applyProtection="1">
      <alignment vertical="top"/>
      <protection locked="0"/>
    </xf>
    <xf numFmtId="0" fontId="6" fillId="0" borderId="0" xfId="2408" applyFont="1" applyFill="1" applyBorder="1" applyAlignment="1" applyProtection="1">
      <alignment vertical="top"/>
      <protection locked="0"/>
    </xf>
    <xf numFmtId="0" fontId="6" fillId="0" borderId="0" xfId="2408" applyFont="1" applyFill="1" applyBorder="1" applyAlignment="1" applyProtection="1">
      <alignment horizontal="left" vertical="top" wrapText="1"/>
      <protection locked="0"/>
    </xf>
    <xf numFmtId="0" fontId="9" fillId="0" borderId="0" xfId="2408" applyFont="1" applyFill="1" applyBorder="1" applyAlignment="1" applyProtection="1">
      <alignment horizontal="left" vertical="top" wrapText="1" indent="2"/>
      <protection locked="0"/>
    </xf>
    <xf numFmtId="166" fontId="6" fillId="0" borderId="0" xfId="2409" applyFont="1" applyFill="1" applyBorder="1" applyAlignment="1" applyProtection="1">
      <alignment vertical="top"/>
      <protection locked="0"/>
    </xf>
    <xf numFmtId="166" fontId="9" fillId="0" borderId="0" xfId="2409" applyFont="1" applyFill="1" applyBorder="1" applyAlignment="1" applyProtection="1">
      <alignment vertical="top"/>
      <protection locked="0"/>
    </xf>
    <xf numFmtId="0" fontId="6" fillId="0" borderId="0" xfId="2408" applyFont="1" applyFill="1" applyBorder="1" applyAlignment="1" applyProtection="1">
      <alignment wrapText="1"/>
      <protection locked="0"/>
    </xf>
    <xf numFmtId="166" fontId="9" fillId="0" borderId="0" xfId="2409" applyFont="1" applyFill="1" applyBorder="1" applyProtection="1">
      <protection locked="0"/>
    </xf>
    <xf numFmtId="0" fontId="101" fillId="0" borderId="0" xfId="2408" applyFont="1" applyFill="1" applyBorder="1" applyAlignment="1" applyProtection="1">
      <protection locked="0"/>
    </xf>
    <xf numFmtId="166" fontId="1" fillId="0" borderId="0" xfId="2409" applyFont="1" applyFill="1" applyBorder="1" applyProtection="1">
      <protection locked="0"/>
    </xf>
    <xf numFmtId="177" fontId="9" fillId="0" borderId="0" xfId="2410" applyNumberFormat="1" applyFont="1" applyAlignment="1">
      <alignment horizontal="left"/>
    </xf>
    <xf numFmtId="37" fontId="6" fillId="0" borderId="0" xfId="2410" applyFont="1" applyAlignment="1">
      <alignment horizontal="left"/>
    </xf>
    <xf numFmtId="177" fontId="6" fillId="0" borderId="0" xfId="2410" applyNumberFormat="1" applyFont="1" applyAlignment="1">
      <alignment horizontal="left"/>
    </xf>
    <xf numFmtId="37" fontId="6" fillId="0" borderId="0" xfId="2410" applyFont="1"/>
    <xf numFmtId="37" fontId="9" fillId="0" borderId="0" xfId="2410" applyFont="1"/>
    <xf numFmtId="0" fontId="9" fillId="0" borderId="0" xfId="2408" applyFont="1" applyFill="1" applyBorder="1" applyProtection="1">
      <protection locked="0"/>
    </xf>
    <xf numFmtId="37" fontId="9" fillId="0" borderId="0" xfId="2410" applyFont="1" applyAlignment="1">
      <alignment horizontal="left" wrapText="1"/>
    </xf>
    <xf numFmtId="43" fontId="104" fillId="94" borderId="0" xfId="1" applyFont="1" applyFill="1" applyBorder="1" applyAlignment="1">
      <alignment horizontal="center"/>
    </xf>
    <xf numFmtId="17" fontId="16" fillId="10" borderId="192" xfId="2405" applyNumberFormat="1" applyFont="1" applyFill="1" applyBorder="1" applyAlignment="1">
      <alignment horizontal="center" vertical="top"/>
    </xf>
    <xf numFmtId="17" fontId="16" fillId="10" borderId="102" xfId="2405" applyNumberFormat="1" applyFont="1" applyFill="1" applyBorder="1" applyAlignment="1">
      <alignment horizontal="center" vertical="top"/>
    </xf>
    <xf numFmtId="164" fontId="16" fillId="10" borderId="102" xfId="2404" applyNumberFormat="1" applyFont="1" applyFill="1" applyBorder="1" applyAlignment="1">
      <alignment horizontal="center" vertical="top"/>
    </xf>
    <xf numFmtId="17" fontId="16" fillId="10" borderId="193" xfId="2405" applyNumberFormat="1" applyFont="1" applyFill="1" applyBorder="1" applyAlignment="1">
      <alignment horizontal="center" vertical="top"/>
    </xf>
    <xf numFmtId="0" fontId="104" fillId="94" borderId="178" xfId="2401" applyFont="1" applyFill="1" applyBorder="1" applyAlignment="1">
      <alignment horizontal="center"/>
    </xf>
    <xf numFmtId="0" fontId="104" fillId="94" borderId="179" xfId="2401" applyFont="1" applyFill="1" applyBorder="1" applyAlignment="1">
      <alignment horizontal="center"/>
    </xf>
    <xf numFmtId="0" fontId="1" fillId="0" borderId="178" xfId="0" applyFont="1" applyBorder="1"/>
    <xf numFmtId="0" fontId="9" fillId="0" borderId="179" xfId="2408" applyFont="1" applyFill="1" applyBorder="1" applyAlignment="1" applyProtection="1">
      <alignment vertical="top" wrapText="1"/>
      <protection locked="0"/>
    </xf>
    <xf numFmtId="43" fontId="9" fillId="0" borderId="179" xfId="1" applyFont="1" applyFill="1" applyBorder="1" applyAlignment="1" applyProtection="1">
      <alignment vertical="top"/>
      <protection locked="0"/>
    </xf>
    <xf numFmtId="43" fontId="6" fillId="0" borderId="194" xfId="1" applyFont="1" applyFill="1" applyBorder="1" applyAlignment="1" applyProtection="1">
      <alignment vertical="top"/>
      <protection locked="0"/>
    </xf>
    <xf numFmtId="0" fontId="1" fillId="0" borderId="179" xfId="0" applyFont="1" applyBorder="1"/>
    <xf numFmtId="0" fontId="6" fillId="0" borderId="0" xfId="2407" applyFont="1" applyAlignment="1" applyProtection="1">
      <alignment horizontal="left" vertical="top" wrapText="1" indent="1"/>
      <protection locked="0"/>
    </xf>
    <xf numFmtId="43" fontId="6" fillId="0" borderId="195" xfId="1" applyFont="1" applyFill="1" applyBorder="1" applyAlignment="1" applyProtection="1">
      <alignment vertical="top"/>
      <protection locked="0"/>
    </xf>
    <xf numFmtId="164" fontId="9" fillId="0" borderId="179" xfId="1" applyNumberFormat="1" applyFont="1" applyFill="1" applyBorder="1" applyAlignment="1" applyProtection="1">
      <alignment vertical="top"/>
      <protection locked="0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164" fontId="9" fillId="0" borderId="179" xfId="1" applyNumberFormat="1" applyFont="1" applyFill="1" applyBorder="1" applyAlignment="1" applyProtection="1">
      <alignment vertical="top" wrapText="1"/>
      <protection locked="0"/>
    </xf>
    <xf numFmtId="164" fontId="6" fillId="0" borderId="195" xfId="1" applyNumberFormat="1" applyFont="1" applyFill="1" applyBorder="1" applyAlignment="1" applyProtection="1">
      <alignment vertical="top"/>
      <protection locked="0"/>
    </xf>
    <xf numFmtId="43" fontId="104" fillId="94" borderId="179" xfId="1" applyFont="1" applyFill="1" applyBorder="1" applyAlignment="1">
      <alignment horizontal="center"/>
    </xf>
    <xf numFmtId="0" fontId="104" fillId="94" borderId="196" xfId="2401" applyFont="1" applyFill="1" applyBorder="1" applyAlignment="1">
      <alignment horizontal="center"/>
    </xf>
    <xf numFmtId="0" fontId="104" fillId="94" borderId="131" xfId="2401" applyFont="1" applyFill="1" applyBorder="1" applyAlignment="1">
      <alignment horizontal="left"/>
    </xf>
    <xf numFmtId="43" fontId="104" fillId="94" borderId="131" xfId="1" applyFont="1" applyFill="1" applyBorder="1" applyAlignment="1">
      <alignment horizontal="center"/>
    </xf>
    <xf numFmtId="43" fontId="104" fillId="94" borderId="197" xfId="1" applyFont="1" applyFill="1" applyBorder="1" applyAlignment="1">
      <alignment horizontal="center"/>
    </xf>
    <xf numFmtId="164" fontId="32" fillId="0" borderId="0" xfId="4" applyNumberFormat="1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left"/>
    </xf>
    <xf numFmtId="0" fontId="105" fillId="0" borderId="98" xfId="0" applyFont="1" applyBorder="1" applyAlignment="1">
      <alignment horizontal="left" indent="2"/>
    </xf>
    <xf numFmtId="164" fontId="9" fillId="0" borderId="93" xfId="4" applyNumberFormat="1" applyFont="1" applyFill="1" applyBorder="1" applyAlignment="1">
      <alignment horizontal="center"/>
    </xf>
    <xf numFmtId="164" fontId="9" fillId="0" borderId="106" xfId="4" applyNumberFormat="1" applyFont="1" applyFill="1" applyBorder="1" applyAlignment="1">
      <alignment horizontal="center"/>
    </xf>
    <xf numFmtId="43" fontId="5" fillId="0" borderId="65" xfId="4" applyFont="1" applyFill="1" applyBorder="1"/>
    <xf numFmtId="43" fontId="5" fillId="0" borderId="62" xfId="4" applyFont="1" applyFill="1" applyBorder="1"/>
    <xf numFmtId="2" fontId="0" fillId="0" borderId="0" xfId="0" applyNumberFormat="1"/>
    <xf numFmtId="2" fontId="0" fillId="0" borderId="0" xfId="2" applyNumberFormat="1" applyFont="1"/>
    <xf numFmtId="2" fontId="1" fillId="0" borderId="0" xfId="0" applyNumberFormat="1" applyFont="1"/>
    <xf numFmtId="2" fontId="5" fillId="0" borderId="62" xfId="2" applyNumberFormat="1" applyFont="1" applyFill="1" applyBorder="1"/>
    <xf numFmtId="0" fontId="2" fillId="5" borderId="198" xfId="0" applyFont="1" applyFill="1" applyBorder="1" applyAlignment="1">
      <alignment horizontal="left" indent="1"/>
    </xf>
    <xf numFmtId="0" fontId="0" fillId="0" borderId="198" xfId="0" applyBorder="1" applyAlignment="1">
      <alignment horizontal="left" indent="1"/>
    </xf>
    <xf numFmtId="9" fontId="20" fillId="5" borderId="80" xfId="2" applyFont="1" applyFill="1" applyBorder="1" applyAlignment="1">
      <alignment horizontal="right" indent="2"/>
    </xf>
    <xf numFmtId="164" fontId="9" fillId="0" borderId="168" xfId="4" applyNumberFormat="1" applyFont="1" applyFill="1" applyBorder="1"/>
    <xf numFmtId="0" fontId="17" fillId="0" borderId="199" xfId="0" applyFont="1" applyBorder="1"/>
    <xf numFmtId="0" fontId="17" fillId="0" borderId="200" xfId="0" applyFont="1" applyBorder="1"/>
    <xf numFmtId="164" fontId="17" fillId="0" borderId="67" xfId="1" applyNumberFormat="1" applyFont="1" applyBorder="1"/>
    <xf numFmtId="164" fontId="17" fillId="0" borderId="62" xfId="1" applyNumberFormat="1" applyFont="1" applyBorder="1"/>
    <xf numFmtId="0" fontId="2" fillId="0" borderId="178" xfId="0" applyFont="1" applyBorder="1" applyAlignment="1">
      <alignment horizontal="center"/>
    </xf>
    <xf numFmtId="0" fontId="0" fillId="0" borderId="0" xfId="0" applyAlignment="1">
      <alignment horizontal="left" indent="2"/>
    </xf>
    <xf numFmtId="164" fontId="5" fillId="0" borderId="7" xfId="4" applyNumberFormat="1" applyFont="1" applyFill="1" applyBorder="1"/>
    <xf numFmtId="164" fontId="5" fillId="0" borderId="0" xfId="4" applyNumberFormat="1" applyFont="1" applyFill="1" applyBorder="1"/>
    <xf numFmtId="164" fontId="5" fillId="0" borderId="95" xfId="4" applyNumberFormat="1" applyFont="1" applyFill="1" applyBorder="1"/>
    <xf numFmtId="164" fontId="5" fillId="0" borderId="171" xfId="4" applyNumberFormat="1" applyFont="1" applyFill="1" applyBorder="1"/>
    <xf numFmtId="164" fontId="6" fillId="5" borderId="80" xfId="4" applyNumberFormat="1" applyFont="1" applyFill="1" applyBorder="1"/>
    <xf numFmtId="0" fontId="7" fillId="0" borderId="80" xfId="0" applyFont="1" applyBorder="1" applyAlignment="1">
      <alignment horizontal="right" indent="1"/>
    </xf>
    <xf numFmtId="164" fontId="20" fillId="5" borderId="84" xfId="1" applyNumberFormat="1" applyFont="1" applyFill="1" applyBorder="1" applyAlignment="1">
      <alignment horizontal="right"/>
    </xf>
    <xf numFmtId="164" fontId="20" fillId="5" borderId="1" xfId="1" applyNumberFormat="1" applyFont="1" applyFill="1" applyBorder="1" applyAlignment="1">
      <alignment horizontal="right"/>
    </xf>
    <xf numFmtId="164" fontId="20" fillId="5" borderId="1" xfId="1" applyNumberFormat="1" applyFont="1" applyFill="1" applyBorder="1" applyAlignment="1">
      <alignment horizontal="right" indent="2"/>
    </xf>
    <xf numFmtId="0" fontId="20" fillId="13" borderId="201" xfId="0" applyFont="1" applyFill="1" applyBorder="1" applyAlignment="1">
      <alignment horizontal="centerContinuous" vertical="center"/>
    </xf>
    <xf numFmtId="164" fontId="20" fillId="0" borderId="202" xfId="0" applyNumberFormat="1" applyFont="1" applyBorder="1" applyAlignment="1">
      <alignment horizontal="center"/>
    </xf>
    <xf numFmtId="164" fontId="20" fillId="8" borderId="203" xfId="1" applyNumberFormat="1" applyFont="1" applyFill="1" applyBorder="1"/>
    <xf numFmtId="164" fontId="17" fillId="0" borderId="204" xfId="1" applyNumberFormat="1" applyFont="1" applyBorder="1"/>
    <xf numFmtId="164" fontId="20" fillId="8" borderId="55" xfId="1" applyNumberFormat="1" applyFont="1" applyFill="1" applyBorder="1"/>
    <xf numFmtId="164" fontId="20" fillId="9" borderId="55" xfId="1" applyNumberFormat="1" applyFont="1" applyFill="1" applyBorder="1"/>
    <xf numFmtId="164" fontId="17" fillId="0" borderId="205" xfId="0" applyNumberFormat="1" applyFont="1" applyBorder="1"/>
    <xf numFmtId="43" fontId="6" fillId="0" borderId="0" xfId="1" applyFont="1" applyFill="1" applyBorder="1" applyAlignment="1" applyProtection="1">
      <alignment vertical="top" wrapText="1"/>
      <protection locked="0"/>
    </xf>
    <xf numFmtId="43" fontId="1" fillId="0" borderId="0" xfId="1" applyFont="1"/>
    <xf numFmtId="17" fontId="16" fillId="10" borderId="206" xfId="2405" applyNumberFormat="1" applyFont="1" applyFill="1" applyBorder="1" applyAlignment="1">
      <alignment horizontal="center" vertical="top"/>
    </xf>
    <xf numFmtId="43" fontId="6" fillId="0" borderId="179" xfId="1" applyFont="1" applyFill="1" applyBorder="1" applyAlignment="1" applyProtection="1">
      <alignment vertical="top" wrapText="1"/>
      <protection locked="0"/>
    </xf>
    <xf numFmtId="43" fontId="1" fillId="0" borderId="179" xfId="1" applyFont="1" applyBorder="1"/>
    <xf numFmtId="0" fontId="106" fillId="0" borderId="1" xfId="0" applyFont="1" applyBorder="1" applyAlignment="1">
      <alignment horizontal="left"/>
    </xf>
    <xf numFmtId="164" fontId="0" fillId="0" borderId="0" xfId="1" applyNumberFormat="1" applyFont="1" applyFill="1" applyBorder="1"/>
    <xf numFmtId="0" fontId="2" fillId="4" borderId="119" xfId="0" applyFont="1" applyFill="1" applyBorder="1" applyAlignment="1">
      <alignment horizontal="center" vertical="center" wrapText="1"/>
    </xf>
    <xf numFmtId="0" fontId="2" fillId="4" borderId="119" xfId="0" applyFont="1" applyFill="1" applyBorder="1" applyAlignment="1">
      <alignment horizontal="center" vertical="center"/>
    </xf>
    <xf numFmtId="0" fontId="107" fillId="0" borderId="1" xfId="0" applyFont="1" applyBorder="1" applyAlignment="1">
      <alignment horizontal="left"/>
    </xf>
    <xf numFmtId="0" fontId="108" fillId="0" borderId="85" xfId="0" applyFont="1" applyBorder="1"/>
    <xf numFmtId="0" fontId="10" fillId="10" borderId="0" xfId="0" applyFont="1" applyFill="1" applyAlignment="1">
      <alignment horizontal="center" vertical="center"/>
    </xf>
    <xf numFmtId="0" fontId="100" fillId="5" borderId="0" xfId="0" quotePrefix="1" applyFont="1" applyFill="1" applyAlignment="1">
      <alignment horizontal="left" vertical="center"/>
    </xf>
    <xf numFmtId="0" fontId="100" fillId="5" borderId="0" xfId="0" applyFont="1" applyFill="1" applyAlignment="1">
      <alignment horizontal="left" vertical="center"/>
    </xf>
    <xf numFmtId="0" fontId="9" fillId="0" borderId="0" xfId="2408" applyFont="1" applyFill="1" applyBorder="1" applyAlignment="1" applyProtection="1">
      <alignment horizontal="left" vertical="top" wrapText="1"/>
      <protection locked="0"/>
    </xf>
    <xf numFmtId="0" fontId="20" fillId="13" borderId="26" xfId="0" quotePrefix="1" applyFont="1" applyFill="1" applyBorder="1" applyAlignment="1">
      <alignment horizontal="center" vertical="center"/>
    </xf>
    <xf numFmtId="0" fontId="21" fillId="6" borderId="27" xfId="0" applyFont="1" applyFill="1" applyBorder="1"/>
  </cellXfs>
  <cellStyles count="3169">
    <cellStyle name="20% - Accent1 2" xfId="56" xr:uid="{28295CF7-247B-422F-A9D8-4FA26D3428CE}"/>
    <cellStyle name="20% - Accent1 2 10" xfId="57" xr:uid="{83AAEFE3-9EB0-4DC9-A7CF-9415DA48D769}"/>
    <cellStyle name="20% - Accent1 2 11" xfId="58" xr:uid="{C7A9CAE1-DBAE-4E0E-A24C-A72297991486}"/>
    <cellStyle name="20% - Accent1 2 12" xfId="59" xr:uid="{96FA4896-07D7-4D52-B2EE-0B461092EF18}"/>
    <cellStyle name="20% - Accent1 2 13" xfId="60" xr:uid="{CDB66F3F-D3D0-45E9-934A-121AF5CC2E34}"/>
    <cellStyle name="20% - Accent1 2 14" xfId="61" xr:uid="{FA141079-4A20-4D11-B95E-D7774AFE85A2}"/>
    <cellStyle name="20% - Accent1 2 15" xfId="62" xr:uid="{77F8287A-6272-413D-A1BB-159528DC3ACD}"/>
    <cellStyle name="20% - Accent1 2 2" xfId="63" xr:uid="{1D9D5B8A-DDA4-4068-8099-6684636D0765}"/>
    <cellStyle name="20% - Accent1 2 2 2" xfId="64" xr:uid="{52E129E7-49E0-4EA6-A807-D81FFE216AAF}"/>
    <cellStyle name="20% - Accent1 2 3" xfId="65" xr:uid="{02FA2C8D-A355-4EB9-8D52-7B7DE4758AA7}"/>
    <cellStyle name="20% - Accent1 2 4" xfId="66" xr:uid="{AE0978A9-8DA6-4617-9AE7-64A142F6FB15}"/>
    <cellStyle name="20% - Accent1 2 5" xfId="67" xr:uid="{5188C6F5-FF28-4450-B09C-9A0183996955}"/>
    <cellStyle name="20% - Accent1 2 6" xfId="68" xr:uid="{0487E624-CF1B-453E-8138-81941BBBADFB}"/>
    <cellStyle name="20% - Accent1 2 7" xfId="69" xr:uid="{0CE3E8B7-D704-44F9-A0C8-A0EC949AC73C}"/>
    <cellStyle name="20% - Accent1 2 8" xfId="70" xr:uid="{26645AEE-3C7A-4D32-AD9C-49C83F31478A}"/>
    <cellStyle name="20% - Accent1 2 9" xfId="71" xr:uid="{4ECFCC51-EC10-4711-8636-A7C1C9886392}"/>
    <cellStyle name="20% - Accent1 3" xfId="72" xr:uid="{782889FB-6205-4073-8973-4D047CC626D5}"/>
    <cellStyle name="20% - Accent1 3 2" xfId="73" xr:uid="{6F49372D-AF9A-4BDD-8BFF-488262752F80}"/>
    <cellStyle name="20% - Accent1 3 2 2" xfId="74" xr:uid="{B17BA744-2A10-4004-9BDC-7101DDD0FA93}"/>
    <cellStyle name="20% - Accent1 4" xfId="75" xr:uid="{05611337-4712-4CC8-BB4C-34AE7A5D8417}"/>
    <cellStyle name="20% - Accent1 5" xfId="55" xr:uid="{049569F9-D2A2-4B8F-90BC-7016CA7CE734}"/>
    <cellStyle name="20% - Accent2 2" xfId="77" xr:uid="{46035D90-DA32-4992-B01A-D5BCC668C345}"/>
    <cellStyle name="20% - Accent2 2 10" xfId="78" xr:uid="{201544B9-4F7F-4115-AD55-D4B77026D25D}"/>
    <cellStyle name="20% - Accent2 2 11" xfId="79" xr:uid="{2E5836FC-8B5B-41BC-9607-6E8E226D71FE}"/>
    <cellStyle name="20% - Accent2 2 12" xfId="80" xr:uid="{74191D46-7CDE-4889-9166-EDD2052276C1}"/>
    <cellStyle name="20% - Accent2 2 13" xfId="81" xr:uid="{1A15EA8E-F4FF-470A-BDC6-A6AE619A696E}"/>
    <cellStyle name="20% - Accent2 2 14" xfId="82" xr:uid="{EAE4B1CD-C78B-4F42-8EB4-9CDDA438A344}"/>
    <cellStyle name="20% - Accent2 2 15" xfId="83" xr:uid="{C056C826-5C28-4DFE-B9BF-C622CB1DFC79}"/>
    <cellStyle name="20% - Accent2 2 2" xfId="84" xr:uid="{94BC4161-9762-456E-909D-EA85C32A4F50}"/>
    <cellStyle name="20% - Accent2 2 2 2" xfId="85" xr:uid="{89BB6CF6-13DC-4E62-A5DC-6BF9644E9C5D}"/>
    <cellStyle name="20% - Accent2 2 3" xfId="86" xr:uid="{833AE370-4715-4256-BB88-0A8A1BA3FDC3}"/>
    <cellStyle name="20% - Accent2 2 4" xfId="87" xr:uid="{A5EF3B68-9966-401E-A5EF-4ECC408DFDCF}"/>
    <cellStyle name="20% - Accent2 2 5" xfId="88" xr:uid="{2EBB0DA9-7853-4988-B88A-BA293D031F46}"/>
    <cellStyle name="20% - Accent2 2 6" xfId="89" xr:uid="{79C075FD-8AD6-4788-921A-71C6498B1B7D}"/>
    <cellStyle name="20% - Accent2 2 7" xfId="90" xr:uid="{1763B4DE-C860-4107-9B9C-905103F67F92}"/>
    <cellStyle name="20% - Accent2 2 8" xfId="91" xr:uid="{A7EF4E84-360B-4242-BD3E-BC2BE8F0C8BB}"/>
    <cellStyle name="20% - Accent2 2 9" xfId="92" xr:uid="{F5F57993-6271-4DCD-A145-476F27E99C6E}"/>
    <cellStyle name="20% - Accent2 3" xfId="93" xr:uid="{3FF521BD-E517-46D1-A1BF-17CA0363778D}"/>
    <cellStyle name="20% - Accent2 3 2" xfId="94" xr:uid="{F54C89C9-751D-4296-A096-B411764F63EC}"/>
    <cellStyle name="20% - Accent2 3 2 2" xfId="95" xr:uid="{CCAE9708-AF4A-4F57-94B0-F52FF4E2962D}"/>
    <cellStyle name="20% - Accent2 4" xfId="96" xr:uid="{0A6B7577-8C4E-474A-8448-7B2C106B7AFE}"/>
    <cellStyle name="20% - Accent2 5" xfId="76" xr:uid="{414B414C-64EC-4DF4-B4E7-203AD84BBF52}"/>
    <cellStyle name="20% - Accent3 2" xfId="98" xr:uid="{53845AB5-6544-4C9B-9BF7-3A815A594AE4}"/>
    <cellStyle name="20% - Accent3 2 10" xfId="99" xr:uid="{FC22FFBC-B0E1-4BF5-A3AA-C11774152632}"/>
    <cellStyle name="20% - Accent3 2 11" xfId="100" xr:uid="{3CB684ED-ED76-44B4-AD09-5EA9DA85B08F}"/>
    <cellStyle name="20% - Accent3 2 12" xfId="101" xr:uid="{18DF6B79-9CC7-4776-AEFD-C29893BB0AC9}"/>
    <cellStyle name="20% - Accent3 2 13" xfId="102" xr:uid="{3A15A218-1CE8-4981-A301-027A1691682B}"/>
    <cellStyle name="20% - Accent3 2 14" xfId="103" xr:uid="{6937B875-FE13-443E-8931-4E81370B65B8}"/>
    <cellStyle name="20% - Accent3 2 15" xfId="104" xr:uid="{2C719BBE-F840-414E-8DF4-A1CB51DECBB9}"/>
    <cellStyle name="20% - Accent3 2 2" xfId="105" xr:uid="{4299ABCA-7803-4E0D-8BA2-60E75639BF75}"/>
    <cellStyle name="20% - Accent3 2 2 2" xfId="106" xr:uid="{E8A5C9BF-3282-42E9-91E9-68A396EB29FA}"/>
    <cellStyle name="20% - Accent3 2 3" xfId="107" xr:uid="{ADFA8045-F227-42F6-AF43-AA4B90FE1B50}"/>
    <cellStyle name="20% - Accent3 2 4" xfId="108" xr:uid="{43ED536D-C8AB-4102-AA7B-043718AACD52}"/>
    <cellStyle name="20% - Accent3 2 5" xfId="109" xr:uid="{645EEDF5-21C0-4968-8F87-B97C038B8389}"/>
    <cellStyle name="20% - Accent3 2 6" xfId="110" xr:uid="{BE4CEDFC-392B-45D5-8EC8-6F0A0A3AC985}"/>
    <cellStyle name="20% - Accent3 2 7" xfId="111" xr:uid="{68E16A7C-D04A-49AC-B007-60E71D901DEA}"/>
    <cellStyle name="20% - Accent3 2 8" xfId="112" xr:uid="{3497E16D-AA1F-40E5-99DE-1F98E212DBFE}"/>
    <cellStyle name="20% - Accent3 2 9" xfId="113" xr:uid="{7281E3F6-6BFA-4F41-AD24-6748417C24A8}"/>
    <cellStyle name="20% - Accent3 3" xfId="114" xr:uid="{8F679756-08AC-4E45-913B-4BE34816FD65}"/>
    <cellStyle name="20% - Accent3 3 2" xfId="115" xr:uid="{223CB9CD-1B02-4573-B98A-790F29A77FC7}"/>
    <cellStyle name="20% - Accent3 3 2 2" xfId="116" xr:uid="{81617937-03D0-4115-A0B5-1270A6433D3D}"/>
    <cellStyle name="20% - Accent3 4" xfId="117" xr:uid="{41EB601F-DB4C-4D3B-B70A-BEDCA05B82FB}"/>
    <cellStyle name="20% - Accent3 5" xfId="97" xr:uid="{F7DD5BDB-5ECD-44B8-BAA1-A4A7B35D3197}"/>
    <cellStyle name="20% - Accent4 2" xfId="119" xr:uid="{2FA1E324-873E-4EA4-B694-F97D6FACC6A1}"/>
    <cellStyle name="20% - Accent4 2 10" xfId="120" xr:uid="{33AC0D71-D3FC-4D7D-944A-B7A2D7AF8625}"/>
    <cellStyle name="20% - Accent4 2 11" xfId="121" xr:uid="{BC25D1C7-081B-4873-8EF4-0C8538123B3D}"/>
    <cellStyle name="20% - Accent4 2 12" xfId="122" xr:uid="{E41ADFDC-CB4E-489F-B3B4-87CD7D5B7159}"/>
    <cellStyle name="20% - Accent4 2 13" xfId="123" xr:uid="{E716D0D4-07B4-4793-B57A-F22DF98BD37F}"/>
    <cellStyle name="20% - Accent4 2 14" xfId="124" xr:uid="{8BB52808-EEE4-4F00-A2C1-D666A8223E48}"/>
    <cellStyle name="20% - Accent4 2 15" xfId="125" xr:uid="{795E5070-B4CF-4A57-B694-515E4B64C073}"/>
    <cellStyle name="20% - Accent4 2 2" xfId="126" xr:uid="{C1F864A0-4C0E-4392-A811-5C52262A788B}"/>
    <cellStyle name="20% - Accent4 2 2 2" xfId="127" xr:uid="{6FB66617-EABD-4FF1-B9A9-F1733F6A10B4}"/>
    <cellStyle name="20% - Accent4 2 3" xfId="128" xr:uid="{3774020A-A410-49A5-AFDD-E570AD87801F}"/>
    <cellStyle name="20% - Accent4 2 4" xfId="129" xr:uid="{E86A4CAB-0CA4-4B1C-8316-FB6AA162D9AC}"/>
    <cellStyle name="20% - Accent4 2 5" xfId="130" xr:uid="{BF4E41F0-63EE-4D92-94A2-8C39C91DC527}"/>
    <cellStyle name="20% - Accent4 2 6" xfId="131" xr:uid="{AF91389E-8AED-48D6-8998-FA4FC45C447B}"/>
    <cellStyle name="20% - Accent4 2 7" xfId="132" xr:uid="{58B8D1A6-91C2-4A74-8456-DB79422C8AC2}"/>
    <cellStyle name="20% - Accent4 2 8" xfId="133" xr:uid="{3DD93FCF-BD76-46E7-B485-6BE4EFC58EBA}"/>
    <cellStyle name="20% - Accent4 2 9" xfId="134" xr:uid="{246F9FD0-8EFF-4A62-A04A-FB2FB28AB272}"/>
    <cellStyle name="20% - Accent4 3" xfId="135" xr:uid="{71350076-9950-4637-81AE-37181CC69716}"/>
    <cellStyle name="20% - Accent4 3 2" xfId="136" xr:uid="{748CF2A0-9B63-4188-9055-B26DCB9601B5}"/>
    <cellStyle name="20% - Accent4 3 2 2" xfId="137" xr:uid="{D197447F-7FCA-4D32-9005-DD8082BC1440}"/>
    <cellStyle name="20% - Accent4 4" xfId="138" xr:uid="{D9D94FA8-CED8-440C-A2E5-86269E7D0DDB}"/>
    <cellStyle name="20% - Accent4 5" xfId="118" xr:uid="{1F0800A7-498C-43E9-89B5-883E209D869A}"/>
    <cellStyle name="20% - Accent5 2" xfId="140" xr:uid="{F9EC2F02-7DD8-496B-A7D4-64FCE06A9F84}"/>
    <cellStyle name="20% - Accent5 2 10" xfId="141" xr:uid="{26C6CA01-5106-4A8D-BED8-71C5B6638DC1}"/>
    <cellStyle name="20% - Accent5 2 11" xfId="142" xr:uid="{182736EC-6234-4FBE-8C41-783895487BB4}"/>
    <cellStyle name="20% - Accent5 2 12" xfId="143" xr:uid="{86805EB5-288E-474F-9E62-18F39D448FC9}"/>
    <cellStyle name="20% - Accent5 2 13" xfId="144" xr:uid="{9B383511-CE28-4F7F-9185-3F6D5C0CFCBE}"/>
    <cellStyle name="20% - Accent5 2 14" xfId="145" xr:uid="{AAE5DD7B-F4C5-4BFF-A9D6-6F67A4893CDB}"/>
    <cellStyle name="20% - Accent5 2 15" xfId="146" xr:uid="{FFCB98F5-FE3B-4B28-9A94-3D0C7F5CA302}"/>
    <cellStyle name="20% - Accent5 2 2" xfId="147" xr:uid="{4FC6A344-0BB3-4DE2-86AF-9DC0DEF68C65}"/>
    <cellStyle name="20% - Accent5 2 2 2" xfId="148" xr:uid="{DC374DE8-18B0-4C3D-B4EA-57D1CDE123ED}"/>
    <cellStyle name="20% - Accent5 2 3" xfId="149" xr:uid="{7C8AF05F-8C23-42B1-89B0-D3A904A4A63D}"/>
    <cellStyle name="20% - Accent5 2 4" xfId="150" xr:uid="{CDDD8904-961C-4621-B698-11A6DA24EC77}"/>
    <cellStyle name="20% - Accent5 2 5" xfId="151" xr:uid="{6BD42DD9-F2FF-4EC2-A77B-CFCE06D2A14C}"/>
    <cellStyle name="20% - Accent5 2 6" xfId="152" xr:uid="{1FA4A914-F7D9-4937-9736-8E557762D2C4}"/>
    <cellStyle name="20% - Accent5 2 7" xfId="153" xr:uid="{0CC8F527-572C-4A0E-B13B-7F1BEBE338F0}"/>
    <cellStyle name="20% - Accent5 2 8" xfId="154" xr:uid="{033271F8-C416-4A7F-A73C-8365A1C68DAC}"/>
    <cellStyle name="20% - Accent5 2 9" xfId="155" xr:uid="{421C3B4F-40AD-4C32-82A4-60E27F42ADD2}"/>
    <cellStyle name="20% - Accent5 3" xfId="156" xr:uid="{3CF31F7A-7858-48B4-9A8E-EAD3BF60825D}"/>
    <cellStyle name="20% - Accent5 3 2" xfId="157" xr:uid="{D5AF7F1A-3375-465E-B12C-4B49034519E0}"/>
    <cellStyle name="20% - Accent5 4" xfId="158" xr:uid="{B29BA570-C629-4B28-811A-FE17CB842183}"/>
    <cellStyle name="20% - Accent5 5" xfId="139" xr:uid="{30FE77B6-0782-4442-8D06-10A65F58841F}"/>
    <cellStyle name="20% - Accent6 2" xfId="160" xr:uid="{BDBED768-C495-4906-86D6-B767B884CE5F}"/>
    <cellStyle name="20% - Accent6 2 10" xfId="161" xr:uid="{182F8821-6C62-4557-A41F-A33D0B0161B6}"/>
    <cellStyle name="20% - Accent6 2 11" xfId="162" xr:uid="{7960D5C5-3993-4C64-891A-CDAE22F87AE4}"/>
    <cellStyle name="20% - Accent6 2 12" xfId="163" xr:uid="{4CBB1048-3587-4D0E-8B46-7C5CEFCCA88F}"/>
    <cellStyle name="20% - Accent6 2 13" xfId="164" xr:uid="{8D437C41-3B0C-4511-BD76-A2D95A933C97}"/>
    <cellStyle name="20% - Accent6 2 14" xfId="165" xr:uid="{30D62A30-58D8-40F7-9308-EEBA633DB55C}"/>
    <cellStyle name="20% - Accent6 2 15" xfId="166" xr:uid="{57A119D8-2D52-4831-9446-E52175AC75DE}"/>
    <cellStyle name="20% - Accent6 2 2" xfId="167" xr:uid="{BEB541A7-BDAF-4D90-8309-07214A7A4DE9}"/>
    <cellStyle name="20% - Accent6 2 2 2" xfId="168" xr:uid="{7BD14F70-DC05-4629-8A71-6E00858F9F36}"/>
    <cellStyle name="20% - Accent6 2 3" xfId="169" xr:uid="{57600900-20EC-4CB3-90A7-482E3E241DBD}"/>
    <cellStyle name="20% - Accent6 2 4" xfId="170" xr:uid="{4594B6FB-AE66-4788-BC73-4926C3644680}"/>
    <cellStyle name="20% - Accent6 2 5" xfId="171" xr:uid="{4792CDC6-574B-4BD7-8998-26E5E725BB3C}"/>
    <cellStyle name="20% - Accent6 2 6" xfId="172" xr:uid="{F8068D7A-539C-4A57-8103-7E77EE06395E}"/>
    <cellStyle name="20% - Accent6 2 7" xfId="173" xr:uid="{971591CD-7EA9-43C7-901F-CA99ED5EC712}"/>
    <cellStyle name="20% - Accent6 2 8" xfId="174" xr:uid="{1BD4B57D-632C-45FC-B236-BA18F84EAD0F}"/>
    <cellStyle name="20% - Accent6 2 9" xfId="175" xr:uid="{26BB5B0C-D85E-4E00-8F50-BA295493D0D4}"/>
    <cellStyle name="20% - Accent6 3" xfId="176" xr:uid="{6B0CA090-8069-42E1-A3B8-3B0121388CE1}"/>
    <cellStyle name="20% - Accent6 3 2" xfId="177" xr:uid="{6D122C3E-A69A-4FF6-9B25-8A0C860DE4F7}"/>
    <cellStyle name="20% - Accent6 3 2 2" xfId="178" xr:uid="{834AA00A-69A8-4DAC-B1E0-C19716B7FD7C}"/>
    <cellStyle name="20% - Accent6 4" xfId="179" xr:uid="{76227EE9-2996-422C-A83C-62AD9EEE0A1A}"/>
    <cellStyle name="20% - Accent6 5" xfId="159" xr:uid="{5C0D52B7-489D-44A7-A664-3688A21C4AF8}"/>
    <cellStyle name="40% - Accent1 2" xfId="181" xr:uid="{78BB69B5-C3AA-4E73-AE71-514850BEE4F7}"/>
    <cellStyle name="40% - Accent1 2 10" xfId="182" xr:uid="{A82F71B9-EE52-432C-9FB0-D75450B8FEEA}"/>
    <cellStyle name="40% - Accent1 2 11" xfId="183" xr:uid="{1A4FBE93-4BC3-4476-9AF0-C2DFD3AC4A7B}"/>
    <cellStyle name="40% - Accent1 2 12" xfId="184" xr:uid="{909185CD-EBA6-4ACE-9841-665C7AB919FB}"/>
    <cellStyle name="40% - Accent1 2 13" xfId="185" xr:uid="{A548EBAF-41F4-444F-8FF3-8CAF17D84668}"/>
    <cellStyle name="40% - Accent1 2 14" xfId="186" xr:uid="{70BC6A49-924E-484B-B997-00D33EB2A931}"/>
    <cellStyle name="40% - Accent1 2 15" xfId="187" xr:uid="{85C547E6-AB15-428A-9544-A9621B01A547}"/>
    <cellStyle name="40% - Accent1 2 2" xfId="188" xr:uid="{B2181D0B-79F1-41A0-837B-D436E56C6FA7}"/>
    <cellStyle name="40% - Accent1 2 2 2" xfId="189" xr:uid="{05292D50-B6F6-45DD-88CD-F64B0088F035}"/>
    <cellStyle name="40% - Accent1 2 3" xfId="190" xr:uid="{8ED38FB4-6902-4C3A-9E7B-4F50BBEDBEDF}"/>
    <cellStyle name="40% - Accent1 2 4" xfId="191" xr:uid="{FEC43C2F-D015-4419-A148-654B7E1C2E8A}"/>
    <cellStyle name="40% - Accent1 2 5" xfId="192" xr:uid="{1A788588-5953-4998-9244-CF88A208904B}"/>
    <cellStyle name="40% - Accent1 2 6" xfId="193" xr:uid="{F787A94C-F519-4177-9500-BB261AB8E39C}"/>
    <cellStyle name="40% - Accent1 2 7" xfId="194" xr:uid="{D8006134-213F-424F-9888-A4B12E34E53A}"/>
    <cellStyle name="40% - Accent1 2 8" xfId="195" xr:uid="{9A2B6125-DB89-4630-BC3B-06DC9BE8D273}"/>
    <cellStyle name="40% - Accent1 2 9" xfId="196" xr:uid="{46038854-F851-4B71-828C-298E24AEA9B5}"/>
    <cellStyle name="40% - Accent1 3" xfId="197" xr:uid="{ADAF435D-0DA8-44BC-BA5C-136D65700132}"/>
    <cellStyle name="40% - Accent1 3 2" xfId="198" xr:uid="{86632B3F-6545-4F0D-A353-E3BDEF3975E2}"/>
    <cellStyle name="40% - Accent1 3 2 2" xfId="199" xr:uid="{0066D5AD-5649-4BE0-957F-D76ABFFDE357}"/>
    <cellStyle name="40% - Accent1 4" xfId="200" xr:uid="{AC7DE8C7-49EA-4B3E-8059-9047478C76A3}"/>
    <cellStyle name="40% - Accent1 5" xfId="180" xr:uid="{E10EE797-E5C5-429F-9C40-15C12B470273}"/>
    <cellStyle name="40% - Accent2 2" xfId="202" xr:uid="{8E814F60-DE57-40E6-9859-0D12DE847E3F}"/>
    <cellStyle name="40% - Accent2 2 10" xfId="203" xr:uid="{C0B52B5E-7602-4CD9-AB98-D1F7BE228DEF}"/>
    <cellStyle name="40% - Accent2 2 11" xfId="204" xr:uid="{DAE60738-4C98-423D-A01C-6F29AC7F506D}"/>
    <cellStyle name="40% - Accent2 2 12" xfId="205" xr:uid="{B18BA33C-4BCD-45F7-86BC-9C2540770EEB}"/>
    <cellStyle name="40% - Accent2 2 13" xfId="206" xr:uid="{210025EA-A9EB-460C-A22A-02927D4AA43E}"/>
    <cellStyle name="40% - Accent2 2 14" xfId="207" xr:uid="{869BAF1D-4C8D-49FA-A9E4-FAF4AE8C2B41}"/>
    <cellStyle name="40% - Accent2 2 15" xfId="208" xr:uid="{4761CB8B-FFD4-4D0F-B82A-CBBDDE4E2103}"/>
    <cellStyle name="40% - Accent2 2 2" xfId="209" xr:uid="{0FC3C15E-B300-4677-91AA-756D7C8FCDFE}"/>
    <cellStyle name="40% - Accent2 2 2 2" xfId="210" xr:uid="{66531EA7-B0F8-44AF-A543-51773FE3FA3C}"/>
    <cellStyle name="40% - Accent2 2 3" xfId="211" xr:uid="{A4F703DA-2137-4098-8A80-868B785830A6}"/>
    <cellStyle name="40% - Accent2 2 4" xfId="212" xr:uid="{49533E1A-A6E1-40C7-B4A1-C4D6911FF76E}"/>
    <cellStyle name="40% - Accent2 2 5" xfId="213" xr:uid="{700A64A2-E722-41AC-BC2A-7DE005CFD552}"/>
    <cellStyle name="40% - Accent2 2 6" xfId="214" xr:uid="{5C4FFAEA-3645-4CDC-A669-F470727D2A73}"/>
    <cellStyle name="40% - Accent2 2 7" xfId="215" xr:uid="{F2C60C15-4B5C-4B56-B548-D4053C979CEB}"/>
    <cellStyle name="40% - Accent2 2 8" xfId="216" xr:uid="{5967B5B9-A634-4983-B6DB-D5A27BBA035C}"/>
    <cellStyle name="40% - Accent2 2 9" xfId="217" xr:uid="{E2B7359D-C0FF-423F-AB81-42054C7EC0AE}"/>
    <cellStyle name="40% - Accent2 3" xfId="218" xr:uid="{D74BFC66-4D14-43D5-90D6-EF910C72A95C}"/>
    <cellStyle name="40% - Accent2 3 2" xfId="219" xr:uid="{DCECB4C0-2A47-48B7-A19D-CD3016969136}"/>
    <cellStyle name="40% - Accent2 4" xfId="220" xr:uid="{50C42852-6C10-4D30-8527-33979C626FE6}"/>
    <cellStyle name="40% - Accent2 5" xfId="201" xr:uid="{272B8BB0-B635-4B3D-9999-FB1ED37F4B8D}"/>
    <cellStyle name="40% - Accent3 2" xfId="222" xr:uid="{F2EA52F0-B935-4C2E-A991-BEF965B50101}"/>
    <cellStyle name="40% - Accent3 2 10" xfId="223" xr:uid="{76ADE56B-3DBD-4627-9683-D8D8C81999D3}"/>
    <cellStyle name="40% - Accent3 2 11" xfId="224" xr:uid="{F031796F-CB76-40D3-A76D-2663C621A73A}"/>
    <cellStyle name="40% - Accent3 2 12" xfId="225" xr:uid="{5FF17079-635F-451B-8FDA-37A7D87C6E10}"/>
    <cellStyle name="40% - Accent3 2 13" xfId="226" xr:uid="{FBAFED84-0237-488A-B082-530291857CF0}"/>
    <cellStyle name="40% - Accent3 2 14" xfId="227" xr:uid="{8CD5FF81-BE92-402F-B4B1-E59F3A677738}"/>
    <cellStyle name="40% - Accent3 2 15" xfId="228" xr:uid="{D5355723-ADF7-4852-9335-4A1732C896EB}"/>
    <cellStyle name="40% - Accent3 2 2" xfId="229" xr:uid="{C2A4C546-A262-4EFE-8517-31F6251DAC64}"/>
    <cellStyle name="40% - Accent3 2 2 2" xfId="230" xr:uid="{6DED0397-FAFF-4FCE-989E-83DD8C589F67}"/>
    <cellStyle name="40% - Accent3 2 3" xfId="231" xr:uid="{452BE5E0-B1E4-44DC-8C80-61DF1F537299}"/>
    <cellStyle name="40% - Accent3 2 4" xfId="232" xr:uid="{C8CFF387-72DE-4105-B3B3-1746D7CCE641}"/>
    <cellStyle name="40% - Accent3 2 5" xfId="233" xr:uid="{1A816151-5D5A-44E7-86BF-B79B88571D36}"/>
    <cellStyle name="40% - Accent3 2 6" xfId="234" xr:uid="{465724CA-8489-47FC-B734-489B9B462E8E}"/>
    <cellStyle name="40% - Accent3 2 7" xfId="235" xr:uid="{4638ADBD-8F8D-4E70-86A1-4EAE65A34C55}"/>
    <cellStyle name="40% - Accent3 2 8" xfId="236" xr:uid="{BEC69FFC-71E8-4490-AEDD-64A9A81B1E0E}"/>
    <cellStyle name="40% - Accent3 2 9" xfId="237" xr:uid="{F5DAD978-18A2-4A49-8FE1-20622681E882}"/>
    <cellStyle name="40% - Accent3 3" xfId="238" xr:uid="{24F31DAD-1AA6-42B8-B2E9-EABC7B0AA9F0}"/>
    <cellStyle name="40% - Accent3 3 2" xfId="239" xr:uid="{3F4E5ED6-38CC-44B1-A95B-1AAD5C1AA3F2}"/>
    <cellStyle name="40% - Accent3 3 2 2" xfId="240" xr:uid="{F66C43E4-6099-49C4-A6AC-216EC2053D07}"/>
    <cellStyle name="40% - Accent3 4" xfId="241" xr:uid="{6821E64E-6DC6-4833-8A98-9425CDD1295B}"/>
    <cellStyle name="40% - Accent3 5" xfId="221" xr:uid="{8FC7A439-CEF7-4C3F-8EAF-2C9CF4B72C69}"/>
    <cellStyle name="40% - Accent4 2" xfId="243" xr:uid="{197E8F83-1FCB-4DB4-8D4A-26C2DAB2BB7E}"/>
    <cellStyle name="40% - Accent4 2 10" xfId="244" xr:uid="{45B8CCA3-DC53-4168-9208-EDD97108F480}"/>
    <cellStyle name="40% - Accent4 2 11" xfId="245" xr:uid="{FA8ECB1F-9CE9-4F3B-A10B-E214920576A7}"/>
    <cellStyle name="40% - Accent4 2 12" xfId="246" xr:uid="{D4A85BF7-8F10-4E8C-9155-883F6EA76E44}"/>
    <cellStyle name="40% - Accent4 2 13" xfId="247" xr:uid="{9EBB084C-09F3-4270-8939-D233AD5F5A5C}"/>
    <cellStyle name="40% - Accent4 2 14" xfId="248" xr:uid="{F5793160-3103-451C-99B2-3F3E29AAE12E}"/>
    <cellStyle name="40% - Accent4 2 15" xfId="249" xr:uid="{46C3484D-B8CC-4CDC-AA7B-334A3CBD3BB5}"/>
    <cellStyle name="40% - Accent4 2 2" xfId="250" xr:uid="{D6FAFC01-A563-4DDA-B197-7FFDA5D79ECB}"/>
    <cellStyle name="40% - Accent4 2 2 2" xfId="251" xr:uid="{3B5D33C6-0CD5-4654-9C41-85E3F06E67D4}"/>
    <cellStyle name="40% - Accent4 2 3" xfId="252" xr:uid="{F7341C92-F103-4C9D-8DA3-87BF49935372}"/>
    <cellStyle name="40% - Accent4 2 4" xfId="253" xr:uid="{156F6E97-FEFC-4612-A390-41A08CFEF46B}"/>
    <cellStyle name="40% - Accent4 2 5" xfId="254" xr:uid="{42F30FC9-B23F-4995-B985-3719A81BA092}"/>
    <cellStyle name="40% - Accent4 2 6" xfId="255" xr:uid="{ABC94D1B-1AAF-41A8-8E97-B6DE80A80E36}"/>
    <cellStyle name="40% - Accent4 2 7" xfId="256" xr:uid="{DB1DBC0E-3AD8-4EC3-A4E6-0954407137EF}"/>
    <cellStyle name="40% - Accent4 2 8" xfId="257" xr:uid="{7ACC9D19-6A36-4F3B-89CB-E57D51581E72}"/>
    <cellStyle name="40% - Accent4 2 9" xfId="258" xr:uid="{7CE074EC-6DDC-46CA-8D91-0801CFB731D9}"/>
    <cellStyle name="40% - Accent4 3" xfId="259" xr:uid="{DBFEF636-DC34-420B-A6E4-015C3C9C57A8}"/>
    <cellStyle name="40% - Accent4 3 2" xfId="260" xr:uid="{E2324E22-B318-4823-9C51-F33AA5F8DB69}"/>
    <cellStyle name="40% - Accent4 3 2 2" xfId="261" xr:uid="{CE5F4933-83B3-4C53-A75B-A56A315086C3}"/>
    <cellStyle name="40% - Accent4 4" xfId="262" xr:uid="{4CA9CC7D-6048-4E3E-95A2-C9E274B2397E}"/>
    <cellStyle name="40% - Accent4 5" xfId="242" xr:uid="{B045A9A2-E741-4B54-9BC5-06E99F300FC8}"/>
    <cellStyle name="40% - Accent5 2" xfId="264" xr:uid="{90E40E58-470C-45EB-AB44-716099B5C2B1}"/>
    <cellStyle name="40% - Accent5 2 10" xfId="265" xr:uid="{7DE008ED-1883-44D1-A96C-747F99541279}"/>
    <cellStyle name="40% - Accent5 2 11" xfId="266" xr:uid="{8437395F-9B89-4F76-B724-4AFF44D850C3}"/>
    <cellStyle name="40% - Accent5 2 12" xfId="267" xr:uid="{D7B7635D-F8E9-42D8-B09E-AB80DE25935B}"/>
    <cellStyle name="40% - Accent5 2 13" xfId="268" xr:uid="{16C600F1-C0A9-47DC-9283-0AE10C5EB6EF}"/>
    <cellStyle name="40% - Accent5 2 14" xfId="269" xr:uid="{7947D78B-5A59-4555-B252-A86247F20544}"/>
    <cellStyle name="40% - Accent5 2 15" xfId="270" xr:uid="{366DF22E-05A9-4F34-9B97-B476151C3326}"/>
    <cellStyle name="40% - Accent5 2 2" xfId="271" xr:uid="{F3420F4E-C8C9-477C-8252-B13B8F3B2A52}"/>
    <cellStyle name="40% - Accent5 2 2 2" xfId="272" xr:uid="{6598FC32-A15F-4936-A624-E66AD98E32CD}"/>
    <cellStyle name="40% - Accent5 2 3" xfId="273" xr:uid="{C9C7E5F8-CF52-4909-9B6C-3980121F6D0F}"/>
    <cellStyle name="40% - Accent5 2 4" xfId="274" xr:uid="{C4D1F98A-F359-40A2-9265-F1486EC39D4C}"/>
    <cellStyle name="40% - Accent5 2 5" xfId="275" xr:uid="{F48D7D93-3B3E-47BC-BD06-1124B0694943}"/>
    <cellStyle name="40% - Accent5 2 6" xfId="276" xr:uid="{550BE57A-AF02-4683-BAB4-500A5A2E748B}"/>
    <cellStyle name="40% - Accent5 2 7" xfId="277" xr:uid="{E0C8D091-4A94-4665-9375-9140869C938B}"/>
    <cellStyle name="40% - Accent5 2 8" xfId="278" xr:uid="{E885DD56-B50E-4223-9986-73F02B34B0B7}"/>
    <cellStyle name="40% - Accent5 2 9" xfId="279" xr:uid="{D94AA67D-071B-4531-80E1-D9988D80FFEA}"/>
    <cellStyle name="40% - Accent5 3" xfId="280" xr:uid="{5EA15C04-27C4-4C30-B9FA-BA928960C7D1}"/>
    <cellStyle name="40% - Accent5 3 2" xfId="281" xr:uid="{7CD76B28-B963-4BA6-BF50-2F4DAF2F49BD}"/>
    <cellStyle name="40% - Accent5 3 2 2" xfId="282" xr:uid="{F99E8E61-C50B-4A3E-B0D5-080058E9BEAA}"/>
    <cellStyle name="40% - Accent5 4" xfId="283" xr:uid="{5B9F834D-F10B-49D1-AF2D-9ABCF5643480}"/>
    <cellStyle name="40% - Accent5 5" xfId="263" xr:uid="{A1B311C1-ACCB-4098-8CEA-BA12C81A13CE}"/>
    <cellStyle name="40% - Accent6 2" xfId="285" xr:uid="{7C8A6A7E-24AB-4EDE-A795-A8C5898357F2}"/>
    <cellStyle name="40% - Accent6 2 10" xfId="286" xr:uid="{B8350156-C475-47F7-A5B3-5AE7FD4E36BE}"/>
    <cellStyle name="40% - Accent6 2 11" xfId="287" xr:uid="{43CE1C34-AC7B-412D-AB88-2D15CD67E7E2}"/>
    <cellStyle name="40% - Accent6 2 12" xfId="288" xr:uid="{227AACFC-2845-4ABB-B069-B5B51C99CBC1}"/>
    <cellStyle name="40% - Accent6 2 13" xfId="289" xr:uid="{016981C8-D5E9-47EE-91EC-297A1641920F}"/>
    <cellStyle name="40% - Accent6 2 14" xfId="290" xr:uid="{8A49DE9E-3A89-4C55-A911-3004BAB423F4}"/>
    <cellStyle name="40% - Accent6 2 15" xfId="291" xr:uid="{A91B29FB-1CFA-4F95-865A-816B608D65BC}"/>
    <cellStyle name="40% - Accent6 2 2" xfId="292" xr:uid="{E0BAC14C-DCE1-411B-8BE6-5A3FC6913273}"/>
    <cellStyle name="40% - Accent6 2 2 2" xfId="293" xr:uid="{F5E3EF4E-41C6-40FF-B581-2BB1794937C3}"/>
    <cellStyle name="40% - Accent6 2 3" xfId="294" xr:uid="{43E4988D-BA21-4D97-8C16-1F846D279829}"/>
    <cellStyle name="40% - Accent6 2 4" xfId="295" xr:uid="{AA704241-FE73-4716-A54D-350C0D34AA3A}"/>
    <cellStyle name="40% - Accent6 2 5" xfId="296" xr:uid="{96F18397-F815-4FF5-8CE5-A3B2B6F05CD8}"/>
    <cellStyle name="40% - Accent6 2 6" xfId="297" xr:uid="{E18EA307-A83B-478A-9C30-5E4F3C462F9A}"/>
    <cellStyle name="40% - Accent6 2 7" xfId="298" xr:uid="{62158A91-8A56-4BFD-9BF8-38909F1E021B}"/>
    <cellStyle name="40% - Accent6 2 8" xfId="299" xr:uid="{235D72CA-1BAB-4E09-9A23-7A190DC86E08}"/>
    <cellStyle name="40% - Accent6 2 9" xfId="300" xr:uid="{40EFA015-E6F6-4F4D-9575-0D21EE951986}"/>
    <cellStyle name="40% - Accent6 3" xfId="301" xr:uid="{E220CF54-D7F7-4942-8300-927253D4D51F}"/>
    <cellStyle name="40% - Accent6 3 2" xfId="302" xr:uid="{34CECB63-A9FB-440C-B151-9A4803FEA19C}"/>
    <cellStyle name="40% - Accent6 3 2 2" xfId="303" xr:uid="{5B58E2D7-7DE6-428F-8FEE-B1522DA2312E}"/>
    <cellStyle name="40% - Accent6 4" xfId="304" xr:uid="{63B774D7-F841-4DC0-964A-060239924BA1}"/>
    <cellStyle name="40% - Accent6 5" xfId="284" xr:uid="{C8FBB6E7-AA10-4770-8C7D-2738EF4D493E}"/>
    <cellStyle name="60% - Accent1 2" xfId="306" xr:uid="{DCA9F4FA-62BE-4AFE-98F2-B4B4699A040D}"/>
    <cellStyle name="60% - Accent1 2 10" xfId="307" xr:uid="{7A5460DB-F985-4255-A6B0-F8425AA5FA69}"/>
    <cellStyle name="60% - Accent1 2 11" xfId="308" xr:uid="{6FA63B44-55A9-466D-875C-63A155CA232A}"/>
    <cellStyle name="60% - Accent1 2 12" xfId="309" xr:uid="{F1E25755-829B-454D-BF4B-937319D74E19}"/>
    <cellStyle name="60% - Accent1 2 13" xfId="310" xr:uid="{345D6A3A-1538-47DE-A460-4535C8B42A51}"/>
    <cellStyle name="60% - Accent1 2 14" xfId="311" xr:uid="{FCA750D1-6DB1-4653-A822-CF4B130C0A15}"/>
    <cellStyle name="60% - Accent1 2 15" xfId="312" xr:uid="{7A09CFC9-F600-4093-95D6-0714D70C317D}"/>
    <cellStyle name="60% - Accent1 2 2" xfId="313" xr:uid="{D6C23C83-1DDC-4F3D-9E02-70FF59F5CFBE}"/>
    <cellStyle name="60% - Accent1 2 2 2" xfId="314" xr:uid="{BFC942DB-8650-4C7C-BA64-DD8C2AFA4565}"/>
    <cellStyle name="60% - Accent1 2 3" xfId="315" xr:uid="{E05FBE1D-0CF3-436D-AD5C-C63E0B1B51EE}"/>
    <cellStyle name="60% - Accent1 2 4" xfId="316" xr:uid="{097169E4-04DA-4AE5-8F82-8E345E0EB26A}"/>
    <cellStyle name="60% - Accent1 2 5" xfId="317" xr:uid="{3CD656F9-4E25-42F3-868C-3B9A77A18646}"/>
    <cellStyle name="60% - Accent1 2 6" xfId="318" xr:uid="{DD779D11-290B-4599-A252-4F1828E7B595}"/>
    <cellStyle name="60% - Accent1 2 7" xfId="319" xr:uid="{7C52D761-174C-42A0-8DD3-EF7D2C6A35C0}"/>
    <cellStyle name="60% - Accent1 2 8" xfId="320" xr:uid="{CD5537AA-C584-4B84-88A4-7EEB488708E5}"/>
    <cellStyle name="60% - Accent1 2 9" xfId="321" xr:uid="{1FD7144B-C3D0-4F01-818E-A23FAB6B5FC6}"/>
    <cellStyle name="60% - Accent1 3" xfId="322" xr:uid="{070E4EB0-6611-4BD7-8CE0-EE5E3F9AF4E9}"/>
    <cellStyle name="60% - Accent1 3 2" xfId="323" xr:uid="{92FEF926-99C8-45E6-A68E-EC63AD9DDA86}"/>
    <cellStyle name="60% - Accent1 4" xfId="324" xr:uid="{0846404D-AFF0-4FE9-9964-3252F9C67CEC}"/>
    <cellStyle name="60% - Accent1 5" xfId="305" xr:uid="{7CF2DDEC-A2CC-4743-AFF4-DE3538B13D5A}"/>
    <cellStyle name="60% - Accent2 2" xfId="326" xr:uid="{396A309E-6C1A-44C3-A324-CEF0E4FB658E}"/>
    <cellStyle name="60% - Accent2 2 10" xfId="327" xr:uid="{5D4D9837-A081-40C9-A42D-A25716AC9210}"/>
    <cellStyle name="60% - Accent2 2 11" xfId="328" xr:uid="{E6D76584-F011-41E9-BF9D-6AC49EA0CFA2}"/>
    <cellStyle name="60% - Accent2 2 12" xfId="329" xr:uid="{217DF145-E24E-4B94-963C-A2EE44116351}"/>
    <cellStyle name="60% - Accent2 2 13" xfId="330" xr:uid="{9BE56AF4-94BC-4287-9786-4824FFF2DE9C}"/>
    <cellStyle name="60% - Accent2 2 14" xfId="331" xr:uid="{E306CF27-4DDF-42D1-876F-38F37AF9E9B0}"/>
    <cellStyle name="60% - Accent2 2 15" xfId="332" xr:uid="{73C291A7-DAE9-4879-BF8F-9B1F3CCFFE97}"/>
    <cellStyle name="60% - Accent2 2 2" xfId="333" xr:uid="{ACC51EE3-C592-4C09-B5CB-4E060E8F7616}"/>
    <cellStyle name="60% - Accent2 2 2 2" xfId="334" xr:uid="{E3080A4C-E7CF-49AE-A252-A07A9B2348FE}"/>
    <cellStyle name="60% - Accent2 2 3" xfId="335" xr:uid="{15C7D34F-1F0D-4E4A-A636-E60FAE19848B}"/>
    <cellStyle name="60% - Accent2 2 4" xfId="336" xr:uid="{78ADA2BB-2256-4BFB-BF90-690F0B3E4AFD}"/>
    <cellStyle name="60% - Accent2 2 5" xfId="337" xr:uid="{F1A24863-3834-4C5A-8C71-51095C8447D5}"/>
    <cellStyle name="60% - Accent2 2 6" xfId="338" xr:uid="{1E0F62CE-5D54-497C-9180-DE4A03589255}"/>
    <cellStyle name="60% - Accent2 2 7" xfId="339" xr:uid="{3F5B2183-8D2D-48D2-A3A7-E5BBA0C53B05}"/>
    <cellStyle name="60% - Accent2 2 8" xfId="340" xr:uid="{371BDE5C-DF8F-4377-B4F7-4E9B4EE5802B}"/>
    <cellStyle name="60% - Accent2 2 9" xfId="341" xr:uid="{91403F33-8A9C-4178-BEA3-E07CA39F48FB}"/>
    <cellStyle name="60% - Accent2 3" xfId="342" xr:uid="{48630651-0746-4F83-96C9-FE593C00B4DF}"/>
    <cellStyle name="60% - Accent2 3 2" xfId="343" xr:uid="{8AB4C4C7-4E76-4832-AEDA-DC2DE0C632A3}"/>
    <cellStyle name="60% - Accent2 4" xfId="344" xr:uid="{267C2FEB-A432-488A-8ACB-22092D8B394C}"/>
    <cellStyle name="60% - Accent2 5" xfId="325" xr:uid="{03AC6862-5B7D-4BA3-AFAF-5E30B405C29C}"/>
    <cellStyle name="60% - Accent3 2" xfId="346" xr:uid="{2249B623-6DA6-4BB0-B914-89383EA93891}"/>
    <cellStyle name="60% - Accent3 2 10" xfId="347" xr:uid="{FB11A11B-D98A-4BFD-A5DB-738D48A06B6A}"/>
    <cellStyle name="60% - Accent3 2 11" xfId="348" xr:uid="{D2FC502A-15AC-4613-BD80-D85F13FD1CC1}"/>
    <cellStyle name="60% - Accent3 2 12" xfId="349" xr:uid="{FF78C938-3B37-4FB6-8238-CB6382726374}"/>
    <cellStyle name="60% - Accent3 2 13" xfId="350" xr:uid="{166166A4-7818-49E7-9410-6E1F769F4BAC}"/>
    <cellStyle name="60% - Accent3 2 14" xfId="351" xr:uid="{D18440C5-483C-4902-9A0E-73820FE2862D}"/>
    <cellStyle name="60% - Accent3 2 15" xfId="352" xr:uid="{139A781B-C274-4431-8E85-3E661758907B}"/>
    <cellStyle name="60% - Accent3 2 2" xfId="353" xr:uid="{BF886388-1888-4275-87D4-F2D307B04AC1}"/>
    <cellStyle name="60% - Accent3 2 2 2" xfId="354" xr:uid="{AF8A693C-76B4-4295-B70E-A220DFDB76B2}"/>
    <cellStyle name="60% - Accent3 2 3" xfId="355" xr:uid="{B21B35D1-ED65-4E6B-A6F5-EF335E7AECF8}"/>
    <cellStyle name="60% - Accent3 2 4" xfId="356" xr:uid="{CA943ABF-C54A-4566-B009-C9F5DA46E6C4}"/>
    <cellStyle name="60% - Accent3 2 5" xfId="357" xr:uid="{A3A2D7FB-C013-4F8D-8734-07C262708EAB}"/>
    <cellStyle name="60% - Accent3 2 6" xfId="358" xr:uid="{69D24C23-7BAE-49C0-83C5-D487C55EF5C0}"/>
    <cellStyle name="60% - Accent3 2 7" xfId="359" xr:uid="{620AB552-9DD5-44B3-87B9-B302B5627845}"/>
    <cellStyle name="60% - Accent3 2 8" xfId="360" xr:uid="{7B660306-5D9A-4DE1-86B1-C695BC2D58E9}"/>
    <cellStyle name="60% - Accent3 2 9" xfId="361" xr:uid="{66275171-AC2F-4407-9361-E688B72A3BD5}"/>
    <cellStyle name="60% - Accent3 3" xfId="362" xr:uid="{74AFA9EF-FBBE-4F4E-A24F-ED1CEC85F4F0}"/>
    <cellStyle name="60% - Accent3 3 2" xfId="363" xr:uid="{02C97166-5633-4234-8D79-A1163DED17B4}"/>
    <cellStyle name="60% - Accent3 4" xfId="364" xr:uid="{0F7F7371-DF5E-43B2-94F3-888105FE3BF0}"/>
    <cellStyle name="60% - Accent3 5" xfId="345" xr:uid="{F50B1F8F-17F6-4C8E-A464-4473007A3BF8}"/>
    <cellStyle name="60% - Accent4 2" xfId="366" xr:uid="{0D55EABA-806B-41AB-983F-3FC9DCA82854}"/>
    <cellStyle name="60% - Accent4 2 10" xfId="367" xr:uid="{52F51764-D740-4F86-B270-FF2F640A8C89}"/>
    <cellStyle name="60% - Accent4 2 11" xfId="368" xr:uid="{33788E12-8CEC-4A62-A3E8-C57B9A178284}"/>
    <cellStyle name="60% - Accent4 2 12" xfId="369" xr:uid="{78D2DF67-A4B5-4E61-B0F9-6C963263B9C1}"/>
    <cellStyle name="60% - Accent4 2 13" xfId="370" xr:uid="{CD0768AA-9710-468E-82D6-6834A3D90487}"/>
    <cellStyle name="60% - Accent4 2 14" xfId="371" xr:uid="{7C43DBC8-AE6A-4E9E-AE40-10F85AF697EE}"/>
    <cellStyle name="60% - Accent4 2 15" xfId="372" xr:uid="{7AC2E6BE-FEBD-4EF0-AEEC-356D6C654DCE}"/>
    <cellStyle name="60% - Accent4 2 2" xfId="373" xr:uid="{0AC8066A-384F-424F-98C7-19032FAFA683}"/>
    <cellStyle name="60% - Accent4 2 2 2" xfId="374" xr:uid="{5E8AB289-CB6C-4C82-8B69-71990C550A55}"/>
    <cellStyle name="60% - Accent4 2 3" xfId="375" xr:uid="{43E23F9C-9ADD-4E71-8037-26DCA73B92A5}"/>
    <cellStyle name="60% - Accent4 2 4" xfId="376" xr:uid="{3AF42D50-C76D-4624-8635-FCC84F3FCCE7}"/>
    <cellStyle name="60% - Accent4 2 5" xfId="377" xr:uid="{3277AC69-4696-4387-8EE3-006AC061EA82}"/>
    <cellStyle name="60% - Accent4 2 6" xfId="378" xr:uid="{BD0278CA-170A-44CF-A9EB-D6AD7FD133B7}"/>
    <cellStyle name="60% - Accent4 2 7" xfId="379" xr:uid="{232AFB82-5B74-48AE-8CB8-671DD5A06E84}"/>
    <cellStyle name="60% - Accent4 2 8" xfId="380" xr:uid="{C7452D1C-2FD9-46D0-9B3A-7F9FB14D6A4B}"/>
    <cellStyle name="60% - Accent4 2 9" xfId="381" xr:uid="{8DDAC875-7696-494F-A5B2-A8D946FAFAA2}"/>
    <cellStyle name="60% - Accent4 3" xfId="382" xr:uid="{7CD4A515-5FAE-4163-8DDF-901E942CFF5A}"/>
    <cellStyle name="60% - Accent4 3 2" xfId="383" xr:uid="{BB8333D4-76A6-430B-948A-1D5AE908A2FA}"/>
    <cellStyle name="60% - Accent4 4" xfId="384" xr:uid="{66CD175E-06B5-46E1-A4F8-55E07370B360}"/>
    <cellStyle name="60% - Accent4 5" xfId="365" xr:uid="{DBA1D64B-7138-49D0-BD73-09255A15A844}"/>
    <cellStyle name="60% - Accent5 2" xfId="386" xr:uid="{E81D9852-D983-4BF2-9534-761DA867C63C}"/>
    <cellStyle name="60% - Accent5 2 10" xfId="387" xr:uid="{C6E5FFE3-BE4D-4A8B-BCEC-EDDF4F1E5A81}"/>
    <cellStyle name="60% - Accent5 2 11" xfId="388" xr:uid="{CC14604F-5229-4C8F-9A4C-7F0272FE79B4}"/>
    <cellStyle name="60% - Accent5 2 12" xfId="389" xr:uid="{165516DE-58EC-4B8D-8E01-CC068518707B}"/>
    <cellStyle name="60% - Accent5 2 13" xfId="390" xr:uid="{0E0010B6-5470-4AE9-9588-4E9C00D74CAB}"/>
    <cellStyle name="60% - Accent5 2 14" xfId="391" xr:uid="{1708F080-6F94-4AA8-9971-419AEAA364F1}"/>
    <cellStyle name="60% - Accent5 2 15" xfId="392" xr:uid="{6A949644-D83A-4BB1-85B6-21AE4F3DDA81}"/>
    <cellStyle name="60% - Accent5 2 2" xfId="393" xr:uid="{A6C7C85E-A1CD-4E6A-98D7-E3CA1E10E532}"/>
    <cellStyle name="60% - Accent5 2 2 2" xfId="394" xr:uid="{2A66524E-5E0C-4DC1-8C71-8EBA43A0A3DB}"/>
    <cellStyle name="60% - Accent5 2 3" xfId="395" xr:uid="{FABA9352-A769-4D2A-A114-02057A984941}"/>
    <cellStyle name="60% - Accent5 2 4" xfId="396" xr:uid="{B23B0D2F-7A99-4C8C-A064-CD1485DCE1E8}"/>
    <cellStyle name="60% - Accent5 2 5" xfId="397" xr:uid="{0020F514-701D-45F6-B6FF-AEB9DEF17AA8}"/>
    <cellStyle name="60% - Accent5 2 6" xfId="398" xr:uid="{0A492EDE-44DF-4F35-9F0C-49F163FA84BD}"/>
    <cellStyle name="60% - Accent5 2 7" xfId="399" xr:uid="{A9543C23-D07F-48ED-8725-05B853528C87}"/>
    <cellStyle name="60% - Accent5 2 8" xfId="400" xr:uid="{1EF95443-427D-4272-8EBF-16868A1E2EEA}"/>
    <cellStyle name="60% - Accent5 2 9" xfId="401" xr:uid="{192FCA99-CCFF-4CA1-969F-A7F5FF5BB094}"/>
    <cellStyle name="60% - Accent5 3" xfId="402" xr:uid="{BB9797A3-7565-415C-9C73-2C6455B10B7F}"/>
    <cellStyle name="60% - Accent5 3 2" xfId="403" xr:uid="{710CC4ED-FB87-4FAD-AD2C-73D7DE4C369B}"/>
    <cellStyle name="60% - Accent5 4" xfId="404" xr:uid="{2652612C-BA57-437E-8039-1B0237D25FA3}"/>
    <cellStyle name="60% - Accent5 5" xfId="385" xr:uid="{5739E44C-E06A-4C46-97B6-1EAFBC424441}"/>
    <cellStyle name="60% - Accent6 2" xfId="406" xr:uid="{487749A4-E0A9-4369-B79C-7BB487B70FD4}"/>
    <cellStyle name="60% - Accent6 2 10" xfId="407" xr:uid="{08EF759D-FE05-4A02-9C46-86A03213443D}"/>
    <cellStyle name="60% - Accent6 2 11" xfId="408" xr:uid="{DE401738-2EAF-4C2C-B6A5-3A6A7F4C0A49}"/>
    <cellStyle name="60% - Accent6 2 12" xfId="409" xr:uid="{B4712331-B09B-4F26-8996-834CAC15E820}"/>
    <cellStyle name="60% - Accent6 2 13" xfId="410" xr:uid="{96EC116F-5078-4782-9BC8-313572FE2D30}"/>
    <cellStyle name="60% - Accent6 2 14" xfId="411" xr:uid="{52888C85-AC59-4AF9-A6AF-13FDD555F12D}"/>
    <cellStyle name="60% - Accent6 2 15" xfId="412" xr:uid="{72F48091-FDD1-4FBD-AFE0-ACEACD76FC65}"/>
    <cellStyle name="60% - Accent6 2 2" xfId="413" xr:uid="{127F961E-8AD3-4E0E-B6C4-CC1929D335D0}"/>
    <cellStyle name="60% - Accent6 2 2 2" xfId="414" xr:uid="{1123DD15-AF9F-4032-B83A-B49554387015}"/>
    <cellStyle name="60% - Accent6 2 3" xfId="415" xr:uid="{A3F2CBBD-5F3F-4546-958C-B20BFFCB7683}"/>
    <cellStyle name="60% - Accent6 2 4" xfId="416" xr:uid="{2A8B94C9-54BC-4F16-B869-5490AD790256}"/>
    <cellStyle name="60% - Accent6 2 5" xfId="417" xr:uid="{70379EDC-DE57-4485-8F9D-41B93D590B45}"/>
    <cellStyle name="60% - Accent6 2 6" xfId="418" xr:uid="{2A6F712D-6355-4087-A9EF-35B3A0AE02D3}"/>
    <cellStyle name="60% - Accent6 2 7" xfId="419" xr:uid="{B8D74AF9-9618-4862-9C93-62888D296923}"/>
    <cellStyle name="60% - Accent6 2 8" xfId="420" xr:uid="{F700B43A-83BC-4CD6-A004-7D7A0BDBE722}"/>
    <cellStyle name="60% - Accent6 2 9" xfId="421" xr:uid="{2BEFB826-BCE2-4887-AD35-A0E7DB877C2D}"/>
    <cellStyle name="60% - Accent6 3" xfId="422" xr:uid="{C71C9FF3-8D7B-4BF8-9144-16B5836FFA64}"/>
    <cellStyle name="60% - Accent6 3 2" xfId="423" xr:uid="{A2CDF193-6374-4809-A241-CC46F82E0315}"/>
    <cellStyle name="60% - Accent6 4" xfId="424" xr:uid="{B8428EEA-E22D-4A0C-B798-4403CC21A4F0}"/>
    <cellStyle name="60% - Accent6 5" xfId="405" xr:uid="{54522373-F76C-4837-94EF-7CFBD880086B}"/>
    <cellStyle name="Accent1 2" xfId="426" xr:uid="{7ABDC29A-6751-41ED-BAF0-051E65BE1967}"/>
    <cellStyle name="Accent1 2 10" xfId="427" xr:uid="{9D54A64C-276F-4030-A023-E5A1E2935BB4}"/>
    <cellStyle name="Accent1 2 11" xfId="428" xr:uid="{749CEBE4-5C18-4FDA-9EAE-FD07211C9F10}"/>
    <cellStyle name="Accent1 2 12" xfId="429" xr:uid="{417A438D-AE1A-4B88-99F3-609DFE8693F0}"/>
    <cellStyle name="Accent1 2 13" xfId="430" xr:uid="{4332942A-D47B-40CF-98EE-FA0A54E2A312}"/>
    <cellStyle name="Accent1 2 14" xfId="431" xr:uid="{7EA610C7-050E-47C4-AE02-ADEEB0451174}"/>
    <cellStyle name="Accent1 2 15" xfId="432" xr:uid="{AB159E74-A112-4854-B6B7-3511E7B687F3}"/>
    <cellStyle name="Accent1 2 2" xfId="433" xr:uid="{46CD5BDA-3A9A-49B7-B9F0-D64AC13448EF}"/>
    <cellStyle name="Accent1 2 2 2" xfId="434" xr:uid="{DC409F46-B449-4A8E-AB48-50F8C227504F}"/>
    <cellStyle name="Accent1 2 3" xfId="435" xr:uid="{FD622969-24AB-46B2-BD49-65DFE2B70D03}"/>
    <cellStyle name="Accent1 2 4" xfId="436" xr:uid="{A2678B7B-C1E2-42C9-9601-3B0075389343}"/>
    <cellStyle name="Accent1 2 5" xfId="437" xr:uid="{31405B2B-0C9C-4A44-97CA-9CF4F948C989}"/>
    <cellStyle name="Accent1 2 6" xfId="438" xr:uid="{6AE4922A-C8EC-4671-BB7C-AE95ADD0062C}"/>
    <cellStyle name="Accent1 2 7" xfId="439" xr:uid="{6B4BA4F1-7F61-474E-AF42-1800B84C7ECF}"/>
    <cellStyle name="Accent1 2 8" xfId="440" xr:uid="{8B26FBCD-875A-4BA3-8608-197153FDDC50}"/>
    <cellStyle name="Accent1 2 9" xfId="441" xr:uid="{6EE27538-54A6-485A-ACD7-29B42E8B8838}"/>
    <cellStyle name="Accent1 3" xfId="442" xr:uid="{D7200860-BDC0-4863-89B0-CC1DF1A55687}"/>
    <cellStyle name="Accent1 3 2" xfId="443" xr:uid="{37FD7C3A-C84C-457E-A8AC-713ECE21941E}"/>
    <cellStyle name="Accent1 4" xfId="444" xr:uid="{EA70AE30-6AC7-4A37-AFDF-EE37485F2058}"/>
    <cellStyle name="Accent1 5" xfId="425" xr:uid="{23BE210B-C24E-4F52-B8A3-8EFE430123D6}"/>
    <cellStyle name="Accent2 2" xfId="446" xr:uid="{E52D3380-6DCE-4EC4-83FF-3C8E272419A8}"/>
    <cellStyle name="Accent2 2 10" xfId="447" xr:uid="{F59E17AF-F0B7-4D27-AF96-F9B6546A3875}"/>
    <cellStyle name="Accent2 2 11" xfId="448" xr:uid="{A35E0CE6-0448-4CC0-A7FD-A4601A366E9E}"/>
    <cellStyle name="Accent2 2 12" xfId="449" xr:uid="{5C362EB3-27DD-4A20-9783-5A3061205E22}"/>
    <cellStyle name="Accent2 2 13" xfId="450" xr:uid="{181A01F5-0102-4522-8EA0-87B6BC4B73D9}"/>
    <cellStyle name="Accent2 2 14" xfId="451" xr:uid="{2660D54F-3E4F-43A0-B191-3ACBC3F5ADDC}"/>
    <cellStyle name="Accent2 2 15" xfId="452" xr:uid="{0BB1ADC5-2512-4E13-881A-B6AEEB6D2BBA}"/>
    <cellStyle name="Accent2 2 2" xfId="453" xr:uid="{55ED3B29-2FCE-4160-8052-63331B249072}"/>
    <cellStyle name="Accent2 2 2 2" xfId="454" xr:uid="{67EAC536-BA4D-4CCA-B25F-8E7A3337C3AE}"/>
    <cellStyle name="Accent2 2 3" xfId="455" xr:uid="{799AD96F-5736-43CF-A598-C047874DBFCB}"/>
    <cellStyle name="Accent2 2 4" xfId="456" xr:uid="{742313CA-1741-41F7-B405-1D0F903A7A6B}"/>
    <cellStyle name="Accent2 2 5" xfId="457" xr:uid="{598A7EA5-9B70-44EE-A184-288012201CA5}"/>
    <cellStyle name="Accent2 2 6" xfId="458" xr:uid="{5A0B74C2-3EE2-4093-BE6D-EF16E440397B}"/>
    <cellStyle name="Accent2 2 7" xfId="459" xr:uid="{102E82FA-350F-4AB8-81AD-9D48333444A5}"/>
    <cellStyle name="Accent2 2 8" xfId="460" xr:uid="{26A9BD91-075E-4932-BB79-FA7766D5138B}"/>
    <cellStyle name="Accent2 2 9" xfId="461" xr:uid="{67B32525-EA33-4991-8EFE-D2FD6305B632}"/>
    <cellStyle name="Accent2 3" xfId="462" xr:uid="{40A9642F-FA2E-4058-BE00-5E5DB9F63A16}"/>
    <cellStyle name="Accent2 3 2" xfId="463" xr:uid="{206F6EE9-B42B-418F-A17C-E38A6CA7DE4B}"/>
    <cellStyle name="Accent2 4" xfId="464" xr:uid="{FBD24A77-120B-45DC-8897-50A41EE69A93}"/>
    <cellStyle name="Accent2 5" xfId="445" xr:uid="{622BB32C-8E1D-4C9D-B4D2-5A1569D97B8F}"/>
    <cellStyle name="Accent3 2" xfId="466" xr:uid="{7050ECEE-A3B7-4D76-9A8D-3C3D54BE2513}"/>
    <cellStyle name="Accent3 2 10" xfId="467" xr:uid="{F94E3106-E28D-4BBE-9BA9-3E29E7DA8E62}"/>
    <cellStyle name="Accent3 2 11" xfId="468" xr:uid="{7BD91E1E-24D6-4FB9-8D7F-D2E3BC76D53C}"/>
    <cellStyle name="Accent3 2 12" xfId="469" xr:uid="{EADA72F6-254D-4F12-ABF6-50D9D5968994}"/>
    <cellStyle name="Accent3 2 13" xfId="470" xr:uid="{222ADC3F-4A97-40DC-8A4A-D9094ED638B0}"/>
    <cellStyle name="Accent3 2 14" xfId="471" xr:uid="{3348DF7C-60E9-4E60-9D50-F4837C74D17A}"/>
    <cellStyle name="Accent3 2 15" xfId="472" xr:uid="{F71A229C-462B-4DB3-A023-FA480A314688}"/>
    <cellStyle name="Accent3 2 2" xfId="473" xr:uid="{532D37FE-40F9-4BEE-B66E-508BA60CFA3B}"/>
    <cellStyle name="Accent3 2 2 2" xfId="474" xr:uid="{E645EBB7-3E03-4A69-A1E5-82DA55429BEC}"/>
    <cellStyle name="Accent3 2 3" xfId="475" xr:uid="{13A854A2-6F42-404C-B68A-784927618279}"/>
    <cellStyle name="Accent3 2 4" xfId="476" xr:uid="{54AD9D8A-C3CA-4447-8DC2-5E31C865C35D}"/>
    <cellStyle name="Accent3 2 5" xfId="477" xr:uid="{2FFA2AAF-92A6-4520-9392-250046BAC9C4}"/>
    <cellStyle name="Accent3 2 6" xfId="478" xr:uid="{25D3032A-373B-48B1-9946-C37CB5FA3B22}"/>
    <cellStyle name="Accent3 2 7" xfId="479" xr:uid="{36EC97A9-3210-4173-98A4-93048EFA6637}"/>
    <cellStyle name="Accent3 2 8" xfId="480" xr:uid="{6395CB3D-059F-452F-8CC2-D164B587A9E6}"/>
    <cellStyle name="Accent3 2 9" xfId="481" xr:uid="{D859922C-FA33-4E27-BE55-1A6BC8F497A1}"/>
    <cellStyle name="Accent3 3" xfId="482" xr:uid="{B78F0B9C-70DE-46BB-B8C8-A8CDB2AFEF6C}"/>
    <cellStyle name="Accent3 3 2" xfId="483" xr:uid="{8C548F13-CABC-426A-AB4D-69FFFEB5DDCC}"/>
    <cellStyle name="Accent3 4" xfId="484" xr:uid="{E324A8F0-276F-4C08-8417-BF1F1FACBF1B}"/>
    <cellStyle name="Accent3 5" xfId="465" xr:uid="{788B2EAB-2741-42ED-BB9E-C3DFB237E56A}"/>
    <cellStyle name="Accent4 2" xfId="486" xr:uid="{A030B033-1F6E-4F65-96B0-F9A1922C9365}"/>
    <cellStyle name="Accent4 2 10" xfId="487" xr:uid="{F8EDC0AF-0434-4A23-87AB-1EAFA71541AE}"/>
    <cellStyle name="Accent4 2 11" xfId="488" xr:uid="{1C811362-F25E-426A-812B-30F1944AA848}"/>
    <cellStyle name="Accent4 2 12" xfId="489" xr:uid="{8F2BFAE9-E986-4220-A4DF-BB080560ABC5}"/>
    <cellStyle name="Accent4 2 13" xfId="490" xr:uid="{03CC8A56-F7F3-4C55-B303-D6540A45875E}"/>
    <cellStyle name="Accent4 2 14" xfId="491" xr:uid="{610A3944-1D2F-4705-99C6-6C2C520AC99B}"/>
    <cellStyle name="Accent4 2 15" xfId="492" xr:uid="{19ED395C-67E6-4A13-AAF1-B22C9D1ED657}"/>
    <cellStyle name="Accent4 2 2" xfId="493" xr:uid="{72B6FA30-1CF4-4332-B8A7-376541D8D659}"/>
    <cellStyle name="Accent4 2 2 2" xfId="494" xr:uid="{79A6D977-06C8-40E5-87F3-4F0447B9B458}"/>
    <cellStyle name="Accent4 2 3" xfId="495" xr:uid="{481D0A4E-20D4-45AE-90A0-E2272ED67985}"/>
    <cellStyle name="Accent4 2 4" xfId="496" xr:uid="{D9102845-73DE-4F69-8288-5424BCA71B33}"/>
    <cellStyle name="Accent4 2 5" xfId="497" xr:uid="{3217E6B0-0EB5-41DD-A893-CC93DF1AA31F}"/>
    <cellStyle name="Accent4 2 6" xfId="498" xr:uid="{2BB1B6A9-E961-4C2F-9731-21BF8260709A}"/>
    <cellStyle name="Accent4 2 7" xfId="499" xr:uid="{F6444EF7-5219-460A-938C-528B08F45563}"/>
    <cellStyle name="Accent4 2 8" xfId="500" xr:uid="{AA074CBE-A649-472C-B049-99AD674C6725}"/>
    <cellStyle name="Accent4 2 9" xfId="501" xr:uid="{DB5211BA-86CA-4422-BADA-386A315E1681}"/>
    <cellStyle name="Accent4 3" xfId="502" xr:uid="{8A69BE2D-B159-4A2F-85AA-39A02F1934AE}"/>
    <cellStyle name="Accent4 3 2" xfId="503" xr:uid="{94D2F495-299E-49B4-9593-16AA60AA1B8D}"/>
    <cellStyle name="Accent4 4" xfId="504" xr:uid="{2840782E-B2D6-47BC-9C73-98BA49B841D6}"/>
    <cellStyle name="Accent4 5" xfId="485" xr:uid="{B259C884-C31B-4EDF-A99F-F820AAFF0728}"/>
    <cellStyle name="Accent5 2" xfId="506" xr:uid="{1DC3B79A-E9D0-4AEF-A2EF-486C1B85CB8F}"/>
    <cellStyle name="Accent5 2 10" xfId="507" xr:uid="{DCE90207-7475-44B9-B700-CB9BA857E52F}"/>
    <cellStyle name="Accent5 2 11" xfId="508" xr:uid="{BFF093D6-2E1F-4032-9D18-0719CD37EF4F}"/>
    <cellStyle name="Accent5 2 12" xfId="509" xr:uid="{92E6042F-DE49-4870-A4A5-8036A46D1FDF}"/>
    <cellStyle name="Accent5 2 13" xfId="510" xr:uid="{E4DAB224-F93F-4AC0-84F4-F9DC45BA638B}"/>
    <cellStyle name="Accent5 2 14" xfId="511" xr:uid="{BD48B59E-6AEC-47BC-8CC4-31C33ABD4BF9}"/>
    <cellStyle name="Accent5 2 15" xfId="512" xr:uid="{F2521047-1976-4421-9FB2-D1E245D3BB2D}"/>
    <cellStyle name="Accent5 2 2" xfId="513" xr:uid="{11E5C210-9A1B-46B8-A1CA-92AD5F59BAA3}"/>
    <cellStyle name="Accent5 2 2 2" xfId="514" xr:uid="{95C5889D-C7E3-48FA-9806-1096C570276F}"/>
    <cellStyle name="Accent5 2 3" xfId="515" xr:uid="{2EEE3833-5524-44DC-9070-399669BC5EFD}"/>
    <cellStyle name="Accent5 2 4" xfId="516" xr:uid="{E22EE5CE-192C-4758-8320-57EAE8CCFEF1}"/>
    <cellStyle name="Accent5 2 5" xfId="517" xr:uid="{2FFB675A-3DD0-45B5-B857-016F2F44873A}"/>
    <cellStyle name="Accent5 2 6" xfId="518" xr:uid="{D7E8F53A-887C-41FB-8C40-8728C6A1A345}"/>
    <cellStyle name="Accent5 2 7" xfId="519" xr:uid="{7ABC6CE8-889D-41B0-B5C5-956895DE2164}"/>
    <cellStyle name="Accent5 2 8" xfId="520" xr:uid="{1128AD63-83DF-4FC8-820D-0F423C860003}"/>
    <cellStyle name="Accent5 2 9" xfId="521" xr:uid="{0986CA57-4C8A-4772-AE57-0EAC4F864C6A}"/>
    <cellStyle name="Accent5 3" xfId="522" xr:uid="{A5817909-7414-4926-98D8-EA5BECAC0BE6}"/>
    <cellStyle name="Accent5 3 2" xfId="523" xr:uid="{B70586AA-B0C6-4826-B83B-041C4A8D44AD}"/>
    <cellStyle name="Accent5 4" xfId="524" xr:uid="{8788BDD4-A24E-4040-8A0D-63516F52DC02}"/>
    <cellStyle name="Accent5 5" xfId="505" xr:uid="{DE7D29CE-2DA5-4662-87AB-1822C900D35C}"/>
    <cellStyle name="Accent6 2" xfId="526" xr:uid="{B3DAFDFC-5665-4EBF-A066-16BECCF12F5D}"/>
    <cellStyle name="Accent6 2 10" xfId="527" xr:uid="{2FAF640B-002D-4E46-9270-98BB9A6D5BF6}"/>
    <cellStyle name="Accent6 2 11" xfId="528" xr:uid="{EF41B051-CD89-4FD1-9700-9BE640083C17}"/>
    <cellStyle name="Accent6 2 12" xfId="529" xr:uid="{3A6373D2-B905-453E-AED1-0DE532103D56}"/>
    <cellStyle name="Accent6 2 13" xfId="530" xr:uid="{F8B47357-7E24-444F-98FD-B8EEC41B2283}"/>
    <cellStyle name="Accent6 2 14" xfId="531" xr:uid="{8FE2AC33-C165-44CD-85D3-95571900D73E}"/>
    <cellStyle name="Accent6 2 15" xfId="532" xr:uid="{27487FBF-274C-4E6F-968F-E09A87D837E0}"/>
    <cellStyle name="Accent6 2 2" xfId="533" xr:uid="{F76404FB-7191-4817-8625-EDCE616A7EF1}"/>
    <cellStyle name="Accent6 2 2 2" xfId="534" xr:uid="{FCC517AF-832A-4A6B-961A-97B24BDB7B1A}"/>
    <cellStyle name="Accent6 2 3" xfId="535" xr:uid="{4CEC5BA7-C23F-493C-A7C7-7C48BF6CFAD5}"/>
    <cellStyle name="Accent6 2 4" xfId="536" xr:uid="{6AEBD2B0-F130-43D1-B5FE-F241692A4A0F}"/>
    <cellStyle name="Accent6 2 5" xfId="537" xr:uid="{A99CE80C-4241-4E0A-B04C-9EC30A0DD39A}"/>
    <cellStyle name="Accent6 2 6" xfId="538" xr:uid="{6EC903B9-AF98-43A4-AE13-2C5A67DF0F74}"/>
    <cellStyle name="Accent6 2 7" xfId="539" xr:uid="{98560190-776B-45CC-9E9E-095CB230E254}"/>
    <cellStyle name="Accent6 2 8" xfId="540" xr:uid="{21A14838-202A-4839-A1CE-A530940F0AD8}"/>
    <cellStyle name="Accent6 2 9" xfId="541" xr:uid="{66AF4AAC-1329-443F-ACAF-5CC2545ECD30}"/>
    <cellStyle name="Accent6 3" xfId="542" xr:uid="{980C9E38-0281-43BD-8970-ACAF0717F21A}"/>
    <cellStyle name="Accent6 3 2" xfId="543" xr:uid="{0725FA5A-93B6-4D16-B20D-A8B7182C506E}"/>
    <cellStyle name="Accent6 4" xfId="544" xr:uid="{DC7BA5EE-8D78-43FD-83EB-10ED8FEE7AA8}"/>
    <cellStyle name="Accent6 5" xfId="525" xr:uid="{C30AF689-6068-4007-B838-4E2FDE6F37B0}"/>
    <cellStyle name="Bad 2" xfId="546" xr:uid="{85FB0740-1546-4529-9374-465F54695A03}"/>
    <cellStyle name="Bad 2 10" xfId="547" xr:uid="{35B8B125-E6C8-4305-B5A0-7AE5005F7867}"/>
    <cellStyle name="Bad 2 11" xfId="548" xr:uid="{190850B2-7D36-443F-93FC-B67B12E17819}"/>
    <cellStyle name="Bad 2 12" xfId="549" xr:uid="{FCCADBA4-372C-49D5-A3E5-A5005C45C36D}"/>
    <cellStyle name="Bad 2 13" xfId="550" xr:uid="{CBE0AB14-F865-4186-A918-93549327D310}"/>
    <cellStyle name="Bad 2 14" xfId="551" xr:uid="{A4B61093-EA2D-4708-BA04-3CDB10AB3D0D}"/>
    <cellStyle name="Bad 2 15" xfId="552" xr:uid="{BA8B52EE-39C0-4870-A86C-DAA5FC39C052}"/>
    <cellStyle name="Bad 2 2" xfId="553" xr:uid="{C4427D26-8ABC-46FE-ACD1-1C042F8AF72E}"/>
    <cellStyle name="Bad 2 2 2" xfId="554" xr:uid="{EFD1F1AB-B201-4BDE-86DF-FEA4783773F7}"/>
    <cellStyle name="Bad 2 3" xfId="555" xr:uid="{7B9C9AA6-FD1C-4265-A58A-E0B854D82F5E}"/>
    <cellStyle name="Bad 2 4" xfId="556" xr:uid="{A6442E8E-06D7-46D0-AB54-8C460FF539B5}"/>
    <cellStyle name="Bad 2 5" xfId="557" xr:uid="{81A990CE-F23C-4D8C-9661-E4E3EEBCC031}"/>
    <cellStyle name="Bad 2 6" xfId="558" xr:uid="{F0C86DA8-A172-4B27-AC39-3E2303645F3B}"/>
    <cellStyle name="Bad 2 7" xfId="559" xr:uid="{BD307983-A992-4942-94AE-BEA78C96884F}"/>
    <cellStyle name="Bad 2 8" xfId="560" xr:uid="{B6F03590-1F8F-4B73-9BA7-981BBB2464EE}"/>
    <cellStyle name="Bad 2 9" xfId="561" xr:uid="{7E1375E5-6A3D-4A5B-828A-A1B77D6335E8}"/>
    <cellStyle name="Bad 3" xfId="562" xr:uid="{3054E4BA-1E90-4AC8-B9AF-390975D2C1DF}"/>
    <cellStyle name="Bad 3 2" xfId="563" xr:uid="{ED9C75A0-EB4B-4455-BF6B-A034A39A664E}"/>
    <cellStyle name="Bad 4" xfId="564" xr:uid="{3356DC9A-5180-4B4B-A92C-77925C69213F}"/>
    <cellStyle name="Bad 5" xfId="545" xr:uid="{3F2036EC-6704-4A9F-8008-CCACF3595526}"/>
    <cellStyle name="Calc Currency (0)" xfId="565" xr:uid="{833C1B19-FF06-4F99-B72A-E679A42E49FD}"/>
    <cellStyle name="Calculation 2" xfId="567" xr:uid="{7F6C0006-C2E0-4DB3-A41B-9197BB5F9E0A}"/>
    <cellStyle name="Calculation 2 10" xfId="568" xr:uid="{AD5033E9-71D9-4454-AD59-0D84EEA3255B}"/>
    <cellStyle name="Calculation 2 11" xfId="569" xr:uid="{5CA35CB6-A9FE-4EC9-9AC0-CC09A208D4D0}"/>
    <cellStyle name="Calculation 2 12" xfId="570" xr:uid="{E98FFC26-0151-48E8-8487-AECC65B81458}"/>
    <cellStyle name="Calculation 2 13" xfId="571" xr:uid="{CBD05BDD-7281-4AEA-95DA-48D429D08DFE}"/>
    <cellStyle name="Calculation 2 14" xfId="572" xr:uid="{005FF8E2-D2A7-458F-9545-737F3539F181}"/>
    <cellStyle name="Calculation 2 15" xfId="573" xr:uid="{6C6B3644-0D30-450A-8716-48DB3D555E45}"/>
    <cellStyle name="Calculation 2 2" xfId="574" xr:uid="{A3F06340-5783-4E79-A4D3-AC8DF31333D2}"/>
    <cellStyle name="Calculation 2 2 2" xfId="575" xr:uid="{4F9FE72A-59B2-49C8-A015-DFDA13E326BD}"/>
    <cellStyle name="Calculation 2 3" xfId="576" xr:uid="{9FBAFA38-4579-4C7B-B92C-B3EAA0531777}"/>
    <cellStyle name="Calculation 2 4" xfId="577" xr:uid="{16E6C1CC-0AF0-4EAF-B179-1A917C4FFB0F}"/>
    <cellStyle name="Calculation 2 5" xfId="578" xr:uid="{AD3F3FA5-A792-4030-A698-623D8983A7CE}"/>
    <cellStyle name="Calculation 2 6" xfId="579" xr:uid="{11C0362F-FD95-44CD-9C33-22E6901C7B59}"/>
    <cellStyle name="Calculation 2 7" xfId="580" xr:uid="{0BBD43A4-827F-481F-B52E-D9D45BFB07A7}"/>
    <cellStyle name="Calculation 2 8" xfId="581" xr:uid="{C8DDBF3D-F697-41B5-BAB8-87237704EE6B}"/>
    <cellStyle name="Calculation 2 9" xfId="582" xr:uid="{431D335A-CEB1-44C4-9471-B54D4F465C00}"/>
    <cellStyle name="Calculation 3" xfId="583" xr:uid="{76EEA878-956C-487E-902E-4C3ABEAB4D83}"/>
    <cellStyle name="Calculation 3 2" xfId="584" xr:uid="{9A78F0B9-A1DD-49E9-A939-583744BFE6BD}"/>
    <cellStyle name="Calculation 4" xfId="585" xr:uid="{7DAB57EC-117C-4ECF-8DE5-410C5ED25648}"/>
    <cellStyle name="Calculation 5" xfId="566" xr:uid="{51C09D95-A175-4294-A0A7-5FAB5D10F4C4}"/>
    <cellStyle name="Check Cell 2" xfId="587" xr:uid="{C7069395-D13D-427E-A0CF-132E649734C7}"/>
    <cellStyle name="Check Cell 2 10" xfId="588" xr:uid="{9A9C9CB7-0E32-4E10-92BA-FBCA1AEDFF32}"/>
    <cellStyle name="Check Cell 2 11" xfId="589" xr:uid="{52758A0F-60BD-4AFF-AAD8-F905B2AA26AF}"/>
    <cellStyle name="Check Cell 2 12" xfId="590" xr:uid="{121C394C-8EAA-448F-8B4C-0C67071B629B}"/>
    <cellStyle name="Check Cell 2 13" xfId="591" xr:uid="{E2BF373D-9CDD-4FFA-873A-3059DD916049}"/>
    <cellStyle name="Check Cell 2 14" xfId="592" xr:uid="{9ADE3984-336D-4DEB-8EED-955675F872B2}"/>
    <cellStyle name="Check Cell 2 15" xfId="593" xr:uid="{164E665B-3F54-4ABC-BEF0-4D9DE67868CF}"/>
    <cellStyle name="Check Cell 2 2" xfId="594" xr:uid="{5C2DB503-4360-4512-8BAE-74AF46A4E1F8}"/>
    <cellStyle name="Check Cell 2 2 2" xfId="595" xr:uid="{B86EEA78-A818-4B55-8D3F-34CDB8755FD1}"/>
    <cellStyle name="Check Cell 2 3" xfId="596" xr:uid="{B1BE5670-654C-4560-A947-FDBEAE0E28C9}"/>
    <cellStyle name="Check Cell 2 4" xfId="597" xr:uid="{25C30A15-6E4B-4AC0-8F4A-0D02CBF7AFDB}"/>
    <cellStyle name="Check Cell 2 5" xfId="598" xr:uid="{4FF7AD9B-76E9-4E82-BBE3-01998415FC36}"/>
    <cellStyle name="Check Cell 2 6" xfId="599" xr:uid="{179DC0D7-D8A9-4224-896F-044AD070F64D}"/>
    <cellStyle name="Check Cell 2 7" xfId="600" xr:uid="{50CBFC3A-6126-424E-88F3-B64D136595AF}"/>
    <cellStyle name="Check Cell 2 8" xfId="601" xr:uid="{290D3FB5-27D1-40A4-8393-CB7E25B92EFD}"/>
    <cellStyle name="Check Cell 2 9" xfId="602" xr:uid="{9CD6BDEF-8472-4722-92D4-645D2CA0F5E4}"/>
    <cellStyle name="Check Cell 3" xfId="603" xr:uid="{004BBBA2-C18E-4235-BDBB-8D58B44D367C}"/>
    <cellStyle name="Check Cell 3 2" xfId="604" xr:uid="{47DE75AE-52BD-4160-AAF1-0BCFB2536AE2}"/>
    <cellStyle name="Check Cell 4" xfId="605" xr:uid="{D1EC435A-7548-461F-8B7F-1FE5F6FF29DC}"/>
    <cellStyle name="Check Cell 5" xfId="586" xr:uid="{5E872F6A-FE25-476C-9612-2870691236E4}"/>
    <cellStyle name="Comma" xfId="1" builtinId="3"/>
    <cellStyle name="Comma 10" xfId="607" xr:uid="{B9C47068-6133-4AB1-B95A-C83F21BFC5E5}"/>
    <cellStyle name="Comma 10 10" xfId="608" xr:uid="{F5A6836D-3E61-46CF-B84A-7B54A2ED1C98}"/>
    <cellStyle name="Comma 10 10 2" xfId="2048" xr:uid="{92B6DD62-31DB-4F86-BF30-777BEF6A2FF1}"/>
    <cellStyle name="Comma 10 10 2 2" xfId="2810" xr:uid="{CDB177DC-4B9D-4A99-856F-C02358000D7F}"/>
    <cellStyle name="Comma 10 10 3" xfId="2437" xr:uid="{D5E5C515-5FC0-4E54-8F35-2252CD32716C}"/>
    <cellStyle name="Comma 10 11" xfId="609" xr:uid="{C2AD5EAE-80B3-4375-9E35-79FE85B4FBEC}"/>
    <cellStyle name="Comma 10 11 2" xfId="2049" xr:uid="{B0CF88DC-47A5-4C3D-8E60-38EFCA2A5EF8}"/>
    <cellStyle name="Comma 10 11 2 2" xfId="2811" xr:uid="{0C7AC287-F91A-436B-9DEB-0DB2B686F0D8}"/>
    <cellStyle name="Comma 10 11 3" xfId="2438" xr:uid="{FB7ED63D-FD3F-42B4-A7C4-39BB499053DA}"/>
    <cellStyle name="Comma 10 12" xfId="610" xr:uid="{65CEBFE8-68A4-426A-BC87-0E21FF310A26}"/>
    <cellStyle name="Comma 10 12 2" xfId="2050" xr:uid="{5C5B8C38-7F39-45C8-912B-7B791BB7877B}"/>
    <cellStyle name="Comma 10 12 2 2" xfId="2812" xr:uid="{208C2EE8-539C-4EB7-833D-E48744D171EF}"/>
    <cellStyle name="Comma 10 12 3" xfId="2439" xr:uid="{F06F8F23-2CB9-417C-915F-8BEF9A35C7E2}"/>
    <cellStyle name="Comma 10 13" xfId="611" xr:uid="{C3E39EA2-ADD4-4FBF-AE5F-18166100FD62}"/>
    <cellStyle name="Comma 10 13 2" xfId="2051" xr:uid="{1891DF2F-C4A6-41B3-A3D1-D41506AB53ED}"/>
    <cellStyle name="Comma 10 13 2 2" xfId="2813" xr:uid="{9E7DB36D-D89A-4F38-9943-258CD166EB4A}"/>
    <cellStyle name="Comma 10 13 3" xfId="2440" xr:uid="{FBA392B1-0529-4E55-806F-B74773B3C716}"/>
    <cellStyle name="Comma 10 14" xfId="612" xr:uid="{1A975CD6-96C2-4E65-8487-7FDD3604CED3}"/>
    <cellStyle name="Comma 10 14 2" xfId="2052" xr:uid="{73131AB3-92D6-4647-9AA5-49044516EF77}"/>
    <cellStyle name="Comma 10 14 2 2" xfId="2814" xr:uid="{DBA969D8-4C8B-409C-BE6E-29B6E6E5A160}"/>
    <cellStyle name="Comma 10 14 3" xfId="2441" xr:uid="{C02E80DC-EFE0-41EB-942A-9033852B3CCA}"/>
    <cellStyle name="Comma 10 15" xfId="613" xr:uid="{C00E7589-D1F8-4982-999E-2617B29C5C01}"/>
    <cellStyle name="Comma 10 15 2" xfId="2053" xr:uid="{FC04FF8C-9DF4-4680-B7B7-188460669FEC}"/>
    <cellStyle name="Comma 10 15 2 2" xfId="2815" xr:uid="{D7005390-AB50-4F62-8198-29299F3D644D}"/>
    <cellStyle name="Comma 10 15 3" xfId="2442" xr:uid="{97B05ED5-548D-4C96-A058-A6EC3ED0855D}"/>
    <cellStyle name="Comma 10 16" xfId="614" xr:uid="{372DB504-C316-4455-B0CD-F8C31A510D90}"/>
    <cellStyle name="Comma 10 16 2" xfId="2054" xr:uid="{B0EF0D95-59F5-45E6-9DCC-B820D4D577F1}"/>
    <cellStyle name="Comma 10 16 2 2" xfId="2816" xr:uid="{D8936381-74F6-4DBB-A486-CFD6A01ACFC7}"/>
    <cellStyle name="Comma 10 16 3" xfId="2443" xr:uid="{1D09E16C-FCE6-4BC8-80EA-8E9BD191A06D}"/>
    <cellStyle name="Comma 10 17" xfId="615" xr:uid="{E8EAA0C8-D70E-48F6-8A36-B42D99072A68}"/>
    <cellStyle name="Comma 10 17 2" xfId="2055" xr:uid="{1A240570-5FC3-4EC4-AC14-F72D8A8E06B4}"/>
    <cellStyle name="Comma 10 17 2 2" xfId="2817" xr:uid="{63849E7D-5E73-4C09-9073-1EA6C1700102}"/>
    <cellStyle name="Comma 10 17 3" xfId="2444" xr:uid="{D7098D8D-09CC-42B9-8245-35C3586DB0B9}"/>
    <cellStyle name="Comma 10 18" xfId="616" xr:uid="{9210279B-0449-49E7-B127-0DF99547B3C4}"/>
    <cellStyle name="Comma 10 18 2" xfId="2056" xr:uid="{59406051-72CA-4846-A0E2-D4BA1AE86CB9}"/>
    <cellStyle name="Comma 10 18 2 2" xfId="2818" xr:uid="{CB0F68B0-AA3E-45E5-8783-2015039A78DB}"/>
    <cellStyle name="Comma 10 18 3" xfId="2445" xr:uid="{AC6760CE-15CD-4472-AB41-580828F533D5}"/>
    <cellStyle name="Comma 10 19" xfId="617" xr:uid="{38927685-271D-4DCA-96A7-7FFE213BAB54}"/>
    <cellStyle name="Comma 10 19 2" xfId="2057" xr:uid="{3F47346C-7A57-4C79-9177-3186DB7CBCB3}"/>
    <cellStyle name="Comma 10 19 2 2" xfId="2819" xr:uid="{EF576995-2FFD-41EA-A3A3-41B4740B3D5E}"/>
    <cellStyle name="Comma 10 19 3" xfId="2446" xr:uid="{C6B0DC01-F447-455B-8665-B23589D427E3}"/>
    <cellStyle name="Comma 10 2" xfId="618" xr:uid="{6A342843-3903-4FCA-AEF1-44CE03B663B9}"/>
    <cellStyle name="Comma 10 2 2" xfId="2058" xr:uid="{54E245C2-EC5B-4227-91EC-231941D2E887}"/>
    <cellStyle name="Comma 10 2 2 2" xfId="2820" xr:uid="{0156CA62-20A8-4C58-A82A-56A4CF276B87}"/>
    <cellStyle name="Comma 10 2 3" xfId="2447" xr:uid="{9A464B8C-2AA4-4004-B6B6-C3368E4D2481}"/>
    <cellStyle name="Comma 10 20" xfId="619" xr:uid="{B7AE4DFE-A965-4244-ABF3-6F1B53F26DC6}"/>
    <cellStyle name="Comma 10 20 2" xfId="2059" xr:uid="{71BB5535-BC11-40B0-B145-6004B00A38AF}"/>
    <cellStyle name="Comma 10 20 2 2" xfId="2821" xr:uid="{3D0E209F-66C5-4A99-A9C4-57EB3510A322}"/>
    <cellStyle name="Comma 10 20 3" xfId="2448" xr:uid="{DBBB2F6D-07C6-4991-9443-3B110CA209D4}"/>
    <cellStyle name="Comma 10 21" xfId="620" xr:uid="{3B1423E9-DE7A-4A3F-9ED5-19068C411D90}"/>
    <cellStyle name="Comma 10 21 2" xfId="2060" xr:uid="{CCECFF1E-711E-40C5-9290-44735EE1C816}"/>
    <cellStyle name="Comma 10 21 2 2" xfId="2822" xr:uid="{162DE989-4070-4FD8-AA46-B6236303E2C2}"/>
    <cellStyle name="Comma 10 21 3" xfId="2449" xr:uid="{B483B3FB-39B3-4B9E-B4FD-3D9AEFB50C2D}"/>
    <cellStyle name="Comma 10 22" xfId="621" xr:uid="{D4D4203B-9902-4C4B-BF9E-8EE5189B5C4E}"/>
    <cellStyle name="Comma 10 22 2" xfId="2061" xr:uid="{5DD36FB3-3559-4CF4-A352-9DF922DFBC51}"/>
    <cellStyle name="Comma 10 22 2 2" xfId="2823" xr:uid="{DEFC17BE-9C62-453B-961D-B949399A72CF}"/>
    <cellStyle name="Comma 10 22 3" xfId="2450" xr:uid="{A6DEA145-3158-40C4-8B0A-D45F3B8E30B2}"/>
    <cellStyle name="Comma 10 3" xfId="622" xr:uid="{B6448C52-7B7D-4DFF-AC69-DAB814E967FC}"/>
    <cellStyle name="Comma 10 3 2" xfId="2062" xr:uid="{19CF9CCF-1255-4989-9CF1-FF64B64EB6C7}"/>
    <cellStyle name="Comma 10 3 2 2" xfId="2824" xr:uid="{3F6B48F3-EC02-41B2-99F8-FD2065C84189}"/>
    <cellStyle name="Comma 10 3 3" xfId="2451" xr:uid="{17813000-0CC6-488C-85C2-C43F429F056E}"/>
    <cellStyle name="Comma 10 4" xfId="623" xr:uid="{1D7201F6-1B1E-48B6-8BD6-737FEF7EA15B}"/>
    <cellStyle name="Comma 10 4 2" xfId="2063" xr:uid="{7A079912-3C2C-4429-B91F-EA2A8C507B8D}"/>
    <cellStyle name="Comma 10 4 2 2" xfId="2825" xr:uid="{42CC47C6-4B49-4B25-BE3A-9FD49EDBDD51}"/>
    <cellStyle name="Comma 10 4 3" xfId="2452" xr:uid="{AFAE1448-711F-4F8C-9B7D-04D2FA7842B6}"/>
    <cellStyle name="Comma 10 5" xfId="624" xr:uid="{91F873C6-3D00-4F81-AEFF-2F3154F5ABB3}"/>
    <cellStyle name="Comma 10 5 2" xfId="2064" xr:uid="{A1D30DDE-5880-4060-8E78-57E941458D3C}"/>
    <cellStyle name="Comma 10 5 2 2" xfId="2826" xr:uid="{EC8967E3-3C99-4F4D-B885-484431F5B761}"/>
    <cellStyle name="Comma 10 5 3" xfId="2453" xr:uid="{EF8975DD-E504-4FD8-A634-8082A5F74991}"/>
    <cellStyle name="Comma 10 6" xfId="625" xr:uid="{0FB0FC7A-7C36-4805-A69D-C5CB91C02C33}"/>
    <cellStyle name="Comma 10 6 2" xfId="2065" xr:uid="{C4623503-CD27-4D94-B1C5-F83983170843}"/>
    <cellStyle name="Comma 10 6 2 2" xfId="2827" xr:uid="{675DB767-EC4F-42CE-B6C1-AC51C45B00CB}"/>
    <cellStyle name="Comma 10 6 3" xfId="2454" xr:uid="{5713C3E0-AD58-498A-B7D6-51504D8B600F}"/>
    <cellStyle name="Comma 10 7" xfId="626" xr:uid="{7BC6C838-8E56-4DFC-ADDE-545EE7DD235C}"/>
    <cellStyle name="Comma 10 7 2" xfId="2066" xr:uid="{DB5B170C-364B-4996-A50B-0F475A8AC4F2}"/>
    <cellStyle name="Comma 10 7 2 2" xfId="2828" xr:uid="{213D51CE-1051-47DC-8780-87E2DB75C10A}"/>
    <cellStyle name="Comma 10 7 3" xfId="2455" xr:uid="{5DCD5F36-DEF9-4195-922E-F5F9DF8F1FC6}"/>
    <cellStyle name="Comma 10 8" xfId="627" xr:uid="{3AE5D543-EDBA-4D61-BF82-2DC6191873E2}"/>
    <cellStyle name="Comma 10 8 2" xfId="2067" xr:uid="{AF506259-8DAE-4721-9D88-D50C59B1347F}"/>
    <cellStyle name="Comma 10 8 2 2" xfId="2829" xr:uid="{B9564849-AB84-48B2-AAEA-BBDCB5E54676}"/>
    <cellStyle name="Comma 10 8 3" xfId="2456" xr:uid="{75F9F586-4604-45E3-92FD-9315669137E3}"/>
    <cellStyle name="Comma 10 9" xfId="628" xr:uid="{93BEFF61-9844-4D4B-B384-219A5AEDB373}"/>
    <cellStyle name="Comma 10 9 2" xfId="2068" xr:uid="{D0C455A7-C7CF-4361-A2F5-66E4079331ED}"/>
    <cellStyle name="Comma 10 9 2 2" xfId="2830" xr:uid="{62B791C0-156B-4230-BA01-5FB570E18517}"/>
    <cellStyle name="Comma 10 9 3" xfId="2457" xr:uid="{33FA304C-365D-4ADA-BF20-AEDE74C4F28F}"/>
    <cellStyle name="Comma 11" xfId="629" xr:uid="{7965B296-D7E1-4F23-9885-212B7A41A247}"/>
    <cellStyle name="Comma 12" xfId="31" xr:uid="{4A7F774F-DBE1-464F-BFF5-59262BBF7B54}"/>
    <cellStyle name="Comma 12 2" xfId="630" xr:uid="{448532CA-85F5-449F-92C3-1E4EABF491F8}"/>
    <cellStyle name="Comma 12 2 2" xfId="2069" xr:uid="{AC948C72-0F79-4064-96B9-85C269AA840D}"/>
    <cellStyle name="Comma 12 2 2 2" xfId="2831" xr:uid="{5A4AECAA-8D26-4C8B-AA11-04779297E375}"/>
    <cellStyle name="Comma 12 2 3" xfId="2458" xr:uid="{8FE4BAD2-D9CE-4ED7-B262-382579C75587}"/>
    <cellStyle name="Comma 13" xfId="631" xr:uid="{44EB1CCF-69CE-49F7-91C4-CB8D42B507D1}"/>
    <cellStyle name="Comma 13 10" xfId="632" xr:uid="{EFA3E313-19C5-4128-A163-3670C2D4A589}"/>
    <cellStyle name="Comma 13 10 2" xfId="2070" xr:uid="{145F0E20-4E1C-4D15-9E9D-33A9A48DDDD0}"/>
    <cellStyle name="Comma 13 10 2 2" xfId="2832" xr:uid="{5E34C685-68A5-45FC-8AF3-5C2193B03717}"/>
    <cellStyle name="Comma 13 10 3" xfId="2459" xr:uid="{8F20C72E-7BAF-4155-BA9A-18D755E50E67}"/>
    <cellStyle name="Comma 13 11" xfId="633" xr:uid="{756F201E-16BA-4510-AA75-B8D8375E27AE}"/>
    <cellStyle name="Comma 13 11 2" xfId="2071" xr:uid="{3F526789-064E-49B2-9390-E3E8F3F44D51}"/>
    <cellStyle name="Comma 13 11 2 2" xfId="2833" xr:uid="{6C7EC5C6-209E-4EA7-AF0C-F4222D38F735}"/>
    <cellStyle name="Comma 13 11 3" xfId="2460" xr:uid="{116661D8-C911-4C00-ABB1-77AA3588C8E1}"/>
    <cellStyle name="Comma 13 12" xfId="634" xr:uid="{33593CC6-E008-4A2E-8A2A-AFD82CBE213A}"/>
    <cellStyle name="Comma 13 12 2" xfId="2072" xr:uid="{E4D851E8-2AAD-4890-A97F-953894899ADA}"/>
    <cellStyle name="Comma 13 12 2 2" xfId="2834" xr:uid="{A54C494B-131A-40D5-A046-971EE582F97C}"/>
    <cellStyle name="Comma 13 12 3" xfId="2461" xr:uid="{C83387D5-3308-426B-B4D7-0409FF8F1C0D}"/>
    <cellStyle name="Comma 13 13" xfId="635" xr:uid="{42338AF4-809F-484E-895D-D8D54EFECB5F}"/>
    <cellStyle name="Comma 13 13 2" xfId="2073" xr:uid="{09739B72-53F7-45AE-8076-792F8AC68357}"/>
    <cellStyle name="Comma 13 13 2 2" xfId="2835" xr:uid="{1AC30721-69E3-44C8-A071-ED998154263D}"/>
    <cellStyle name="Comma 13 13 3" xfId="2462" xr:uid="{BD3679B2-6ECF-4E87-812C-0F008C527BF1}"/>
    <cellStyle name="Comma 13 14" xfId="636" xr:uid="{909BCC3C-AE04-494C-8E81-47828ADB018F}"/>
    <cellStyle name="Comma 13 14 2" xfId="2074" xr:uid="{0BBA0CBB-FF1B-48BB-9510-37F5037C40CA}"/>
    <cellStyle name="Comma 13 14 2 2" xfId="2836" xr:uid="{620C2D25-0879-40F8-9300-AD4D850C0EB1}"/>
    <cellStyle name="Comma 13 14 3" xfId="2463" xr:uid="{040CD544-EDD2-4D2A-BD24-E9E38F94D843}"/>
    <cellStyle name="Comma 13 15" xfId="637" xr:uid="{4A1D3B11-B2CC-49D8-A4AE-3AED53DCC49D}"/>
    <cellStyle name="Comma 13 15 2" xfId="2075" xr:uid="{691EE482-2912-42D1-ACDA-16DED966C99E}"/>
    <cellStyle name="Comma 13 15 2 2" xfId="2837" xr:uid="{864CE597-9936-4E5F-A2A2-386C47D0FDEC}"/>
    <cellStyle name="Comma 13 15 3" xfId="2464" xr:uid="{7866881C-39CA-4F47-8454-34424D31245F}"/>
    <cellStyle name="Comma 13 2" xfId="638" xr:uid="{FF86AA56-47D9-47E9-97D4-97D0FAE1FB6D}"/>
    <cellStyle name="Comma 13 2 2" xfId="2076" xr:uid="{28CB41E9-8264-4C6F-BB8B-356B0AEC71C6}"/>
    <cellStyle name="Comma 13 2 2 2" xfId="2838" xr:uid="{864E37BF-50D2-41D6-BDCB-3C60EFE095AF}"/>
    <cellStyle name="Comma 13 2 3" xfId="2465" xr:uid="{6941F4D6-FAB3-450B-867B-4BD750618DC4}"/>
    <cellStyle name="Comma 13 3" xfId="639" xr:uid="{778F606B-B13C-486A-B8C0-85517F7A09D0}"/>
    <cellStyle name="Comma 13 3 2" xfId="2077" xr:uid="{D5EB535B-0368-41FF-91C6-3ADB7A9B903F}"/>
    <cellStyle name="Comma 13 3 2 2" xfId="2839" xr:uid="{ABFF90B7-D9E9-4B97-999B-A804D40AA374}"/>
    <cellStyle name="Comma 13 3 3" xfId="2466" xr:uid="{613D7F37-5854-45BF-AD52-9A60818155BD}"/>
    <cellStyle name="Comma 13 4" xfId="640" xr:uid="{0EF2480A-8EC4-4F79-A259-EBC23C83C27C}"/>
    <cellStyle name="Comma 13 4 2" xfId="2078" xr:uid="{C22F0C1E-0570-4E84-AEFA-AAC80FA7BD0A}"/>
    <cellStyle name="Comma 13 4 2 2" xfId="2840" xr:uid="{4DF108A4-7A4D-487E-A774-6E4406F27FEA}"/>
    <cellStyle name="Comma 13 4 3" xfId="2467" xr:uid="{C68FB24B-E6A3-4F05-B49D-117217561A12}"/>
    <cellStyle name="Comma 13 5" xfId="641" xr:uid="{18BF1283-FB68-4162-804C-A244CB976332}"/>
    <cellStyle name="Comma 13 5 2" xfId="2079" xr:uid="{D49F2D73-DA1E-4DDD-B01E-A70E32991C6D}"/>
    <cellStyle name="Comma 13 5 2 2" xfId="2841" xr:uid="{510B01B6-EBF7-4CE9-AA91-41FC39D7478D}"/>
    <cellStyle name="Comma 13 5 3" xfId="2468" xr:uid="{C3F4CB80-8D27-4E80-AF67-AFEF254F08EB}"/>
    <cellStyle name="Comma 13 6" xfId="642" xr:uid="{3F8B87D1-238D-48FE-8EF9-C85B2780D8C6}"/>
    <cellStyle name="Comma 13 6 2" xfId="2080" xr:uid="{CD492FA1-6FDB-430A-B4D0-C2CEC717A372}"/>
    <cellStyle name="Comma 13 6 2 2" xfId="2842" xr:uid="{6B359AFB-9E9D-4EFB-812B-B1A2D8D3261B}"/>
    <cellStyle name="Comma 13 6 3" xfId="2469" xr:uid="{9735010B-B03B-497C-AFC4-6AEC66EE67BB}"/>
    <cellStyle name="Comma 13 7" xfId="643" xr:uid="{4566CF3A-A70F-4AA2-B90E-D9DE2AE76734}"/>
    <cellStyle name="Comma 13 7 2" xfId="2081" xr:uid="{480ED862-7E4B-4FEC-88EE-23200F1EE04C}"/>
    <cellStyle name="Comma 13 7 2 2" xfId="2843" xr:uid="{F9344A4D-E656-46AC-8F3A-003347B48799}"/>
    <cellStyle name="Comma 13 7 3" xfId="2470" xr:uid="{524B99D8-CF6F-4F0A-AC6E-609000333B9B}"/>
    <cellStyle name="Comma 13 8" xfId="644" xr:uid="{7658336D-F269-4611-9ADB-30A846B001C7}"/>
    <cellStyle name="Comma 13 8 2" xfId="2082" xr:uid="{B43C73E8-88A9-4B36-BE19-DDA355CB7694}"/>
    <cellStyle name="Comma 13 8 2 2" xfId="2844" xr:uid="{6583132C-CA51-42DC-BA88-F115D504F21A}"/>
    <cellStyle name="Comma 13 8 3" xfId="2471" xr:uid="{33B53338-74C9-4AAB-9010-99ABC870433D}"/>
    <cellStyle name="Comma 13 9" xfId="645" xr:uid="{4D0F386B-F82B-452F-A503-607FC63F66DB}"/>
    <cellStyle name="Comma 13 9 2" xfId="2083" xr:uid="{1E1016EC-8679-4EBA-ADB7-682DEBD85D86}"/>
    <cellStyle name="Comma 13 9 2 2" xfId="2845" xr:uid="{CD3900A0-C9F5-4619-8F2C-80A51A17F16D}"/>
    <cellStyle name="Comma 13 9 3" xfId="2472" xr:uid="{1EF8D569-F727-4604-9428-1254A6A56908}"/>
    <cellStyle name="Comma 14" xfId="646" xr:uid="{82E9043F-B383-4D80-846E-C180E0CB99BE}"/>
    <cellStyle name="Comma 14 10" xfId="647" xr:uid="{D9A13B22-43EB-4ECE-A185-808CB08AA083}"/>
    <cellStyle name="Comma 14 10 2" xfId="2084" xr:uid="{DB6ADC74-E184-4D2F-AB7E-C20086EB5715}"/>
    <cellStyle name="Comma 14 10 2 2" xfId="2846" xr:uid="{2F2A45C0-4334-4DCC-9A81-42681CDE0E18}"/>
    <cellStyle name="Comma 14 10 3" xfId="2473" xr:uid="{95A5B665-C2DF-493C-8274-46A83E55F6C1}"/>
    <cellStyle name="Comma 14 11" xfId="648" xr:uid="{FC9B45EA-BE38-4C3D-9681-7FECA31448DF}"/>
    <cellStyle name="Comma 14 11 2" xfId="2085" xr:uid="{AC79DDBD-4776-42AD-99D3-F9C16E25A720}"/>
    <cellStyle name="Comma 14 11 2 2" xfId="2847" xr:uid="{D0EBEDCA-7F53-499E-BB36-C1C88D8A618C}"/>
    <cellStyle name="Comma 14 11 3" xfId="2474" xr:uid="{6B4A6D33-6403-421E-81D9-2B955D85944D}"/>
    <cellStyle name="Comma 14 12" xfId="649" xr:uid="{6565CA10-B93D-47F8-BDD0-94B85C700B7A}"/>
    <cellStyle name="Comma 14 12 2" xfId="2086" xr:uid="{BC6E7928-7FCF-4C0B-9784-CFF4D7F5EDB3}"/>
    <cellStyle name="Comma 14 12 2 2" xfId="2848" xr:uid="{8D8EF044-4AD2-4594-9CB4-6485EB40FE5B}"/>
    <cellStyle name="Comma 14 12 3" xfId="2475" xr:uid="{3913FC05-9F07-4A6A-8E5B-0490ABEB9439}"/>
    <cellStyle name="Comma 14 13" xfId="650" xr:uid="{CDDF31E9-2150-4AFC-927F-85816292ADED}"/>
    <cellStyle name="Comma 14 13 2" xfId="2087" xr:uid="{D7F54238-CF6E-49F4-B7B3-956D8508EF7A}"/>
    <cellStyle name="Comma 14 13 2 2" xfId="2849" xr:uid="{A2220105-2674-4D69-B498-DF6C8EBB73B8}"/>
    <cellStyle name="Comma 14 13 3" xfId="2476" xr:uid="{E62B8876-B22A-4A5E-90DD-B8CAA1A244BD}"/>
    <cellStyle name="Comma 14 14" xfId="651" xr:uid="{9E02DE88-17C5-492E-B2F1-92563E617742}"/>
    <cellStyle name="Comma 14 14 2" xfId="2088" xr:uid="{39427268-755D-4482-936B-3494753C0832}"/>
    <cellStyle name="Comma 14 14 2 2" xfId="2850" xr:uid="{39828021-AD64-4B2A-8BC7-80152D60345A}"/>
    <cellStyle name="Comma 14 14 3" xfId="2477" xr:uid="{DF9A95D1-6330-453C-954C-9CA13CFC2CDB}"/>
    <cellStyle name="Comma 14 15" xfId="652" xr:uid="{B668D965-DB5A-47AA-9B0D-C97DE7DEF3C7}"/>
    <cellStyle name="Comma 14 15 2" xfId="2089" xr:uid="{8071FD55-EAA7-4419-A2FD-5FDC9DC27290}"/>
    <cellStyle name="Comma 14 15 2 2" xfId="2851" xr:uid="{11824349-7076-4FFF-9197-03E058287CE8}"/>
    <cellStyle name="Comma 14 15 3" xfId="2478" xr:uid="{CE54DA2E-81EB-41C4-A0E2-581E867189C7}"/>
    <cellStyle name="Comma 14 16" xfId="653" xr:uid="{E3801D54-F6AB-43A9-9CDB-4E8E95FE0059}"/>
    <cellStyle name="Comma 14 16 2" xfId="2090" xr:uid="{D8488249-2265-4890-9312-66C4C1B74943}"/>
    <cellStyle name="Comma 14 16 2 2" xfId="2852" xr:uid="{09EA4EEE-2578-42A6-88BF-44F3DD45B86B}"/>
    <cellStyle name="Comma 14 16 3" xfId="2479" xr:uid="{F85864ED-0096-42B3-85D6-6CD86F7710EC}"/>
    <cellStyle name="Comma 14 17" xfId="654" xr:uid="{D8169478-6C07-45A8-AE8A-15B3E2C74D84}"/>
    <cellStyle name="Comma 14 17 2" xfId="2091" xr:uid="{DF9777D6-F3BF-4B1C-8EF4-60CD11411D6E}"/>
    <cellStyle name="Comma 14 17 2 2" xfId="2853" xr:uid="{0BAD30B8-34E7-4136-AE39-647A31274631}"/>
    <cellStyle name="Comma 14 17 3" xfId="2480" xr:uid="{847A5382-F797-423D-ACA8-FAA075527C09}"/>
    <cellStyle name="Comma 14 18" xfId="655" xr:uid="{77EF69D0-480C-458E-A0C4-E0666EF3FF60}"/>
    <cellStyle name="Comma 14 18 2" xfId="2092" xr:uid="{6BF73185-E3C3-41AE-A5B0-D742BC47D6E5}"/>
    <cellStyle name="Comma 14 18 2 2" xfId="2854" xr:uid="{22CC92A0-42CA-4237-9454-637E332CFF52}"/>
    <cellStyle name="Comma 14 18 3" xfId="2481" xr:uid="{C8919867-1EDA-42B0-94E6-410FA8553250}"/>
    <cellStyle name="Comma 14 19" xfId="656" xr:uid="{F5E946B4-E5CE-4B88-B9FB-69D9748A6C5E}"/>
    <cellStyle name="Comma 14 19 2" xfId="2093" xr:uid="{B80D7615-7502-4594-BE59-62A62E12DE0E}"/>
    <cellStyle name="Comma 14 19 2 2" xfId="2855" xr:uid="{263523E4-402F-4E88-86BE-2A43F3A92821}"/>
    <cellStyle name="Comma 14 19 3" xfId="2482" xr:uid="{F5D27F53-9A5A-4D18-8ADB-7FE1F3E59B22}"/>
    <cellStyle name="Comma 14 2" xfId="657" xr:uid="{A07B688B-4453-4E5A-AD40-7676E3DE1769}"/>
    <cellStyle name="Comma 14 2 2" xfId="2094" xr:uid="{E7E3F81A-D985-49B6-8ADD-90B061BA531A}"/>
    <cellStyle name="Comma 14 2 2 2" xfId="2856" xr:uid="{4E0F9446-A0DD-41A1-9287-E62A4E4E0328}"/>
    <cellStyle name="Comma 14 2 3" xfId="2483" xr:uid="{9EFFAABE-F673-4E80-A85F-2FF44B18A7DA}"/>
    <cellStyle name="Comma 14 20" xfId="658" xr:uid="{B8925807-31C8-404F-A4E3-F1E0A68AB25A}"/>
    <cellStyle name="Comma 14 20 2" xfId="2095" xr:uid="{6B03E1A9-C9A5-4DFF-93ED-A2B780F76E7E}"/>
    <cellStyle name="Comma 14 20 2 2" xfId="2857" xr:uid="{B99DFA3E-2C96-4A5C-9197-AADEC71A854B}"/>
    <cellStyle name="Comma 14 20 3" xfId="2484" xr:uid="{67ADC7EA-D830-4655-ACAC-418A8EF4CA28}"/>
    <cellStyle name="Comma 14 21" xfId="659" xr:uid="{5FBC67FA-D7D4-491E-A399-B9F653C8707B}"/>
    <cellStyle name="Comma 14 21 2" xfId="2096" xr:uid="{28EA5276-2984-4184-8C5D-B3B01EA0153C}"/>
    <cellStyle name="Comma 14 21 2 2" xfId="2858" xr:uid="{B8E042C8-D2B9-4AD2-B15E-BE9AFE95D3AF}"/>
    <cellStyle name="Comma 14 21 3" xfId="2485" xr:uid="{A99229B7-DA70-4F26-AEC1-27DD64E36C6D}"/>
    <cellStyle name="Comma 14 22" xfId="660" xr:uid="{7DBC62EE-8FA8-49BF-A2B3-26CEF8559970}"/>
    <cellStyle name="Comma 14 22 2" xfId="2097" xr:uid="{80D188FD-43B2-49B1-ACA6-5456E91280A4}"/>
    <cellStyle name="Comma 14 22 2 2" xfId="2859" xr:uid="{440A70FF-FBD0-43D8-8C59-990F08DA8E2D}"/>
    <cellStyle name="Comma 14 22 3" xfId="2486" xr:uid="{621D2B00-67AF-47FB-8E08-0D5DD6478D29}"/>
    <cellStyle name="Comma 14 23" xfId="661" xr:uid="{A2FACEDF-8AE3-4BB7-AD7D-B796EFF67BAA}"/>
    <cellStyle name="Comma 14 23 2" xfId="2098" xr:uid="{39C27FD8-7871-44DD-A576-24819218F3E1}"/>
    <cellStyle name="Comma 14 23 2 2" xfId="2860" xr:uid="{C1437277-6C24-4E76-A367-D64C05B72BC5}"/>
    <cellStyle name="Comma 14 23 3" xfId="2487" xr:uid="{81657EC0-F2A7-4DF2-9A17-389AECA41080}"/>
    <cellStyle name="Comma 14 24" xfId="662" xr:uid="{EDCD4743-AA33-434B-997E-0EFEDD546883}"/>
    <cellStyle name="Comma 14 24 2" xfId="2099" xr:uid="{1371684F-A7B5-431F-9B35-9D11E641695B}"/>
    <cellStyle name="Comma 14 24 2 2" xfId="2861" xr:uid="{693DD434-72AD-4FDB-A729-778B5156A096}"/>
    <cellStyle name="Comma 14 24 3" xfId="2488" xr:uid="{FC628C89-3866-44E3-BED3-ADEC39A4A60B}"/>
    <cellStyle name="Comma 14 25" xfId="663" xr:uid="{BAB43020-26DE-4B35-9574-666AFAB8A262}"/>
    <cellStyle name="Comma 14 25 2" xfId="2100" xr:uid="{29D91DB8-7EF9-48B5-BA42-08ABE764F8DD}"/>
    <cellStyle name="Comma 14 25 2 2" xfId="2862" xr:uid="{9A5272B7-0827-4ED3-B02E-E12E3E7AB039}"/>
    <cellStyle name="Comma 14 25 3" xfId="2489" xr:uid="{4CDAD806-3F9A-4D3B-A309-00D1FFC9622B}"/>
    <cellStyle name="Comma 14 26" xfId="664" xr:uid="{33C409B5-5E9D-4542-B601-7BA1F1982E4F}"/>
    <cellStyle name="Comma 14 26 2" xfId="2101" xr:uid="{662E16E9-39E7-4D81-82EA-7D647B6A366A}"/>
    <cellStyle name="Comma 14 26 2 2" xfId="2863" xr:uid="{2ECE42C4-D833-4157-BFFC-3ADF1BDCE6AB}"/>
    <cellStyle name="Comma 14 26 3" xfId="2490" xr:uid="{3D51BF0A-5AF1-4A8D-9A0B-B0A3D4B761BE}"/>
    <cellStyle name="Comma 14 27" xfId="665" xr:uid="{DEDCCA72-BDA6-4B5C-A3F4-B2B136C14597}"/>
    <cellStyle name="Comma 14 27 2" xfId="2102" xr:uid="{6263449D-ADB7-4DC9-8569-CB61846131A2}"/>
    <cellStyle name="Comma 14 27 2 2" xfId="2864" xr:uid="{54DD3FC7-76D1-44E8-B731-402F2244EF26}"/>
    <cellStyle name="Comma 14 27 3" xfId="2491" xr:uid="{8B181918-23F7-477E-8E3D-07660C37BC2F}"/>
    <cellStyle name="Comma 14 28" xfId="666" xr:uid="{04D76FFE-6896-4802-B862-55E23B1BCF07}"/>
    <cellStyle name="Comma 14 28 2" xfId="2103" xr:uid="{F3950B6B-D702-44B0-A440-DBBEBCEC8C9D}"/>
    <cellStyle name="Comma 14 28 2 2" xfId="2865" xr:uid="{9D5BB6EB-8627-4A3F-95E1-209A3847FFBA}"/>
    <cellStyle name="Comma 14 28 3" xfId="2492" xr:uid="{6E1D5E11-A86C-4B06-9A61-6AB5666E9261}"/>
    <cellStyle name="Comma 14 29" xfId="667" xr:uid="{AA65EBB4-1BC6-4706-B3BF-DA9A75BA63E4}"/>
    <cellStyle name="Comma 14 29 2" xfId="2104" xr:uid="{B5AE90DC-9D04-48BF-8F99-430077B357E1}"/>
    <cellStyle name="Comma 14 29 2 2" xfId="2866" xr:uid="{C07C86E1-8DC1-420B-B4D3-792A9DF2B838}"/>
    <cellStyle name="Comma 14 29 3" xfId="2493" xr:uid="{2F970951-8554-4A0C-A52E-A75A2735C1A2}"/>
    <cellStyle name="Comma 14 3" xfId="668" xr:uid="{E9ACA665-ADB9-474F-8F36-935B2B2D2A3A}"/>
    <cellStyle name="Comma 14 3 2" xfId="2105" xr:uid="{9F035068-5841-4E33-855C-1729A964B158}"/>
    <cellStyle name="Comma 14 3 2 2" xfId="2867" xr:uid="{6DED7396-8667-48CC-9C39-B18E76B9D5D5}"/>
    <cellStyle name="Comma 14 3 3" xfId="2494" xr:uid="{36378AF2-30D2-4705-A68F-37669FF52C7F}"/>
    <cellStyle name="Comma 14 4" xfId="669" xr:uid="{3267B84C-0C9D-4266-82A6-8640E776A644}"/>
    <cellStyle name="Comma 14 4 2" xfId="2106" xr:uid="{5C3CD48B-BD8E-4B83-9BFB-090A11D1E907}"/>
    <cellStyle name="Comma 14 4 2 2" xfId="2868" xr:uid="{A79A6DB8-A01B-4149-B7D6-CB80A533C639}"/>
    <cellStyle name="Comma 14 4 3" xfId="2495" xr:uid="{D40B7243-815A-4445-BD46-A88EECADC321}"/>
    <cellStyle name="Comma 14 5" xfId="670" xr:uid="{EEA8E7E3-1791-43AC-B8AB-4C93BD88A2F7}"/>
    <cellStyle name="Comma 14 5 2" xfId="2107" xr:uid="{F16DCDAB-140E-45AD-AAE4-42BEA2539931}"/>
    <cellStyle name="Comma 14 5 2 2" xfId="2869" xr:uid="{DFBD2894-2DA0-4508-B53A-89BACCA4D820}"/>
    <cellStyle name="Comma 14 5 3" xfId="2496" xr:uid="{23AB038B-E3C7-475E-8ED1-138E316947E4}"/>
    <cellStyle name="Comma 14 6" xfId="671" xr:uid="{78A6861F-4C3A-4704-8274-867D643216E5}"/>
    <cellStyle name="Comma 14 6 2" xfId="2108" xr:uid="{014181AF-5042-42D7-9E88-3BD636A87C91}"/>
    <cellStyle name="Comma 14 6 2 2" xfId="2870" xr:uid="{348EE6D3-D714-49D5-A293-D9068EDED1BC}"/>
    <cellStyle name="Comma 14 6 3" xfId="2497" xr:uid="{FC46A412-D03C-4928-BEB7-7DD6D0F044C8}"/>
    <cellStyle name="Comma 14 7" xfId="672" xr:uid="{6FF5CCD9-F46A-49D6-9991-6B9F81F60EA6}"/>
    <cellStyle name="Comma 14 7 2" xfId="2109" xr:uid="{781F02D4-05CA-447C-822B-7788CFEBD9BF}"/>
    <cellStyle name="Comma 14 7 2 2" xfId="2871" xr:uid="{C763B0C4-0206-4492-BDFC-9F3A6D6081A6}"/>
    <cellStyle name="Comma 14 7 3" xfId="2498" xr:uid="{52B8B3BA-5BF9-4044-BF01-4DDAA797D4A8}"/>
    <cellStyle name="Comma 14 8" xfId="673" xr:uid="{38E2CE11-90A0-46FB-9201-2800FBB569C7}"/>
    <cellStyle name="Comma 14 8 2" xfId="2110" xr:uid="{0E512260-21B8-48A3-97A0-F642D9EEC393}"/>
    <cellStyle name="Comma 14 8 2 2" xfId="2872" xr:uid="{7F1E847C-4BF7-4DA5-92D1-39969FF05380}"/>
    <cellStyle name="Comma 14 8 3" xfId="2499" xr:uid="{E8A233C1-A41E-43DA-894E-3BE929A02784}"/>
    <cellStyle name="Comma 14 9" xfId="674" xr:uid="{E4B393B8-244D-413D-A2DF-F75778AA0C06}"/>
    <cellStyle name="Comma 14 9 2" xfId="2111" xr:uid="{16BF035B-F5E4-488A-ADD4-EF2FA314CBD6}"/>
    <cellStyle name="Comma 14 9 2 2" xfId="2873" xr:uid="{68BD9C9A-06B1-49BA-B421-DE8FDC58C5CA}"/>
    <cellStyle name="Comma 14 9 3" xfId="2500" xr:uid="{A884C3AF-F658-4EC4-9768-FCA7838FDB3C}"/>
    <cellStyle name="Comma 15" xfId="675" xr:uid="{F2373FBD-24E9-45A1-928F-E02725622F84}"/>
    <cellStyle name="Comma 15 2" xfId="676" xr:uid="{DC61BFB0-5B90-49EE-A2CF-CA4F55132B11}"/>
    <cellStyle name="Comma 15 2 2" xfId="677" xr:uid="{2A97F528-63AE-4785-935C-A46416417BD8}"/>
    <cellStyle name="Comma 16" xfId="9" xr:uid="{D13ECA43-87B9-4DC2-AEA6-EFEBA294FD52}"/>
    <cellStyle name="Comma 16 10" xfId="679" xr:uid="{6000E312-5D9D-438C-831F-8C88D1911810}"/>
    <cellStyle name="Comma 16 10 2" xfId="2112" xr:uid="{8615D185-456D-4CF7-8004-AABA5E16409F}"/>
    <cellStyle name="Comma 16 10 2 2" xfId="2874" xr:uid="{F1520FBE-29E7-467D-85A0-FA096022510D}"/>
    <cellStyle name="Comma 16 10 3" xfId="2501" xr:uid="{CDF5253D-7A37-4D6A-B3E5-F5D5AC9D745F}"/>
    <cellStyle name="Comma 16 11" xfId="680" xr:uid="{7ED21477-6F85-4F50-99F4-124BA6B738C9}"/>
    <cellStyle name="Comma 16 11 2" xfId="2113" xr:uid="{8317D72C-739F-471E-8A84-D2E3A5BCB79A}"/>
    <cellStyle name="Comma 16 11 2 2" xfId="2875" xr:uid="{5B5F9611-FDF1-4A7B-9C18-8EA14235A79A}"/>
    <cellStyle name="Comma 16 11 3" xfId="2502" xr:uid="{38B286BA-6AC2-4B79-865A-1A6D0AB735CA}"/>
    <cellStyle name="Comma 16 12" xfId="681" xr:uid="{F8C166F5-DDCF-410E-BDB7-04C9B54441A3}"/>
    <cellStyle name="Comma 16 12 2" xfId="2114" xr:uid="{E7A445C6-F7F8-41A2-B900-4E8A7551DA4B}"/>
    <cellStyle name="Comma 16 12 2 2" xfId="2876" xr:uid="{D2768314-ADED-44F8-ABFA-BF03B8C3CF52}"/>
    <cellStyle name="Comma 16 12 3" xfId="2503" xr:uid="{C0D890D5-9218-4611-8836-68F335C2618F}"/>
    <cellStyle name="Comma 16 13" xfId="682" xr:uid="{C8EC971F-8CFE-432F-BE5D-2B0450CF0ACB}"/>
    <cellStyle name="Comma 16 13 2" xfId="2115" xr:uid="{A453B25F-FA86-4CDB-8912-6ECDF71D6FD6}"/>
    <cellStyle name="Comma 16 13 2 2" xfId="2877" xr:uid="{B3F31CDC-2A3E-494A-9087-FF45E82FC27B}"/>
    <cellStyle name="Comma 16 13 3" xfId="2504" xr:uid="{E3A25E46-26C9-42C0-9FA3-336DAE93665C}"/>
    <cellStyle name="Comma 16 14" xfId="683" xr:uid="{DFFFA514-B553-4574-BD20-414038BFBC50}"/>
    <cellStyle name="Comma 16 14 2" xfId="2116" xr:uid="{3278890F-79FE-49EF-8751-8D6D5C5C324D}"/>
    <cellStyle name="Comma 16 14 2 2" xfId="2878" xr:uid="{B0DCBE83-9AB0-4AFF-9573-93D171CFEAD7}"/>
    <cellStyle name="Comma 16 14 3" xfId="2505" xr:uid="{E3526006-722A-42B5-BAC0-3070D0ED2196}"/>
    <cellStyle name="Comma 16 15" xfId="684" xr:uid="{EF26A5A0-E396-42A2-BA67-2793221C2070}"/>
    <cellStyle name="Comma 16 15 2" xfId="2117" xr:uid="{E1BAAB26-9DCE-4D79-B276-2DDE2ACC98CB}"/>
    <cellStyle name="Comma 16 15 2 2" xfId="2879" xr:uid="{2A10DA68-93EE-4D21-B4CB-7C9338B19E03}"/>
    <cellStyle name="Comma 16 15 3" xfId="2506" xr:uid="{1CFDD1B4-5CF5-4ED2-B903-4A62B4724D6A}"/>
    <cellStyle name="Comma 16 16" xfId="678" xr:uid="{22017E8A-C614-4475-BB23-06E0336D4C16}"/>
    <cellStyle name="Comma 16 17" xfId="2031" xr:uid="{8D4D8CA1-D504-4244-A553-43F09650D847}"/>
    <cellStyle name="Comma 16 17 2" xfId="2793" xr:uid="{D3764049-8C7F-48DD-8E40-A629638B6B3E}"/>
    <cellStyle name="Comma 16 18" xfId="2419" xr:uid="{DF7A4DCC-F2F7-4878-A6C0-C80D4702C374}"/>
    <cellStyle name="Comma 16 2" xfId="24" xr:uid="{8A39B01C-E291-48B7-B123-5BB49801BEBE}"/>
    <cellStyle name="Comma 16 2 2" xfId="685" xr:uid="{3524915D-2B39-46C3-A7FA-04C2D0B4CB48}"/>
    <cellStyle name="Comma 16 2 2 2" xfId="2118" xr:uid="{0AB9DBA3-93DB-4DDE-89AE-5713A07FD60E}"/>
    <cellStyle name="Comma 16 2 2 2 2" xfId="2880" xr:uid="{3664E921-A252-4E2B-855E-31C95D16C798}"/>
    <cellStyle name="Comma 16 2 2 3" xfId="2507" xr:uid="{04008BFF-577D-4A97-8C41-AE746968F2E8}"/>
    <cellStyle name="Comma 16 2 3" xfId="2037" xr:uid="{ABA5328D-3B66-436C-A256-54B1D4438033}"/>
    <cellStyle name="Comma 16 2 3 2" xfId="2799" xr:uid="{BCA5B3A2-3664-44DB-9577-CBCA136F1479}"/>
    <cellStyle name="Comma 16 2 4" xfId="2426" xr:uid="{95DAF2BC-2FA5-4768-A718-8F1241A2181D}"/>
    <cellStyle name="Comma 16 3" xfId="686" xr:uid="{FC59C017-B99E-40B4-964A-3DA5F7A59D37}"/>
    <cellStyle name="Comma 16 3 2" xfId="2119" xr:uid="{B4184889-8870-4175-90F2-A99A84B7BEA4}"/>
    <cellStyle name="Comma 16 3 2 2" xfId="2881" xr:uid="{69415902-3E6C-4A51-B95F-F1FD447E4F11}"/>
    <cellStyle name="Comma 16 3 3" xfId="2508" xr:uid="{0111145D-0494-4F0C-8FD0-EF90DE6F3148}"/>
    <cellStyle name="Comma 16 4" xfId="687" xr:uid="{5FFB834C-FB38-47E7-A5BC-493C5EFBE227}"/>
    <cellStyle name="Comma 16 4 2" xfId="2120" xr:uid="{F16F10D6-ABBB-411E-BF43-F16209CE28D9}"/>
    <cellStyle name="Comma 16 4 2 2" xfId="2882" xr:uid="{45880938-0AC4-47CA-9DAA-929F4C02DCC7}"/>
    <cellStyle name="Comma 16 4 3" xfId="2509" xr:uid="{ADC9D908-CF07-4C89-9278-61D0D63AFC34}"/>
    <cellStyle name="Comma 16 5" xfId="688" xr:uid="{674447CB-439E-4D3B-BE21-3C5D8043CE30}"/>
    <cellStyle name="Comma 16 5 2" xfId="2121" xr:uid="{40750B57-A9D5-44E0-B0E6-D5F49D1648EF}"/>
    <cellStyle name="Comma 16 5 2 2" xfId="2883" xr:uid="{3A1F644C-84E7-447E-B44A-DAEF063A0EEF}"/>
    <cellStyle name="Comma 16 5 3" xfId="2510" xr:uid="{27B64E63-5F5A-4843-AA8D-8EAA66E40A9B}"/>
    <cellStyle name="Comma 16 6" xfId="689" xr:uid="{32AC2478-9C5C-47DF-A649-E1A832E63EE9}"/>
    <cellStyle name="Comma 16 6 2" xfId="2122" xr:uid="{4D7AB421-EE41-41F0-AFE9-D91FC500806E}"/>
    <cellStyle name="Comma 16 6 2 2" xfId="2884" xr:uid="{467C42AB-A7A6-4DAF-ACE0-A35686274393}"/>
    <cellStyle name="Comma 16 6 3" xfId="2511" xr:uid="{ABAAF65B-882F-4876-8ECA-0DD467D9C0AF}"/>
    <cellStyle name="Comma 16 7" xfId="690" xr:uid="{80108A19-4794-4E29-A40F-82708C153800}"/>
    <cellStyle name="Comma 16 7 2" xfId="2123" xr:uid="{86811A86-707C-4855-8AFD-0DDE861648CC}"/>
    <cellStyle name="Comma 16 7 2 2" xfId="2885" xr:uid="{69CDFD1B-47E3-48D6-917E-4CDE01717C42}"/>
    <cellStyle name="Comma 16 7 3" xfId="2512" xr:uid="{A9EDA465-7EFF-4C8A-B486-C110D4A43E6C}"/>
    <cellStyle name="Comma 16 8" xfId="691" xr:uid="{BC3F51B7-C950-4743-8700-D6FF78B61DB5}"/>
    <cellStyle name="Comma 16 8 2" xfId="2124" xr:uid="{1EFB1394-9F25-46A6-B376-749EA15EDDB9}"/>
    <cellStyle name="Comma 16 8 2 2" xfId="2886" xr:uid="{E82FD20F-2E7D-45ED-BF70-B761EC933AD1}"/>
    <cellStyle name="Comma 16 8 3" xfId="2513" xr:uid="{41CCB806-FB87-4175-8486-31561F6300F4}"/>
    <cellStyle name="Comma 16 9" xfId="692" xr:uid="{C46C66FC-ECAE-44BF-8C66-470153B5B423}"/>
    <cellStyle name="Comma 16 9 2" xfId="2125" xr:uid="{4CE09D3E-762C-425E-88D3-00FB12FB68B6}"/>
    <cellStyle name="Comma 16 9 2 2" xfId="2887" xr:uid="{CB29CF7A-192E-40A7-BC96-19B63201D421}"/>
    <cellStyle name="Comma 16 9 3" xfId="2514" xr:uid="{552752F1-3874-478A-A6C1-CE4AA6A920E1}"/>
    <cellStyle name="Comma 17" xfId="693" xr:uid="{AFB161CF-51E9-44FC-882A-FCC8CB956A98}"/>
    <cellStyle name="Comma 17 2" xfId="694" xr:uid="{6FD9B926-8F45-4D38-956F-8485B58237F0}"/>
    <cellStyle name="Comma 17 2 2" xfId="2126" xr:uid="{04990C20-1D95-45C8-92A8-6B6714B3766D}"/>
    <cellStyle name="Comma 17 2 2 2" xfId="2888" xr:uid="{0CEDAD34-9A9D-4230-BB64-F01623226C1F}"/>
    <cellStyle name="Comma 17 2 3" xfId="2515" xr:uid="{E7404DBE-9FFB-4C9A-A420-FF4C917EF17A}"/>
    <cellStyle name="Comma 18" xfId="695" xr:uid="{798C3EAB-84A2-4C56-AF65-CBD2CB8EC5F5}"/>
    <cellStyle name="Comma 18 2" xfId="2127" xr:uid="{0C8A9E37-6850-4CC9-B8D3-D13048CD8333}"/>
    <cellStyle name="Comma 18 2 2" xfId="2889" xr:uid="{3BD4CD03-9C8B-42BE-A547-EBA330912388}"/>
    <cellStyle name="Comma 18 3" xfId="2516" xr:uid="{E233C1DB-63CA-4336-908D-81A09CB15F95}"/>
    <cellStyle name="Comma 19" xfId="696" xr:uid="{DF9998B6-B7EB-4CAA-9949-11700A2F76B6}"/>
    <cellStyle name="Comma 19 2" xfId="2128" xr:uid="{0801B3D6-0224-4DBE-B58D-6C1FD555CD3F}"/>
    <cellStyle name="Comma 19 2 2" xfId="2890" xr:uid="{494DBC5C-0BEB-4B1B-BE47-7243B8707398}"/>
    <cellStyle name="Comma 19 3" xfId="2517" xr:uid="{62AA96B0-B709-40CA-9F79-BC6036BD99DC}"/>
    <cellStyle name="Comma 2" xfId="6" xr:uid="{82E476C5-450B-4E60-9335-A2BFE057F887}"/>
    <cellStyle name="Comma 2 10" xfId="698" xr:uid="{E882D9FC-C8E4-4ED2-B6CA-46DC344DC6DA}"/>
    <cellStyle name="Comma 2 10 10" xfId="699" xr:uid="{1D3BAAC6-775D-410B-B0AA-F278BAAA844F}"/>
    <cellStyle name="Comma 2 10 10 2" xfId="2130" xr:uid="{EB3D06F0-4CF9-42C2-BEF3-112B7AB89454}"/>
    <cellStyle name="Comma 2 10 10 2 2" xfId="2892" xr:uid="{A5F8192B-8275-493A-9404-4F7371B51210}"/>
    <cellStyle name="Comma 2 10 10 3" xfId="2519" xr:uid="{E60A9652-6083-4F56-BB5A-B715361748E3}"/>
    <cellStyle name="Comma 2 10 11" xfId="700" xr:uid="{49FCD9E3-EAAD-4DAD-94D5-20E84CE39AC8}"/>
    <cellStyle name="Comma 2 10 11 2" xfId="2131" xr:uid="{7728CF2A-512C-475B-8AC6-B797662E386D}"/>
    <cellStyle name="Comma 2 10 11 2 2" xfId="2893" xr:uid="{0A9FB668-744B-469D-BC27-D6E7708847D9}"/>
    <cellStyle name="Comma 2 10 11 3" xfId="2520" xr:uid="{C7579832-D979-4E6D-895F-78A0C980672B}"/>
    <cellStyle name="Comma 2 10 12" xfId="701" xr:uid="{10EC0DEC-A2B4-4F70-9DB1-E110A5CB588F}"/>
    <cellStyle name="Comma 2 10 12 2" xfId="2132" xr:uid="{5EFB2EEA-1973-47BD-8E6B-69FE2A8CD6E0}"/>
    <cellStyle name="Comma 2 10 12 2 2" xfId="2894" xr:uid="{04E3E32F-C86A-4EA5-A614-2063C15A4CA6}"/>
    <cellStyle name="Comma 2 10 12 3" xfId="2521" xr:uid="{8E0EC567-B9C4-4A9E-A39D-B4F2F4157B02}"/>
    <cellStyle name="Comma 2 10 13" xfId="702" xr:uid="{5E37E1C1-9A43-40E9-887A-9A630F3F8D9B}"/>
    <cellStyle name="Comma 2 10 13 2" xfId="2133" xr:uid="{A6C210AD-C9CB-491A-BCA8-EE4A75B68CCC}"/>
    <cellStyle name="Comma 2 10 13 2 2" xfId="2895" xr:uid="{13CAA325-DCA9-4EF8-A346-15EDB2F2A385}"/>
    <cellStyle name="Comma 2 10 13 3" xfId="2522" xr:uid="{F4D3F92D-36A7-4FE2-B454-BA5C83F01568}"/>
    <cellStyle name="Comma 2 10 14" xfId="2129" xr:uid="{C6F40AC0-EBFB-4AA0-AFA3-67609804FB8B}"/>
    <cellStyle name="Comma 2 10 14 2" xfId="2891" xr:uid="{FB6DFE2B-76AF-4025-AE54-96F5A1289140}"/>
    <cellStyle name="Comma 2 10 15" xfId="2518" xr:uid="{705FF425-0C6F-4068-B17D-B9AB2B642AB4}"/>
    <cellStyle name="Comma 2 10 2" xfId="703" xr:uid="{3B4F4EDF-45AF-406D-91C5-210E4FB569A2}"/>
    <cellStyle name="Comma 2 10 2 10" xfId="704" xr:uid="{8065C8D7-FA33-4231-8C65-AC6F47368FCC}"/>
    <cellStyle name="Comma 2 10 2 10 2" xfId="2135" xr:uid="{BCEBA186-2A35-4C1D-831A-EFD0DFA37AAB}"/>
    <cellStyle name="Comma 2 10 2 10 2 2" xfId="2897" xr:uid="{B3491B66-BAE3-4D08-9DA0-C280B812FC7B}"/>
    <cellStyle name="Comma 2 10 2 10 3" xfId="2524" xr:uid="{D2E68BD1-E0EF-4CDC-8F7E-E5524FE69698}"/>
    <cellStyle name="Comma 2 10 2 11" xfId="705" xr:uid="{190F8F21-C390-43B2-BC67-64C20D8D6C6D}"/>
    <cellStyle name="Comma 2 10 2 11 2" xfId="2136" xr:uid="{B07A7189-363C-4966-AE20-B0335401AD30}"/>
    <cellStyle name="Comma 2 10 2 11 2 2" xfId="2898" xr:uid="{8E1C39FA-17AF-4164-9261-687CD1002760}"/>
    <cellStyle name="Comma 2 10 2 11 3" xfId="2525" xr:uid="{FBBABD00-4C87-4D3B-9660-DBF806862F93}"/>
    <cellStyle name="Comma 2 10 2 12" xfId="706" xr:uid="{A0442740-1918-4EAF-9EC1-BBC5C2AC325A}"/>
    <cellStyle name="Comma 2 10 2 12 2" xfId="2137" xr:uid="{E0DE65B6-1ADB-4639-96A2-553309123C06}"/>
    <cellStyle name="Comma 2 10 2 12 2 2" xfId="2899" xr:uid="{99E8D694-5F77-4432-A86C-C43B56FB3B60}"/>
    <cellStyle name="Comma 2 10 2 12 3" xfId="2526" xr:uid="{D07B3588-AC46-4134-B239-ED9471CD1C07}"/>
    <cellStyle name="Comma 2 10 2 13" xfId="2134" xr:uid="{683250A1-FD3A-4121-9499-98FE9E8C29CD}"/>
    <cellStyle name="Comma 2 10 2 13 2" xfId="2896" xr:uid="{0B4E4137-B7A9-416A-A558-8CF459B9AE70}"/>
    <cellStyle name="Comma 2 10 2 14" xfId="2523" xr:uid="{8ACDF8F1-A6C9-43EA-B460-679CC685F77A}"/>
    <cellStyle name="Comma 2 10 2 2" xfId="707" xr:uid="{8D016742-4722-46E6-96E6-5F02E982F956}"/>
    <cellStyle name="Comma 2 10 2 2 2" xfId="2138" xr:uid="{9FCC70DD-3017-452B-B609-537DBA1CB2C2}"/>
    <cellStyle name="Comma 2 10 2 2 2 2" xfId="2900" xr:uid="{96A8DF89-6711-426A-8F92-819428597623}"/>
    <cellStyle name="Comma 2 10 2 2 3" xfId="2527" xr:uid="{DF9DE0A6-1FA7-4E75-9E4F-A8E4A14FECD7}"/>
    <cellStyle name="Comma 2 10 2 3" xfId="708" xr:uid="{2151412E-BC3E-4864-9C64-3A6F923BB6B0}"/>
    <cellStyle name="Comma 2 10 2 3 2" xfId="2139" xr:uid="{D7E068DF-8B12-4136-BBED-FF7FFB5B8FD3}"/>
    <cellStyle name="Comma 2 10 2 3 2 2" xfId="2901" xr:uid="{4607E766-3966-4EA6-9946-706FD1A5A950}"/>
    <cellStyle name="Comma 2 10 2 3 3" xfId="2528" xr:uid="{359F56FA-E86F-4CF0-B0CA-E612A3822B9B}"/>
    <cellStyle name="Comma 2 10 2 4" xfId="709" xr:uid="{41E8C777-44D9-4D32-8080-3B5748EC1B4B}"/>
    <cellStyle name="Comma 2 10 2 4 2" xfId="2140" xr:uid="{F88E65F6-DD38-4DFA-9740-E3E473E89EC3}"/>
    <cellStyle name="Comma 2 10 2 4 2 2" xfId="2902" xr:uid="{5B7E35EA-1B06-441C-9DC0-496BB7146AAA}"/>
    <cellStyle name="Comma 2 10 2 4 3" xfId="2529" xr:uid="{5A04A39F-7B3D-4C6F-A956-EBCDC6C066F6}"/>
    <cellStyle name="Comma 2 10 2 5" xfId="710" xr:uid="{5747336C-C7B6-44E1-ACF5-03A5020F41E4}"/>
    <cellStyle name="Comma 2 10 2 5 2" xfId="2141" xr:uid="{F69DFA3A-4BD9-4254-AD57-FA9857BB53D8}"/>
    <cellStyle name="Comma 2 10 2 5 2 2" xfId="2903" xr:uid="{43597ACA-2D8F-440D-877F-5612B66D3AE1}"/>
    <cellStyle name="Comma 2 10 2 5 3" xfId="2530" xr:uid="{BAAE035C-A844-4D26-81B8-4215B7CC45AF}"/>
    <cellStyle name="Comma 2 10 2 6" xfId="711" xr:uid="{1C304544-9532-4571-B5B6-533AF359E520}"/>
    <cellStyle name="Comma 2 10 2 6 2" xfId="2142" xr:uid="{99039BAB-9E49-4DA5-83EC-2FF2EACE8029}"/>
    <cellStyle name="Comma 2 10 2 6 2 2" xfId="2904" xr:uid="{71530227-2573-43A8-8A79-E58204C0D513}"/>
    <cellStyle name="Comma 2 10 2 6 3" xfId="2531" xr:uid="{0656C489-4CA6-4DFC-B70A-FC2090E444BC}"/>
    <cellStyle name="Comma 2 10 2 7" xfId="712" xr:uid="{667C4A6B-A885-4CD3-AE30-0FEA14AAE8F3}"/>
    <cellStyle name="Comma 2 10 2 7 2" xfId="2143" xr:uid="{9E358E85-4D3B-487A-AFE5-FE436015E163}"/>
    <cellStyle name="Comma 2 10 2 7 2 2" xfId="2905" xr:uid="{8EE93D73-7FCA-4F9E-BAAF-4E2B78CA0125}"/>
    <cellStyle name="Comma 2 10 2 7 3" xfId="2532" xr:uid="{112CF223-E093-4573-84E0-D8F94018AC73}"/>
    <cellStyle name="Comma 2 10 2 8" xfId="713" xr:uid="{447571B0-08C2-47AD-9C00-DA509B3BE2C0}"/>
    <cellStyle name="Comma 2 10 2 8 2" xfId="2144" xr:uid="{F7DE99C0-2454-43D7-B854-52479C96CBF9}"/>
    <cellStyle name="Comma 2 10 2 8 2 2" xfId="2906" xr:uid="{F3040CD2-3050-4017-8DC1-958EBA059125}"/>
    <cellStyle name="Comma 2 10 2 8 3" xfId="2533" xr:uid="{E29DF90C-1031-4B81-8F8C-41907F18D698}"/>
    <cellStyle name="Comma 2 10 2 9" xfId="714" xr:uid="{A8B18606-827F-4B3B-B15B-BDF3B397A2E5}"/>
    <cellStyle name="Comma 2 10 2 9 2" xfId="2145" xr:uid="{C12B790C-ABA0-4AD7-9DED-41B834A68EBF}"/>
    <cellStyle name="Comma 2 10 2 9 2 2" xfId="2907" xr:uid="{BC5D4469-3138-46FA-8DF4-2B8E3AD21FDA}"/>
    <cellStyle name="Comma 2 10 2 9 3" xfId="2534" xr:uid="{7797F874-AED3-4EA4-BE34-1E056B43DBD2}"/>
    <cellStyle name="Comma 2 10 3" xfId="715" xr:uid="{CF2D3A3B-350F-4506-9D62-BE4D70E68E22}"/>
    <cellStyle name="Comma 2 10 3 2" xfId="2146" xr:uid="{03728B85-EC99-45F2-A60E-4F6C6C031ECA}"/>
    <cellStyle name="Comma 2 10 3 2 2" xfId="2908" xr:uid="{5ACF2FF2-D77E-4416-90BC-B09B79519FB6}"/>
    <cellStyle name="Comma 2 10 3 3" xfId="2535" xr:uid="{A021B6DF-4D63-4D5F-B664-59E41FFDD5B2}"/>
    <cellStyle name="Comma 2 10 4" xfId="716" xr:uid="{2BDAEA86-9215-424A-A772-882C0450D066}"/>
    <cellStyle name="Comma 2 10 4 2" xfId="2147" xr:uid="{6A2DA463-ADCE-4664-B476-0F0B1D21B2F1}"/>
    <cellStyle name="Comma 2 10 4 2 2" xfId="2909" xr:uid="{F1B43C7E-2CF6-4FEC-9204-98633A5CE7AB}"/>
    <cellStyle name="Comma 2 10 4 3" xfId="2536" xr:uid="{1DF6A88C-1CBB-46D9-9B64-33007F414237}"/>
    <cellStyle name="Comma 2 10 5" xfId="717" xr:uid="{B5235210-A058-488B-83F0-A4CCD789F3B8}"/>
    <cellStyle name="Comma 2 10 5 2" xfId="2148" xr:uid="{D5FDA63B-6158-485F-A3FF-51F1F6366BB8}"/>
    <cellStyle name="Comma 2 10 5 2 2" xfId="2910" xr:uid="{1CED5803-A3FA-4DD0-8700-BD4C8E433D9D}"/>
    <cellStyle name="Comma 2 10 5 3" xfId="2537" xr:uid="{C7D6F2CB-7134-49DC-9E75-0D241EFD08E7}"/>
    <cellStyle name="Comma 2 10 6" xfId="718" xr:uid="{02CBF830-C6FB-47D2-A746-C02078C5CD82}"/>
    <cellStyle name="Comma 2 10 6 2" xfId="2149" xr:uid="{E8379429-B8A3-4078-A366-8B5DDB386CB9}"/>
    <cellStyle name="Comma 2 10 6 2 2" xfId="2911" xr:uid="{F1E3AE9C-8FDE-426A-AED3-7016124F5E34}"/>
    <cellStyle name="Comma 2 10 6 3" xfId="2538" xr:uid="{BECD0495-92B6-4982-A8E4-324A42EFDBC3}"/>
    <cellStyle name="Comma 2 10 7" xfId="719" xr:uid="{E7F68F16-F12D-4EA6-ABBE-AC35A96D445A}"/>
    <cellStyle name="Comma 2 10 7 2" xfId="2150" xr:uid="{123D0188-D644-4AA7-BB01-D39B35698F13}"/>
    <cellStyle name="Comma 2 10 7 2 2" xfId="2912" xr:uid="{2970D7F1-7AFD-4B8A-9F58-0A4F2C9F3106}"/>
    <cellStyle name="Comma 2 10 7 3" xfId="2539" xr:uid="{B71F8F42-68E4-4285-ADF5-C32CB1AA4AF6}"/>
    <cellStyle name="Comma 2 10 8" xfId="720" xr:uid="{7319E5B6-4C38-4B96-9775-49099CAE245A}"/>
    <cellStyle name="Comma 2 10 8 2" xfId="2151" xr:uid="{3D6DEDBF-52BB-425D-9ADA-308376131BC8}"/>
    <cellStyle name="Comma 2 10 8 2 2" xfId="2913" xr:uid="{41FF6E72-6B00-4AA6-805E-715C2F53F2F7}"/>
    <cellStyle name="Comma 2 10 8 3" xfId="2540" xr:uid="{73170DDF-BD40-4DD8-9EF4-BC735436A2D9}"/>
    <cellStyle name="Comma 2 10 9" xfId="721" xr:uid="{7044E067-40B9-4198-94FB-CD0221F9E7DE}"/>
    <cellStyle name="Comma 2 10 9 2" xfId="2152" xr:uid="{E5C579F8-4750-4CC8-A78D-145F6B826AAC}"/>
    <cellStyle name="Comma 2 10 9 2 2" xfId="2914" xr:uid="{982260E8-FBD0-4619-A7E3-E449F13182DD}"/>
    <cellStyle name="Comma 2 10 9 3" xfId="2541" xr:uid="{6730A1EC-92CB-40DF-823A-6D9F80CDF4E4}"/>
    <cellStyle name="Comma 2 11" xfId="722" xr:uid="{0FF31480-C0E4-4EFD-AB3C-04ED1151218C}"/>
    <cellStyle name="Comma 2 11 2" xfId="2153" xr:uid="{14063D00-6684-4D7C-95BD-74DE1808B90E}"/>
    <cellStyle name="Comma 2 11 2 2" xfId="2915" xr:uid="{A61F0C9A-5765-417A-8D9F-7F725EC1D578}"/>
    <cellStyle name="Comma 2 11 3" xfId="2542" xr:uid="{4A7A803B-7917-4C0E-BFFB-B343E22F1F83}"/>
    <cellStyle name="Comma 2 12" xfId="723" xr:uid="{779AA518-215C-4C4D-A0DE-B32BCF7195DC}"/>
    <cellStyle name="Comma 2 12 2" xfId="2154" xr:uid="{1FE243CA-9F0F-4A9E-8FEC-55461BD5854F}"/>
    <cellStyle name="Comma 2 12 2 2" xfId="2916" xr:uid="{AF79B34E-C975-4FCD-9320-8BC609CF7FF0}"/>
    <cellStyle name="Comma 2 12 3" xfId="2543" xr:uid="{3F49F951-4AD6-4424-8443-FC0EFA3FC0EA}"/>
    <cellStyle name="Comma 2 13" xfId="724" xr:uid="{BF71FFB2-5337-42C9-B7A6-C500ED7F8953}"/>
    <cellStyle name="Comma 2 13 2" xfId="2155" xr:uid="{4D62083D-D2A7-43D3-8735-4CAFEC55D1F5}"/>
    <cellStyle name="Comma 2 13 2 2" xfId="2917" xr:uid="{64B9F936-B8D5-450F-808B-44EA90BA493A}"/>
    <cellStyle name="Comma 2 13 3" xfId="2544" xr:uid="{94CD37DB-1B10-403F-9102-59B9EE5118CA}"/>
    <cellStyle name="Comma 2 14" xfId="725" xr:uid="{435AD2A3-6921-4202-BDAB-4279BE3E1BD6}"/>
    <cellStyle name="Comma 2 14 2" xfId="2156" xr:uid="{B7464457-A03C-448A-BE56-7EFCFAC0F403}"/>
    <cellStyle name="Comma 2 14 2 2" xfId="2918" xr:uid="{2C22A667-6790-48C2-BD9B-F1FBFDF63DA8}"/>
    <cellStyle name="Comma 2 14 3" xfId="2545" xr:uid="{85F21C68-6272-47AB-A25B-B287AC83C86E}"/>
    <cellStyle name="Comma 2 15" xfId="726" xr:uid="{5C9BCE24-515D-4EF5-B671-3D7A439A4C77}"/>
    <cellStyle name="Comma 2 15 2" xfId="2157" xr:uid="{70968D49-761F-4A20-AC89-B7EB228DD4C1}"/>
    <cellStyle name="Comma 2 15 2 2" xfId="2919" xr:uid="{3E1372E7-77DE-4267-82D0-ADD75CF8E8C6}"/>
    <cellStyle name="Comma 2 15 3" xfId="2546" xr:uid="{DC2FFEC8-E3F4-4362-AF94-1294C2F13152}"/>
    <cellStyle name="Comma 2 16" xfId="727" xr:uid="{7109F424-0873-4981-ACFE-9FE3F1838176}"/>
    <cellStyle name="Comma 2 16 2" xfId="2158" xr:uid="{FD2A8F08-D614-4623-A2AC-80D44FBE2639}"/>
    <cellStyle name="Comma 2 16 2 2" xfId="2920" xr:uid="{3B075E31-04F2-4896-A94A-AC0F6C306AE9}"/>
    <cellStyle name="Comma 2 16 3" xfId="2547" xr:uid="{B93F01B7-887C-46C9-A576-F9C5CA14C2B1}"/>
    <cellStyle name="Comma 2 17" xfId="728" xr:uid="{35321909-0907-4D11-AFFB-971FF7DBCB79}"/>
    <cellStyle name="Comma 2 17 2" xfId="2159" xr:uid="{4EF97B4A-615E-411A-B563-DA2B5EDEC573}"/>
    <cellStyle name="Comma 2 17 2 2" xfId="2921" xr:uid="{8438A05F-43F5-4827-9682-AC521E381873}"/>
    <cellStyle name="Comma 2 17 3" xfId="2548" xr:uid="{2FD17A00-D593-4A51-9C62-58CE15FD97DC}"/>
    <cellStyle name="Comma 2 18" xfId="729" xr:uid="{48A4A97C-329E-4BC5-B91C-9CFD53D1AB35}"/>
    <cellStyle name="Comma 2 18 2" xfId="2160" xr:uid="{94D748BA-9590-471A-B7DA-BADCD64D5007}"/>
    <cellStyle name="Comma 2 18 2 2" xfId="2922" xr:uid="{2D6E675C-8479-4AEF-ABD1-B331C65F22C9}"/>
    <cellStyle name="Comma 2 18 3" xfId="2549" xr:uid="{ACB959AB-C1C0-4929-A7D4-14D6138D7C13}"/>
    <cellStyle name="Comma 2 19" xfId="730" xr:uid="{2DC51179-23C7-494D-A8CB-46CB1CC1293D}"/>
    <cellStyle name="Comma 2 19 2" xfId="2161" xr:uid="{FAA6A742-7C95-43AC-83FD-0FC0CA9267E6}"/>
    <cellStyle name="Comma 2 19 2 2" xfId="2923" xr:uid="{E1C45432-90B5-4349-BBCD-1640660E8168}"/>
    <cellStyle name="Comma 2 19 3" xfId="2550" xr:uid="{AA1BA4C5-7792-4885-85DC-CFA662DE0E8A}"/>
    <cellStyle name="Comma 2 2" xfId="731" xr:uid="{E0C2147A-7519-481F-A0BA-CE71D622322B}"/>
    <cellStyle name="Comma 2 2 10" xfId="732" xr:uid="{A8F682D5-59EF-4911-9904-3866CC8E70A8}"/>
    <cellStyle name="Comma 2 2 10 2" xfId="2162" xr:uid="{33350994-682B-47F9-B0F8-346BD3F35421}"/>
    <cellStyle name="Comma 2 2 10 2 2" xfId="2924" xr:uid="{E023F8E4-0242-488A-8CA8-36CC93D5599E}"/>
    <cellStyle name="Comma 2 2 10 3" xfId="2551" xr:uid="{7063DD35-C256-4A12-9876-1B6C443642BC}"/>
    <cellStyle name="Comma 2 2 11" xfId="733" xr:uid="{15442E82-B6DF-4F52-A0FF-20682184C049}"/>
    <cellStyle name="Comma 2 2 11 2" xfId="2163" xr:uid="{0AC4DB86-57FD-43FB-8726-268491109A9F}"/>
    <cellStyle name="Comma 2 2 11 2 2" xfId="2925" xr:uid="{C11D5A9B-9D1D-4E5E-9175-4100D1BDB89A}"/>
    <cellStyle name="Comma 2 2 11 3" xfId="2552" xr:uid="{28D9827F-0891-4640-AD81-00A980329298}"/>
    <cellStyle name="Comma 2 2 12" xfId="734" xr:uid="{59DB847E-A876-4BB3-AB38-F4E5E50FC847}"/>
    <cellStyle name="Comma 2 2 12 2" xfId="2164" xr:uid="{A8B8D631-FA91-40D0-864A-4DE60AD25B4C}"/>
    <cellStyle name="Comma 2 2 12 2 2" xfId="2926" xr:uid="{742246A0-5C75-4BC4-A79D-7B74CA9FA11A}"/>
    <cellStyle name="Comma 2 2 12 3" xfId="2553" xr:uid="{E13E6199-95F0-4064-A92B-B850F491515C}"/>
    <cellStyle name="Comma 2 2 13" xfId="735" xr:uid="{7766AFDF-8DBB-4623-B012-06BA82BC30C4}"/>
    <cellStyle name="Comma 2 2 13 2" xfId="2165" xr:uid="{D24CFAAD-70C7-4D3D-8353-CB040194F4FE}"/>
    <cellStyle name="Comma 2 2 13 2 2" xfId="2927" xr:uid="{58EF3B26-723F-4A51-94FD-3C50ECE479F0}"/>
    <cellStyle name="Comma 2 2 13 3" xfId="2554" xr:uid="{3C5A625E-F1BC-496D-A4F9-1D39983FE6A6}"/>
    <cellStyle name="Comma 2 2 14" xfId="736" xr:uid="{7683632B-9FCC-4078-98F1-6FBE1B3BA7BB}"/>
    <cellStyle name="Comma 2 2 14 2" xfId="2166" xr:uid="{2483DC25-BA0C-49B5-90C8-920927528D23}"/>
    <cellStyle name="Comma 2 2 14 2 2" xfId="2928" xr:uid="{90DCB52E-8620-4681-953F-63AACD57C469}"/>
    <cellStyle name="Comma 2 2 14 3" xfId="2555" xr:uid="{71F5EB14-CC45-4551-A77C-DC3332C282C7}"/>
    <cellStyle name="Comma 2 2 2" xfId="737" xr:uid="{DCC8DF94-EF58-48F7-8483-3D452D76353F}"/>
    <cellStyle name="Comma 2 2 2 2" xfId="738" xr:uid="{A52401F7-F7F0-4906-864A-A3B664ED645C}"/>
    <cellStyle name="Comma 2 2 2 2 2" xfId="739" xr:uid="{7542D32E-2859-4E2A-A7CA-96CD493B93C2}"/>
    <cellStyle name="Comma 2 2 2 2 2 2" xfId="740" xr:uid="{757110ED-7CD6-41C2-8D8B-689BBD090F38}"/>
    <cellStyle name="Comma 2 2 2 2 2 2 2" xfId="741" xr:uid="{C284F050-0FD4-4E95-840A-7BDEA9E49D92}"/>
    <cellStyle name="Comma 2 2 2 2 2 2 2 2" xfId="742" xr:uid="{673A3F11-889F-4210-B0A6-91CE17EEC140}"/>
    <cellStyle name="Comma 2 2 2 2 2 3" xfId="743" xr:uid="{2A6EF62E-23A8-490F-9388-276DEDBC8847}"/>
    <cellStyle name="Comma 2 2 2 2 3" xfId="744" xr:uid="{175ADCC3-CA6D-4596-9549-077E6682D1A5}"/>
    <cellStyle name="Comma 2 2 2 2 4" xfId="745" xr:uid="{FEFDB118-FD15-4101-AEC1-963E45967197}"/>
    <cellStyle name="Comma 2 2 2 3" xfId="746" xr:uid="{72EE35B8-C4A1-4BF7-B5BD-DE573587D40A}"/>
    <cellStyle name="Comma 2 2 2 4" xfId="747" xr:uid="{DBC882E8-31DA-49C6-A0C9-9FB46EF3E953}"/>
    <cellStyle name="Comma 2 2 2 5" xfId="748" xr:uid="{C89FB8DF-5055-450C-8F64-2B217FA2B9DC}"/>
    <cellStyle name="Comma 2 2 2 5 2" xfId="749" xr:uid="{4B74FC55-53F0-429E-91AB-AE6D26BA14A9}"/>
    <cellStyle name="Comma 2 2 2 6" xfId="750" xr:uid="{769D54F9-1169-4796-92D6-8DD5395ACF8C}"/>
    <cellStyle name="Comma 2 2 2 7" xfId="751" xr:uid="{4D403F78-6D87-4B3C-8976-3431F1C2AC95}"/>
    <cellStyle name="Comma 2 2 2 7 2" xfId="2167" xr:uid="{19AE42FE-EE20-4832-B01A-68D87E47DE2B}"/>
    <cellStyle name="Comma 2 2 2 7 2 2" xfId="2929" xr:uid="{80B5761D-F2BC-405D-94F6-2DA68EF55BD2}"/>
    <cellStyle name="Comma 2 2 2 7 3" xfId="2556" xr:uid="{70EA0AA5-3D08-40F9-977D-86E5CA9298CA}"/>
    <cellStyle name="Comma 2 2 2 8" xfId="2406" xr:uid="{49E4F133-D468-439E-AD8C-BF16D9504D86}"/>
    <cellStyle name="Comma 2 2 3" xfId="752" xr:uid="{B5B26269-84C8-40F0-AF8B-66BF65774C23}"/>
    <cellStyle name="Comma 2 2 4" xfId="753" xr:uid="{E3B95A32-BDE7-4899-9261-862287171C89}"/>
    <cellStyle name="Comma 2 2 5" xfId="754" xr:uid="{B41602B4-8FE5-44E8-A974-43A0A72E911B}"/>
    <cellStyle name="Comma 2 2 5 2" xfId="755" xr:uid="{5072E14E-5DF8-45E2-881B-676F81DCDF31}"/>
    <cellStyle name="Comma 2 2 6" xfId="756" xr:uid="{A3AA5EF8-6EC0-4B3E-B4A3-FD38035DDB01}"/>
    <cellStyle name="Comma 2 2 7" xfId="757" xr:uid="{76B2BB6E-1706-43C3-BF7B-4E09A7218419}"/>
    <cellStyle name="Comma 2 2 8" xfId="758" xr:uid="{279A47B6-D193-4028-82F2-5717EDF44A6E}"/>
    <cellStyle name="Comma 2 2 8 2" xfId="759" xr:uid="{70ABA681-707F-4DBB-B51D-911F1373AE18}"/>
    <cellStyle name="Comma 2 2 8 2 2" xfId="2169" xr:uid="{708B9E85-6CCA-4B1C-BD48-2BC1451FDDA5}"/>
    <cellStyle name="Comma 2 2 8 2 2 2" xfId="2931" xr:uid="{15A4FD51-3DE2-448A-BED3-4E81DF62D407}"/>
    <cellStyle name="Comma 2 2 8 2 3" xfId="2558" xr:uid="{0556A0AB-68B0-4605-A47F-F28A066CBD64}"/>
    <cellStyle name="Comma 2 2 8 3" xfId="760" xr:uid="{BF99723C-A87C-427F-BFEF-F3C7AEE5A40E}"/>
    <cellStyle name="Comma 2 2 8 3 2" xfId="2170" xr:uid="{6680165D-78C8-47EA-9FA4-2467E761AA66}"/>
    <cellStyle name="Comma 2 2 8 3 2 2" xfId="2932" xr:uid="{3922996A-D699-483E-8475-AA49CB22FB96}"/>
    <cellStyle name="Comma 2 2 8 3 3" xfId="2559" xr:uid="{131B3DFF-D241-4394-B6C8-AEA0F5D43E4B}"/>
    <cellStyle name="Comma 2 2 8 4" xfId="761" xr:uid="{6F8DA3F6-53FC-4391-A9D1-79CE9D3292A1}"/>
    <cellStyle name="Comma 2 2 8 4 2" xfId="2171" xr:uid="{F93E7F1E-F2A6-49B8-AF4D-75BF17F8BE8D}"/>
    <cellStyle name="Comma 2 2 8 4 2 2" xfId="2933" xr:uid="{CAACA649-EA5E-4265-AD00-065052412C3E}"/>
    <cellStyle name="Comma 2 2 8 4 3" xfId="2560" xr:uid="{E23790CF-B2BC-4319-AD7C-AABD614FEA93}"/>
    <cellStyle name="Comma 2 2 8 5" xfId="2168" xr:uid="{9A874031-CA44-4DC4-9BEA-2D68E5F37482}"/>
    <cellStyle name="Comma 2 2 8 5 2" xfId="2930" xr:uid="{D450928E-8978-4F8D-9351-91169D6448AC}"/>
    <cellStyle name="Comma 2 2 8 6" xfId="2557" xr:uid="{6EE37493-4C58-4FC5-99B3-1A8458E27B6E}"/>
    <cellStyle name="Comma 2 2 9" xfId="762" xr:uid="{2F5539F3-C4CA-4234-ACA5-5A07F63DC612}"/>
    <cellStyle name="Comma 2 2 9 2" xfId="2172" xr:uid="{8F5FB17B-082B-41F1-8793-1BE4A741A31B}"/>
    <cellStyle name="Comma 2 2 9 2 2" xfId="2934" xr:uid="{0AEEDCEF-F0E0-4A51-9BE9-193C28718783}"/>
    <cellStyle name="Comma 2 2 9 3" xfId="2561" xr:uid="{F16C8E5E-913D-4222-92AA-E012B9EA6DCE}"/>
    <cellStyle name="Comma 2 2_N2Ac" xfId="763" xr:uid="{65889080-65EA-4838-B3EE-3817DDDEBB87}"/>
    <cellStyle name="Comma 2 20" xfId="764" xr:uid="{B5B3A657-0815-4241-9FE4-BCF5347E3B16}"/>
    <cellStyle name="Comma 2 20 2" xfId="2173" xr:uid="{9038BD1A-87F1-4F45-9781-2F030346D83E}"/>
    <cellStyle name="Comma 2 20 2 2" xfId="2935" xr:uid="{7DA0F904-6660-4516-A116-6B7B5524223F}"/>
    <cellStyle name="Comma 2 20 3" xfId="2562" xr:uid="{5F2948B3-27E0-4AA7-A306-DBFD1C9F6A16}"/>
    <cellStyle name="Comma 2 21" xfId="765" xr:uid="{F4A483F4-B914-4924-9458-97C27B842ADE}"/>
    <cellStyle name="Comma 2 21 2" xfId="2174" xr:uid="{3D6698C3-3B24-4D3C-BC4C-9FC6428D275D}"/>
    <cellStyle name="Comma 2 21 2 2" xfId="2936" xr:uid="{0C6076CA-C4FF-4985-964D-4CB1AB03F61E}"/>
    <cellStyle name="Comma 2 21 3" xfId="2563" xr:uid="{15DB50D7-ED95-4D28-8EB6-91CC31FDA7EF}"/>
    <cellStyle name="Comma 2 22" xfId="766" xr:uid="{87AAF930-B15E-490A-B56D-67C5CEB8770A}"/>
    <cellStyle name="Comma 2 22 10" xfId="767" xr:uid="{BEFFDE8D-F226-4518-989B-F6A4942D92D0}"/>
    <cellStyle name="Comma 2 22 10 2" xfId="2176" xr:uid="{48CA83BA-4D20-488B-B052-305CCCCA49E1}"/>
    <cellStyle name="Comma 2 22 10 2 2" xfId="2938" xr:uid="{180E9ACA-78A6-4B8C-868D-FE7283D0A3A5}"/>
    <cellStyle name="Comma 2 22 10 3" xfId="2565" xr:uid="{FCB4CBED-D000-4B51-BC36-681A54891DD7}"/>
    <cellStyle name="Comma 2 22 11" xfId="768" xr:uid="{15FDFE5D-5BEE-47A5-A881-BCA80A9A6D04}"/>
    <cellStyle name="Comma 2 22 11 2" xfId="2177" xr:uid="{D7FCA5B4-052C-49CD-B426-1F849B4E30F0}"/>
    <cellStyle name="Comma 2 22 11 2 2" xfId="2939" xr:uid="{DAA59C23-30EF-4657-AFB6-64BEC23CC659}"/>
    <cellStyle name="Comma 2 22 11 3" xfId="2566" xr:uid="{159F082C-D4CB-496F-88B0-09827CBFC92E}"/>
    <cellStyle name="Comma 2 22 12" xfId="769" xr:uid="{F1FF7377-5AB7-4797-8D19-04F05461B507}"/>
    <cellStyle name="Comma 2 22 12 2" xfId="2178" xr:uid="{68B34C55-8A31-4A40-B48F-6B0F067DDA93}"/>
    <cellStyle name="Comma 2 22 12 2 2" xfId="2940" xr:uid="{03CA328A-3225-404D-80BC-A110C4675254}"/>
    <cellStyle name="Comma 2 22 12 3" xfId="2567" xr:uid="{FFB73CDB-686E-4B92-BA51-42E7ABC48166}"/>
    <cellStyle name="Comma 2 22 13" xfId="770" xr:uid="{C7132DF6-6717-40A4-8DCD-BBCA2104FFF2}"/>
    <cellStyle name="Comma 2 22 13 2" xfId="2179" xr:uid="{C1787FCA-E925-4DE3-A611-C688003D07D8}"/>
    <cellStyle name="Comma 2 22 13 2 2" xfId="2941" xr:uid="{C883EB0F-2EEC-4D6D-8EC1-FC06E209C21C}"/>
    <cellStyle name="Comma 2 22 13 3" xfId="2568" xr:uid="{AC638648-EA03-4538-959A-0FDC027BFA53}"/>
    <cellStyle name="Comma 2 22 14" xfId="771" xr:uid="{E915D7FA-FF71-4B87-9E3E-79474BFE43D9}"/>
    <cellStyle name="Comma 2 22 14 2" xfId="2180" xr:uid="{34EF0489-D6F9-49CE-87DA-E67287850B9A}"/>
    <cellStyle name="Comma 2 22 14 2 2" xfId="2942" xr:uid="{83B786AC-392F-4608-B8C8-1A9E0877742C}"/>
    <cellStyle name="Comma 2 22 14 3" xfId="2569" xr:uid="{F7628BB9-B8BB-4780-B0CD-03E6C6D8713F}"/>
    <cellStyle name="Comma 2 22 15" xfId="772" xr:uid="{96FF95AC-CD31-46C2-A1D4-3C1EF9ACBD02}"/>
    <cellStyle name="Comma 2 22 15 2" xfId="2181" xr:uid="{8FD9220B-7203-4254-98C3-348D2B95A171}"/>
    <cellStyle name="Comma 2 22 15 2 2" xfId="2943" xr:uid="{2FEA35F7-DA0B-4BCA-A86A-C23EF11133A6}"/>
    <cellStyle name="Comma 2 22 15 3" xfId="2570" xr:uid="{02E875F9-7589-44F3-B4EF-7D2363D3A3EA}"/>
    <cellStyle name="Comma 2 22 16" xfId="773" xr:uid="{8C7FE79F-F871-4E38-AC4D-8D87A1B9B357}"/>
    <cellStyle name="Comma 2 22 16 2" xfId="2182" xr:uid="{85A5232E-7846-4D2C-836E-5089514EC6EC}"/>
    <cellStyle name="Comma 2 22 16 2 2" xfId="2944" xr:uid="{CE9A5279-8518-459D-BD57-F2029EAEE6A5}"/>
    <cellStyle name="Comma 2 22 16 3" xfId="2571" xr:uid="{CFFF8FFF-1C48-4CF8-80DE-98217620CD85}"/>
    <cellStyle name="Comma 2 22 17" xfId="774" xr:uid="{3E0C792D-9E4D-464A-920A-05D167064BCC}"/>
    <cellStyle name="Comma 2 22 17 2" xfId="2183" xr:uid="{DA5F2F47-6BA0-420B-8085-B887F51420DB}"/>
    <cellStyle name="Comma 2 22 17 2 2" xfId="2945" xr:uid="{A90DC50E-ADB0-4428-A50B-FD8929C5D8CB}"/>
    <cellStyle name="Comma 2 22 17 3" xfId="2572" xr:uid="{7E6F1D29-C362-4691-9525-94591305478E}"/>
    <cellStyle name="Comma 2 22 18" xfId="775" xr:uid="{687204B8-2B07-44FE-BF79-BC26E21AA79B}"/>
    <cellStyle name="Comma 2 22 18 2" xfId="2184" xr:uid="{B9602825-9DF7-4403-A743-A67AC393461E}"/>
    <cellStyle name="Comma 2 22 18 2 2" xfId="2946" xr:uid="{89BE0DB3-BE31-4A65-9297-BD27C76667B1}"/>
    <cellStyle name="Comma 2 22 18 3" xfId="2573" xr:uid="{D07C355E-E518-44B6-961D-A3ABAA9A1D8B}"/>
    <cellStyle name="Comma 2 22 19" xfId="2175" xr:uid="{30220110-93DC-40EC-A062-FD36F1976736}"/>
    <cellStyle name="Comma 2 22 19 2" xfId="2937" xr:uid="{5A7BBD2C-9E7F-4448-91E3-D1603002645F}"/>
    <cellStyle name="Comma 2 22 2" xfId="776" xr:uid="{6203201F-B98E-46BE-8FAC-DC82A036E939}"/>
    <cellStyle name="Comma 2 22 2 2" xfId="2185" xr:uid="{2777E08F-9638-4DDE-A74A-A3E4194BE156}"/>
    <cellStyle name="Comma 2 22 2 2 2" xfId="2947" xr:uid="{44015BBD-E5B4-43AF-80BA-25B68CFD1AFC}"/>
    <cellStyle name="Comma 2 22 2 3" xfId="2574" xr:uid="{02D760A6-EBB2-4AA6-9200-1F8EB5F11C4A}"/>
    <cellStyle name="Comma 2 22 20" xfId="2564" xr:uid="{CD4CE8C4-0F7E-451D-B23E-074B012C5023}"/>
    <cellStyle name="Comma 2 22 3" xfId="777" xr:uid="{A4E0A91A-CF29-46D5-8692-38FF27DB5B4C}"/>
    <cellStyle name="Comma 2 22 3 2" xfId="2186" xr:uid="{651473F9-FF0C-4033-A7A1-8E7AE62737A5}"/>
    <cellStyle name="Comma 2 22 3 2 2" xfId="2948" xr:uid="{50301BB0-7BB0-4F0C-B59E-8C5C0BCF2A65}"/>
    <cellStyle name="Comma 2 22 3 3" xfId="2575" xr:uid="{2A029423-0285-4B81-BB9E-16E2252EFC23}"/>
    <cellStyle name="Comma 2 22 4" xfId="778" xr:uid="{FA18032E-4D58-4DEF-A7C5-26815C8C7B06}"/>
    <cellStyle name="Comma 2 22 4 2" xfId="2187" xr:uid="{9E3D611F-1823-4F62-844A-CC0ABC9665BA}"/>
    <cellStyle name="Comma 2 22 4 2 2" xfId="2949" xr:uid="{D86550C2-1D2F-48F7-B207-63A5089B56F9}"/>
    <cellStyle name="Comma 2 22 4 3" xfId="2576" xr:uid="{A3D71D5C-2145-4939-BAD9-58C71D6CADFD}"/>
    <cellStyle name="Comma 2 22 5" xfId="779" xr:uid="{704C447C-0201-4A67-9938-C41EA71201EF}"/>
    <cellStyle name="Comma 2 22 5 2" xfId="2188" xr:uid="{900EF1D3-6AF7-433E-A22B-BB98FB85DD68}"/>
    <cellStyle name="Comma 2 22 5 2 2" xfId="2950" xr:uid="{A17783C3-060E-466F-8B2F-BFD1A28B9E7F}"/>
    <cellStyle name="Comma 2 22 5 3" xfId="2577" xr:uid="{8656B96A-22F4-4127-B55C-AE0A95D915F0}"/>
    <cellStyle name="Comma 2 22 6" xfId="780" xr:uid="{BC47773A-7525-4C46-AE5A-23C94754D5B1}"/>
    <cellStyle name="Comma 2 22 6 2" xfId="2189" xr:uid="{DEBE0B2F-4FC2-44C1-8374-4501A0AE72F9}"/>
    <cellStyle name="Comma 2 22 6 2 2" xfId="2951" xr:uid="{A7B1A701-307A-434E-8726-00224D5D0672}"/>
    <cellStyle name="Comma 2 22 6 3" xfId="2578" xr:uid="{DAD82561-4379-493B-8CBD-EAE99FDBE004}"/>
    <cellStyle name="Comma 2 22 7" xfId="781" xr:uid="{60B942D4-580E-4478-8E53-BDC7CB8C056D}"/>
    <cellStyle name="Comma 2 22 7 2" xfId="2190" xr:uid="{DA030EFD-169D-4005-A64F-6F2B8367E26F}"/>
    <cellStyle name="Comma 2 22 7 2 2" xfId="2952" xr:uid="{756F8C8F-37F6-4132-9A17-EDC1BAD941D2}"/>
    <cellStyle name="Comma 2 22 7 3" xfId="2579" xr:uid="{12334BD9-C043-4B7A-B488-BAAC6BC762E0}"/>
    <cellStyle name="Comma 2 22 8" xfId="782" xr:uid="{D25904E3-E98F-479C-8FEA-297D7BBDADC9}"/>
    <cellStyle name="Comma 2 22 8 2" xfId="2191" xr:uid="{19B28760-4720-40A3-8718-496A79156E1D}"/>
    <cellStyle name="Comma 2 22 8 2 2" xfId="2953" xr:uid="{4B38F63C-2473-4647-A500-CACA69B74386}"/>
    <cellStyle name="Comma 2 22 8 3" xfId="2580" xr:uid="{BCD7E6F0-5E87-4276-94A3-602AA7119C37}"/>
    <cellStyle name="Comma 2 22 9" xfId="783" xr:uid="{D3C52BC4-FD9A-45B4-A933-D519F2BCFC12}"/>
    <cellStyle name="Comma 2 22 9 2" xfId="2192" xr:uid="{032ECA31-7FD7-42D0-B166-B266EBA7E225}"/>
    <cellStyle name="Comma 2 22 9 2 2" xfId="2954" xr:uid="{3D39C4A0-3AE0-480E-9058-F7DBAA168AB7}"/>
    <cellStyle name="Comma 2 22 9 3" xfId="2581" xr:uid="{855A706D-CA4B-4686-AF2E-790764907933}"/>
    <cellStyle name="Comma 2 23" xfId="784" xr:uid="{98EA722F-73F9-493E-B32E-D1B10903F5A1}"/>
    <cellStyle name="Comma 2 23 2" xfId="2193" xr:uid="{ADF0D7B6-626B-46B9-9A6C-9B9D02B18A5A}"/>
    <cellStyle name="Comma 2 23 2 2" xfId="2955" xr:uid="{2B879157-065A-4FA9-A424-962B5F5FB96E}"/>
    <cellStyle name="Comma 2 23 3" xfId="2582" xr:uid="{B8FABABD-45F4-4392-98F7-625A7D348FC5}"/>
    <cellStyle name="Comma 2 24" xfId="785" xr:uid="{45E19D9D-7779-466B-802C-FDC80C48C9CE}"/>
    <cellStyle name="Comma 2 25" xfId="786" xr:uid="{E63B3681-CEA7-425B-A69D-01D97DBA7D32}"/>
    <cellStyle name="Comma 2 26" xfId="787" xr:uid="{99FAF3C5-AFB3-43BB-BA1A-D73664AF30A9}"/>
    <cellStyle name="Comma 2 27" xfId="788" xr:uid="{6BD65B73-C5A2-4633-B059-3E1E3BB7D253}"/>
    <cellStyle name="Comma 2 28" xfId="789" xr:uid="{CBA1EF73-DC4C-4980-8DF3-6D8954A9D748}"/>
    <cellStyle name="Comma 2 28 10" xfId="790" xr:uid="{206D6EC1-D4B1-4D8B-A64D-70CD1CB6424C}"/>
    <cellStyle name="Comma 2 28 10 2" xfId="2195" xr:uid="{1EFF64DF-96FA-426D-954F-BEC0C2B060AD}"/>
    <cellStyle name="Comma 2 28 10 2 2" xfId="2957" xr:uid="{DC982422-535C-4E9C-BA2F-3F04048D2443}"/>
    <cellStyle name="Comma 2 28 10 3" xfId="2584" xr:uid="{DCE596F5-C9A6-4244-8249-319D9BF6F9B8}"/>
    <cellStyle name="Comma 2 28 11" xfId="791" xr:uid="{29B2DAAE-0A35-4C25-90F6-3B7E1DEF4596}"/>
    <cellStyle name="Comma 2 28 11 2" xfId="2196" xr:uid="{7EC3F0DC-AED5-4449-889D-E06140D8F58F}"/>
    <cellStyle name="Comma 2 28 11 2 2" xfId="2958" xr:uid="{5E48AB66-9F9D-4FFA-A8ED-93EF71971A75}"/>
    <cellStyle name="Comma 2 28 11 3" xfId="2585" xr:uid="{DB9113C1-B42A-4141-8061-5908E3B15487}"/>
    <cellStyle name="Comma 2 28 12" xfId="792" xr:uid="{42986943-F00F-47B5-B150-E59B7E559ED7}"/>
    <cellStyle name="Comma 2 28 12 2" xfId="2197" xr:uid="{7128CDE5-4560-493C-B407-444993DA2265}"/>
    <cellStyle name="Comma 2 28 12 2 2" xfId="2959" xr:uid="{579B65FD-685F-429F-AE39-73F3553C45BC}"/>
    <cellStyle name="Comma 2 28 12 3" xfId="2586" xr:uid="{8C0F0799-DAED-4879-AFCA-2F7F8EE291BC}"/>
    <cellStyle name="Comma 2 28 13" xfId="793" xr:uid="{01AF45F7-6A05-41D0-8FBF-468EC38304C8}"/>
    <cellStyle name="Comma 2 28 13 2" xfId="2198" xr:uid="{17B21C0E-7238-47AB-A00C-F5130A135782}"/>
    <cellStyle name="Comma 2 28 13 2 2" xfId="2960" xr:uid="{213E546C-8A21-487C-850E-B50E11A23D1E}"/>
    <cellStyle name="Comma 2 28 13 3" xfId="2587" xr:uid="{3120E74A-8E3F-4BBB-8B81-AB8CDD477686}"/>
    <cellStyle name="Comma 2 28 14" xfId="794" xr:uid="{FD71AA2A-285A-4C31-9E5D-A937D22A0E17}"/>
    <cellStyle name="Comma 2 28 14 2" xfId="2199" xr:uid="{5A29C789-3535-4782-BD8A-960F1690A831}"/>
    <cellStyle name="Comma 2 28 14 2 2" xfId="2961" xr:uid="{26E85C3B-A007-4C65-8A09-D502B91FDD6C}"/>
    <cellStyle name="Comma 2 28 14 3" xfId="2588" xr:uid="{804AFDF3-CF62-46C6-8A8F-F3E1C629B686}"/>
    <cellStyle name="Comma 2 28 15" xfId="795" xr:uid="{9EEEA568-57B6-44E4-82A3-A9A952E057C5}"/>
    <cellStyle name="Comma 2 28 15 2" xfId="2200" xr:uid="{FFEB7117-E7A6-4E5E-A6F9-75161D42BBC4}"/>
    <cellStyle name="Comma 2 28 15 2 2" xfId="2962" xr:uid="{DB74CF0A-40B0-46F9-B10B-78CE1B24CE34}"/>
    <cellStyle name="Comma 2 28 15 3" xfId="2589" xr:uid="{8F6909AA-1DAB-4FA8-A713-19791BAD7D85}"/>
    <cellStyle name="Comma 2 28 16" xfId="2194" xr:uid="{DDCF8697-1097-489D-8C9F-1CFFC5EE0F72}"/>
    <cellStyle name="Comma 2 28 16 2" xfId="2956" xr:uid="{486CD301-A303-42B9-A105-94FA1F22D4A1}"/>
    <cellStyle name="Comma 2 28 17" xfId="2583" xr:uid="{CF105D4A-4794-472B-97E9-ACF7096F0250}"/>
    <cellStyle name="Comma 2 28 2" xfId="796" xr:uid="{8A82C2BC-B939-4CBC-B228-C6B04B6908BA}"/>
    <cellStyle name="Comma 2 28 2 2" xfId="2201" xr:uid="{8CC24DBB-3178-43B5-84BD-7FF724ABFC17}"/>
    <cellStyle name="Comma 2 28 2 2 2" xfId="2963" xr:uid="{8854DF02-603C-4419-BF7F-C5A54D81C62C}"/>
    <cellStyle name="Comma 2 28 2 3" xfId="2590" xr:uid="{4F23FBDD-4E3F-4872-AB23-4FD82CBFD4A9}"/>
    <cellStyle name="Comma 2 28 3" xfId="797" xr:uid="{A4FED562-18FF-4276-B5CD-65B7FF0A243B}"/>
    <cellStyle name="Comma 2 28 3 2" xfId="2202" xr:uid="{5987A115-F219-462D-9C88-5C85FB86CD7C}"/>
    <cellStyle name="Comma 2 28 3 2 2" xfId="2964" xr:uid="{2297F783-CEA4-46ED-976B-2819D3541CAF}"/>
    <cellStyle name="Comma 2 28 3 3" xfId="2591" xr:uid="{10DBE520-D1F8-407B-821F-85A3F634EC21}"/>
    <cellStyle name="Comma 2 28 4" xfId="798" xr:uid="{DC4DA79D-1D9F-43DD-AB57-3934DEADE8DF}"/>
    <cellStyle name="Comma 2 28 4 2" xfId="2203" xr:uid="{1D5B3BA6-93B9-49C2-88D5-7E0A7AAA6302}"/>
    <cellStyle name="Comma 2 28 4 2 2" xfId="2965" xr:uid="{F0145FC2-84F2-4D64-BA9C-E58B24718DF9}"/>
    <cellStyle name="Comma 2 28 4 3" xfId="2592" xr:uid="{5F51FD4D-5E1F-435F-8BC5-2F3C9B05E299}"/>
    <cellStyle name="Comma 2 28 5" xfId="799" xr:uid="{6C57413F-88B1-41C5-B0F3-52F1F9B073CE}"/>
    <cellStyle name="Comma 2 28 5 2" xfId="2204" xr:uid="{CCD3C74A-7419-4C42-B7C0-662BFFAB2741}"/>
    <cellStyle name="Comma 2 28 5 2 2" xfId="2966" xr:uid="{5C28FA6D-87EB-4902-933B-B1BC110F3F60}"/>
    <cellStyle name="Comma 2 28 5 3" xfId="2593" xr:uid="{E5CC5F5A-2C20-48CE-AB4A-0D68569489F8}"/>
    <cellStyle name="Comma 2 28 6" xfId="800" xr:uid="{FA74EDA8-44FF-48B1-9CB1-0F704C093361}"/>
    <cellStyle name="Comma 2 28 6 2" xfId="2205" xr:uid="{FA117E1E-A251-497E-A585-B98C57700A7C}"/>
    <cellStyle name="Comma 2 28 6 2 2" xfId="2967" xr:uid="{0640E77F-8A87-4BB5-A005-AA55DCFE3E81}"/>
    <cellStyle name="Comma 2 28 6 3" xfId="2594" xr:uid="{73550302-CD10-46E7-AA3B-1B02627117D6}"/>
    <cellStyle name="Comma 2 28 7" xfId="801" xr:uid="{B3E5F096-CB4D-4B16-8214-E139FCBDF578}"/>
    <cellStyle name="Comma 2 28 7 2" xfId="2206" xr:uid="{DCD95CA8-1584-4B5B-9954-2D0DF855BAFA}"/>
    <cellStyle name="Comma 2 28 7 2 2" xfId="2968" xr:uid="{4F29C2ED-CC92-4AF9-AB21-3E2AB396F04C}"/>
    <cellStyle name="Comma 2 28 7 3" xfId="2595" xr:uid="{C639A011-F636-4B59-A148-1E302BC42A78}"/>
    <cellStyle name="Comma 2 28 8" xfId="802" xr:uid="{04C8D7A9-AC61-4928-9632-16079D0E20F9}"/>
    <cellStyle name="Comma 2 28 8 2" xfId="2207" xr:uid="{BD913EF6-4625-4234-9612-79A038FD8619}"/>
    <cellStyle name="Comma 2 28 8 2 2" xfId="2969" xr:uid="{B45F0AAF-1F24-4EA3-AF4D-CBBB1F06FB4D}"/>
    <cellStyle name="Comma 2 28 8 3" xfId="2596" xr:uid="{4EABEC0E-D0A5-4B44-ABA9-5B52B5B9D8BA}"/>
    <cellStyle name="Comma 2 28 9" xfId="803" xr:uid="{6D76B688-1FD7-4DA9-8429-8C39A01D23A1}"/>
    <cellStyle name="Comma 2 28 9 2" xfId="2208" xr:uid="{4D0228E3-B35A-4758-936B-ADD7E9A929F5}"/>
    <cellStyle name="Comma 2 28 9 2 2" xfId="2970" xr:uid="{A5B14673-1F07-401C-9452-227E21EA54E7}"/>
    <cellStyle name="Comma 2 28 9 3" xfId="2597" xr:uid="{BFFCCCAA-EECD-4D22-B93A-51E526613CDA}"/>
    <cellStyle name="Comma 2 29" xfId="804" xr:uid="{86380420-E762-4EAE-8950-B5F76D61037D}"/>
    <cellStyle name="Comma 2 29 10" xfId="805" xr:uid="{2C989769-0DF6-4821-82DD-31F88AF64424}"/>
    <cellStyle name="Comma 2 29 10 2" xfId="2210" xr:uid="{90775879-F4E0-4A68-9A6F-2AFF8703557A}"/>
    <cellStyle name="Comma 2 29 10 2 2" xfId="2972" xr:uid="{4D66BB64-B547-4056-978D-EEAB021660EB}"/>
    <cellStyle name="Comma 2 29 10 3" xfId="2599" xr:uid="{58E19484-CDC0-4AD5-B6A1-F85FE6D78E64}"/>
    <cellStyle name="Comma 2 29 11" xfId="806" xr:uid="{6B900623-783F-4948-8414-BF0F0110F978}"/>
    <cellStyle name="Comma 2 29 11 2" xfId="2211" xr:uid="{9972E969-8305-47AC-9881-FE471A4A7034}"/>
    <cellStyle name="Comma 2 29 11 2 2" xfId="2973" xr:uid="{C068E090-B0A2-4EDB-84A1-B0E8F1E26E71}"/>
    <cellStyle name="Comma 2 29 11 3" xfId="2600" xr:uid="{CACD5057-94ED-4FF0-B25D-3B620E14D3DC}"/>
    <cellStyle name="Comma 2 29 12" xfId="807" xr:uid="{4B8A757B-57DB-4C84-A348-E23F9A8E26DA}"/>
    <cellStyle name="Comma 2 29 12 2" xfId="2212" xr:uid="{A7F2B42C-8433-4DD7-95EE-8126741CA228}"/>
    <cellStyle name="Comma 2 29 12 2 2" xfId="2974" xr:uid="{608ECEB4-0D2C-4FEF-8D49-D171ECDC8FB5}"/>
    <cellStyle name="Comma 2 29 12 3" xfId="2601" xr:uid="{F535E6EB-11C8-4C8D-A366-33163D250859}"/>
    <cellStyle name="Comma 2 29 13" xfId="808" xr:uid="{14AEEF71-450C-4E65-8AE9-DB6C61D7244F}"/>
    <cellStyle name="Comma 2 29 13 2" xfId="2213" xr:uid="{5C1EC47D-6B85-4002-94B0-A0080B9B6B09}"/>
    <cellStyle name="Comma 2 29 13 2 2" xfId="2975" xr:uid="{387C13E8-C510-4DFC-8C0F-1BD39B5C7AA3}"/>
    <cellStyle name="Comma 2 29 13 3" xfId="2602" xr:uid="{785329ED-A0DD-49D8-9940-1847426C4D5C}"/>
    <cellStyle name="Comma 2 29 14" xfId="809" xr:uid="{4909B9AF-7CFE-4E39-B405-A99E436C522B}"/>
    <cellStyle name="Comma 2 29 14 2" xfId="2214" xr:uid="{ED9BD1E2-D134-4A87-AD06-075B9234DCBD}"/>
    <cellStyle name="Comma 2 29 14 2 2" xfId="2976" xr:uid="{38F617D2-5B5C-4F49-B7BF-AEE1124DEDE8}"/>
    <cellStyle name="Comma 2 29 14 3" xfId="2603" xr:uid="{4E896B26-2569-4CC8-BEBD-A9AE3C762E70}"/>
    <cellStyle name="Comma 2 29 15" xfId="810" xr:uid="{8E91C977-67BA-45C5-8A11-F0F9AE962551}"/>
    <cellStyle name="Comma 2 29 15 2" xfId="2215" xr:uid="{C443065D-E20A-4A09-A6F8-46702FEDA27B}"/>
    <cellStyle name="Comma 2 29 15 2 2" xfId="2977" xr:uid="{CBB2090A-AD51-424B-9A26-2A5711931DB6}"/>
    <cellStyle name="Comma 2 29 15 3" xfId="2604" xr:uid="{3A2ACE47-D61A-40C4-AD3D-E2B2C22B086F}"/>
    <cellStyle name="Comma 2 29 16" xfId="2209" xr:uid="{1030E106-FEBE-4884-97EF-8C8A5F803AEF}"/>
    <cellStyle name="Comma 2 29 16 2" xfId="2971" xr:uid="{8DB22A22-D4F4-4916-A65F-347EF340A5FD}"/>
    <cellStyle name="Comma 2 29 17" xfId="2598" xr:uid="{7115CFAA-44E7-4498-80A9-B3F172747104}"/>
    <cellStyle name="Comma 2 29 2" xfId="811" xr:uid="{6F83758F-B7FF-44C6-9786-35BEAB4ABEE4}"/>
    <cellStyle name="Comma 2 29 2 2" xfId="2216" xr:uid="{D1B5FC27-7443-4CDE-BBCF-7E1FF3906963}"/>
    <cellStyle name="Comma 2 29 2 2 2" xfId="2978" xr:uid="{34753F9C-FCD5-426C-8950-E62D0A5FAC52}"/>
    <cellStyle name="Comma 2 29 2 3" xfId="2605" xr:uid="{3E6C3409-6DE5-442E-A465-9120E335C06C}"/>
    <cellStyle name="Comma 2 29 3" xfId="812" xr:uid="{E91007EE-AA48-43AC-9634-9C23D9157A94}"/>
    <cellStyle name="Comma 2 29 3 2" xfId="2217" xr:uid="{31627EBF-2649-44AB-8DEC-CDD73F048220}"/>
    <cellStyle name="Comma 2 29 3 2 2" xfId="2979" xr:uid="{2C171D67-2CAA-4C58-9C01-A1B0825FA2C8}"/>
    <cellStyle name="Comma 2 29 3 3" xfId="2606" xr:uid="{5671A234-5A22-4AC2-A91B-0485FBEBB686}"/>
    <cellStyle name="Comma 2 29 4" xfId="813" xr:uid="{22A5A860-10ED-49F7-A504-62C9304EB693}"/>
    <cellStyle name="Comma 2 29 4 2" xfId="2218" xr:uid="{6625201A-C0EE-48B5-A058-77010EB96DB9}"/>
    <cellStyle name="Comma 2 29 4 2 2" xfId="2980" xr:uid="{1C675F7A-1E4C-4CB8-A74F-6B194CB04BEF}"/>
    <cellStyle name="Comma 2 29 4 3" xfId="2607" xr:uid="{E225CB8E-68E9-4F7E-81D8-613B28321E37}"/>
    <cellStyle name="Comma 2 29 5" xfId="814" xr:uid="{33A962A3-7AB2-4C6D-9C48-92CBA2652414}"/>
    <cellStyle name="Comma 2 29 5 2" xfId="2219" xr:uid="{81D1410E-8FF2-4EE7-B1BD-7F262846F260}"/>
    <cellStyle name="Comma 2 29 5 2 2" xfId="2981" xr:uid="{2BDFCB24-B415-40EA-8123-8D93468AF3FC}"/>
    <cellStyle name="Comma 2 29 5 3" xfId="2608" xr:uid="{CEF3038C-5E33-4596-9E8F-209C952CC37B}"/>
    <cellStyle name="Comma 2 29 6" xfId="815" xr:uid="{E2D0D67C-321C-4F3D-9F42-2FDC08E832C2}"/>
    <cellStyle name="Comma 2 29 6 2" xfId="2220" xr:uid="{840C1962-D01D-443B-9A9F-38639684788B}"/>
    <cellStyle name="Comma 2 29 6 2 2" xfId="2982" xr:uid="{B57932E1-CB6E-410D-BEDB-4D4FA7EF0EF9}"/>
    <cellStyle name="Comma 2 29 6 3" xfId="2609" xr:uid="{7107BB8B-3B06-4B49-A4E9-470ED24902D6}"/>
    <cellStyle name="Comma 2 29 7" xfId="816" xr:uid="{E60036A0-A35E-4381-958B-0C2C221B0E24}"/>
    <cellStyle name="Comma 2 29 7 2" xfId="2221" xr:uid="{6363BE1A-5D5C-438E-B869-56B116658A72}"/>
    <cellStyle name="Comma 2 29 7 2 2" xfId="2983" xr:uid="{F749F9CE-61A0-4B7D-A3AF-24C189E767A9}"/>
    <cellStyle name="Comma 2 29 7 3" xfId="2610" xr:uid="{B128C024-C53E-45AD-88D0-CA6175E09DDB}"/>
    <cellStyle name="Comma 2 29 8" xfId="817" xr:uid="{9897237E-0D42-4C8D-ACD7-C3A94F4EF27B}"/>
    <cellStyle name="Comma 2 29 8 2" xfId="2222" xr:uid="{FB3D9A4C-5842-4709-AE9B-A9CF7484E043}"/>
    <cellStyle name="Comma 2 29 8 2 2" xfId="2984" xr:uid="{1B5F580F-BE86-4F55-8877-F5D440F20FA4}"/>
    <cellStyle name="Comma 2 29 8 3" xfId="2611" xr:uid="{CBC67E9F-BD1B-4518-9162-72D59DD967C2}"/>
    <cellStyle name="Comma 2 29 9" xfId="818" xr:uid="{01BD1880-AD52-4AB3-819F-BCAA289E3B95}"/>
    <cellStyle name="Comma 2 29 9 2" xfId="2223" xr:uid="{984BF7BE-472D-43D1-8C96-1BA62949FC25}"/>
    <cellStyle name="Comma 2 29 9 2 2" xfId="2985" xr:uid="{505D8EF8-2BEF-4048-B21C-824EC1974E4B}"/>
    <cellStyle name="Comma 2 29 9 3" xfId="2612" xr:uid="{5DD7FAC2-C9B4-4A30-9793-4365904D048A}"/>
    <cellStyle name="Comma 2 3" xfId="819" xr:uid="{8435B98E-CE34-400C-A380-B7A3D5EC3F5D}"/>
    <cellStyle name="Comma 2 3 2" xfId="820" xr:uid="{9765C58A-3FF7-49BF-8997-0F4FF490B74C}"/>
    <cellStyle name="Comma 2 3 2 10" xfId="821" xr:uid="{72DF6666-5D1E-4CE5-9C86-8B134E4B4E08}"/>
    <cellStyle name="Comma 2 3 2 10 2" xfId="2225" xr:uid="{16AF4702-659C-4A80-B6F1-80D577464FCE}"/>
    <cellStyle name="Comma 2 3 2 10 2 2" xfId="2987" xr:uid="{8EB3C66C-D538-4DFB-8D6B-85C0F20B2FF0}"/>
    <cellStyle name="Comma 2 3 2 10 3" xfId="2614" xr:uid="{5D4F92C2-95D1-4C8B-B01C-4743CF5178A2}"/>
    <cellStyle name="Comma 2 3 2 11" xfId="822" xr:uid="{A4B8CA39-658A-4187-807B-F3877CD32C7C}"/>
    <cellStyle name="Comma 2 3 2 11 2" xfId="2226" xr:uid="{CDE079D1-5226-4683-A767-E57B495A788C}"/>
    <cellStyle name="Comma 2 3 2 11 2 2" xfId="2988" xr:uid="{DF4B4AC1-D536-49B0-8A7B-4A2658F28253}"/>
    <cellStyle name="Comma 2 3 2 11 3" xfId="2615" xr:uid="{87DB82EE-9FCE-4C66-85FA-4950513392EE}"/>
    <cellStyle name="Comma 2 3 2 12" xfId="823" xr:uid="{08EAD113-6BF3-4B16-A6BF-518721E9A950}"/>
    <cellStyle name="Comma 2 3 2 12 2" xfId="2227" xr:uid="{87021496-E5F4-47A6-888F-D2A21F0850E5}"/>
    <cellStyle name="Comma 2 3 2 12 2 2" xfId="2989" xr:uid="{1BF139B4-8470-4E22-A649-C26846380A95}"/>
    <cellStyle name="Comma 2 3 2 12 3" xfId="2616" xr:uid="{EB81FF0F-1FEB-4659-8E78-3825ACBEC2F2}"/>
    <cellStyle name="Comma 2 3 2 13" xfId="824" xr:uid="{E7DFACEE-96A2-4115-9580-48DDB7207AA4}"/>
    <cellStyle name="Comma 2 3 2 13 2" xfId="2228" xr:uid="{6E0F30CD-C948-4059-BC36-39A02192342C}"/>
    <cellStyle name="Comma 2 3 2 13 2 2" xfId="2990" xr:uid="{DD99AD26-CB19-43F4-810E-FAF4A5022133}"/>
    <cellStyle name="Comma 2 3 2 13 3" xfId="2617" xr:uid="{C5892FE0-0FA6-404E-BC24-BBC7FF0035AE}"/>
    <cellStyle name="Comma 2 3 2 14" xfId="825" xr:uid="{42B3EAE2-A93F-4131-9EB6-368A5C26F6F2}"/>
    <cellStyle name="Comma 2 3 2 14 2" xfId="2229" xr:uid="{C123C152-F71C-4F61-9DB7-29353BA2570D}"/>
    <cellStyle name="Comma 2 3 2 14 2 2" xfId="2991" xr:uid="{BF9D7879-D1FC-475F-8FD2-F671385422A0}"/>
    <cellStyle name="Comma 2 3 2 14 3" xfId="2618" xr:uid="{CC263431-265B-41C0-9CCA-037AE8011D10}"/>
    <cellStyle name="Comma 2 3 2 15" xfId="826" xr:uid="{FE99F398-5709-4917-9E06-C6D445BB7D89}"/>
    <cellStyle name="Comma 2 3 2 15 2" xfId="2230" xr:uid="{2832A43C-785B-456B-A451-809A5DAE92F9}"/>
    <cellStyle name="Comma 2 3 2 15 2 2" xfId="2992" xr:uid="{0428AAAD-53EE-4F83-B0DA-70C05A0C05BB}"/>
    <cellStyle name="Comma 2 3 2 15 3" xfId="2619" xr:uid="{4F65368D-EE71-4515-89BD-54E84146F0ED}"/>
    <cellStyle name="Comma 2 3 2 16" xfId="827" xr:uid="{CBCBB71A-CACA-49EA-8CC7-76AB3921BCAF}"/>
    <cellStyle name="Comma 2 3 2 16 2" xfId="2231" xr:uid="{BE437AE8-4795-4482-84D8-0C732230B95E}"/>
    <cellStyle name="Comma 2 3 2 16 2 2" xfId="2993" xr:uid="{3232A8FA-5E1E-4F6E-AE4F-5ED7CCCFBEBA}"/>
    <cellStyle name="Comma 2 3 2 16 3" xfId="2620" xr:uid="{A9B4D511-F4F1-4ACD-860B-C73385EA5829}"/>
    <cellStyle name="Comma 2 3 2 17" xfId="828" xr:uid="{0719701B-0DA0-47CB-B519-9643FB667A3E}"/>
    <cellStyle name="Comma 2 3 2 17 2" xfId="2232" xr:uid="{30797695-57F8-4EAC-B760-8429FF17F72F}"/>
    <cellStyle name="Comma 2 3 2 17 2 2" xfId="2994" xr:uid="{09581988-DCDE-4CF9-9C9A-647F436A3D7B}"/>
    <cellStyle name="Comma 2 3 2 17 3" xfId="2621" xr:uid="{AADFCB0C-1EA0-40CD-AD73-5E1BE95A37A4}"/>
    <cellStyle name="Comma 2 3 2 18" xfId="829" xr:uid="{0B376C76-DC70-4123-9CF5-E5D225CC97EA}"/>
    <cellStyle name="Comma 2 3 2 18 2" xfId="2233" xr:uid="{9BF422B1-764E-4BAD-BE2C-1BC203A23DC2}"/>
    <cellStyle name="Comma 2 3 2 18 2 2" xfId="2995" xr:uid="{F9A24C23-BBC0-4CBD-A8B0-71AE20C831D7}"/>
    <cellStyle name="Comma 2 3 2 18 3" xfId="2622" xr:uid="{5643B19C-C7AF-4DE6-900F-77437EFFCCC3}"/>
    <cellStyle name="Comma 2 3 2 19" xfId="2224" xr:uid="{4A7FC0E9-E46E-49B2-A10B-64B0601C01C3}"/>
    <cellStyle name="Comma 2 3 2 19 2" xfId="2986" xr:uid="{3DF3165D-85A2-46BA-9823-E43C865FC4D0}"/>
    <cellStyle name="Comma 2 3 2 2" xfId="830" xr:uid="{FCCE4C75-000A-4164-9BC9-83E75833E619}"/>
    <cellStyle name="Comma 2 3 2 2 2" xfId="2234" xr:uid="{35774EFC-B5AB-487A-9003-A85F8D251102}"/>
    <cellStyle name="Comma 2 3 2 2 2 2" xfId="2996" xr:uid="{70C69F4A-2598-486C-9D03-EFFE67F291F9}"/>
    <cellStyle name="Comma 2 3 2 2 3" xfId="2623" xr:uid="{71C5A3B8-6606-4713-B64A-41BE73835D97}"/>
    <cellStyle name="Comma 2 3 2 20" xfId="2613" xr:uid="{0D63D8D6-3706-4038-ADA9-2690D6601E56}"/>
    <cellStyle name="Comma 2 3 2 3" xfId="831" xr:uid="{5B433C29-385C-4292-B2BC-E65B2B5C8028}"/>
    <cellStyle name="Comma 2 3 2 3 2" xfId="2235" xr:uid="{D1B9466B-BEF6-49CA-A731-3A154913E84A}"/>
    <cellStyle name="Comma 2 3 2 3 2 2" xfId="2997" xr:uid="{8B34F88C-AD8E-4E1F-8A45-4761989248DF}"/>
    <cellStyle name="Comma 2 3 2 3 3" xfId="2624" xr:uid="{80C5517F-F1AE-4B0A-9DC7-D1F7E2F03366}"/>
    <cellStyle name="Comma 2 3 2 4" xfId="832" xr:uid="{FF3894DD-C00C-4E79-935F-FA262BC64356}"/>
    <cellStyle name="Comma 2 3 2 4 2" xfId="2236" xr:uid="{2AF4C77B-C000-4518-9AAE-F90ED13839B6}"/>
    <cellStyle name="Comma 2 3 2 4 2 2" xfId="2998" xr:uid="{9E09AC47-CD16-4409-B6B3-636D2B9F4217}"/>
    <cellStyle name="Comma 2 3 2 4 3" xfId="2625" xr:uid="{7DEC27A5-EA1D-4726-B154-1596B3EF7277}"/>
    <cellStyle name="Comma 2 3 2 5" xfId="833" xr:uid="{3BF47EA0-283A-41BA-A3FB-284653D4BC29}"/>
    <cellStyle name="Comma 2 3 2 5 2" xfId="2237" xr:uid="{24AB02F8-EE2A-4585-9524-BA815EB83FEA}"/>
    <cellStyle name="Comma 2 3 2 5 2 2" xfId="2999" xr:uid="{21582ACB-33E0-4623-BABB-6E5E91FC38AD}"/>
    <cellStyle name="Comma 2 3 2 5 3" xfId="2626" xr:uid="{C2838822-E8D3-48BF-A26E-3D9599134165}"/>
    <cellStyle name="Comma 2 3 2 6" xfId="834" xr:uid="{E72FF425-9383-4D17-AD6C-07A2675E72C9}"/>
    <cellStyle name="Comma 2 3 2 6 2" xfId="2238" xr:uid="{7BD05749-A98B-4986-9C75-B799060CDD53}"/>
    <cellStyle name="Comma 2 3 2 6 2 2" xfId="3000" xr:uid="{97998665-7183-4E69-8579-543330EBFF6B}"/>
    <cellStyle name="Comma 2 3 2 6 3" xfId="2627" xr:uid="{40E37684-29D2-4CA7-979D-DD8BF93DBA60}"/>
    <cellStyle name="Comma 2 3 2 7" xfId="835" xr:uid="{2308E6B8-D404-42A2-88C3-84373EA1CE54}"/>
    <cellStyle name="Comma 2 3 2 7 2" xfId="2239" xr:uid="{C36C14FC-DD81-439A-8901-DEC59C5BAB77}"/>
    <cellStyle name="Comma 2 3 2 7 2 2" xfId="3001" xr:uid="{F18A2401-3793-4626-A0BD-B1802FD635A3}"/>
    <cellStyle name="Comma 2 3 2 7 3" xfId="2628" xr:uid="{EC278B69-6FBE-4812-899F-E71380969D0E}"/>
    <cellStyle name="Comma 2 3 2 8" xfId="836" xr:uid="{424E46E5-68A1-46E5-886B-FA3D4C7BCA34}"/>
    <cellStyle name="Comma 2 3 2 8 2" xfId="2240" xr:uid="{3701E57A-52AC-473A-A6BC-EAC81358B465}"/>
    <cellStyle name="Comma 2 3 2 8 2 2" xfId="3002" xr:uid="{840F412E-01CA-47FF-9A23-88BF7AB6B819}"/>
    <cellStyle name="Comma 2 3 2 8 3" xfId="2629" xr:uid="{59232EC8-3A56-440B-A8C1-6A3CEC49BFCC}"/>
    <cellStyle name="Comma 2 3 2 9" xfId="837" xr:uid="{6BBD9502-9314-4AB0-9A6D-BCCBE3F3EF33}"/>
    <cellStyle name="Comma 2 3 2 9 2" xfId="2241" xr:uid="{36218CA3-D1C2-4683-A9C3-119B182B02FF}"/>
    <cellStyle name="Comma 2 3 2 9 2 2" xfId="3003" xr:uid="{72C720B2-23B5-49B0-858C-EF1ACDDA5F1B}"/>
    <cellStyle name="Comma 2 3 2 9 3" xfId="2630" xr:uid="{9A7D02F4-5B43-4638-892E-74DB6B322125}"/>
    <cellStyle name="Comma 2 30" xfId="838" xr:uid="{6655CAC5-8EEB-4FE9-AA03-E86597B49327}"/>
    <cellStyle name="Comma 2 30 10" xfId="839" xr:uid="{C0C7947F-BA69-432F-8B20-55EA2FD76707}"/>
    <cellStyle name="Comma 2 30 10 2" xfId="2243" xr:uid="{9FF3225D-633F-4366-B4A9-C82D5E71258C}"/>
    <cellStyle name="Comma 2 30 10 2 2" xfId="3005" xr:uid="{2C51A612-FD12-4D24-9B24-FC51A61496D4}"/>
    <cellStyle name="Comma 2 30 10 3" xfId="2632" xr:uid="{91F62434-D5A7-4203-B1D9-F56818F75A4D}"/>
    <cellStyle name="Comma 2 30 11" xfId="840" xr:uid="{585B50B2-FD1A-43EB-9A8D-4D3A6DE3BD7B}"/>
    <cellStyle name="Comma 2 30 11 2" xfId="2244" xr:uid="{BDA2625C-F726-4359-9DF4-E19B74C07F01}"/>
    <cellStyle name="Comma 2 30 11 2 2" xfId="3006" xr:uid="{7CAA6627-A687-42EA-A59F-EBBFA416DF4B}"/>
    <cellStyle name="Comma 2 30 11 3" xfId="2633" xr:uid="{AA95147F-A72F-4826-937A-A76D823A39B5}"/>
    <cellStyle name="Comma 2 30 12" xfId="841" xr:uid="{CE1DF702-E4D8-43FF-8FAF-5880053480CB}"/>
    <cellStyle name="Comma 2 30 12 2" xfId="2245" xr:uid="{360A2721-646E-4725-939C-64D58E7398DD}"/>
    <cellStyle name="Comma 2 30 12 2 2" xfId="3007" xr:uid="{C22044B2-9E0A-43E1-95DC-30823FD1329E}"/>
    <cellStyle name="Comma 2 30 12 3" xfId="2634" xr:uid="{F3F6D493-EC31-4DE5-9101-FCBCA10252F1}"/>
    <cellStyle name="Comma 2 30 13" xfId="842" xr:uid="{5F43A10B-6897-4AFA-8845-1174E7590D97}"/>
    <cellStyle name="Comma 2 30 13 2" xfId="2246" xr:uid="{DF7F1281-27AF-46F0-9EE9-4179D0769A2A}"/>
    <cellStyle name="Comma 2 30 13 2 2" xfId="3008" xr:uid="{B419AC19-BC70-46E7-82D5-522C8BC30535}"/>
    <cellStyle name="Comma 2 30 13 3" xfId="2635" xr:uid="{DCF4E205-7A5D-4FE9-BAF0-9313517259E5}"/>
    <cellStyle name="Comma 2 30 14" xfId="843" xr:uid="{C1AE20B1-A77A-48F9-BB0C-1AAAEABECD41}"/>
    <cellStyle name="Comma 2 30 14 2" xfId="2247" xr:uid="{5CCE38EB-541F-4BF5-955C-5276D9F497FB}"/>
    <cellStyle name="Comma 2 30 14 2 2" xfId="3009" xr:uid="{FB572140-EEF7-4242-8202-6916CCF9C6F1}"/>
    <cellStyle name="Comma 2 30 14 3" xfId="2636" xr:uid="{01FFF026-4C90-49DD-ACA7-95060225A99A}"/>
    <cellStyle name="Comma 2 30 15" xfId="844" xr:uid="{50D4E08E-A94F-4175-93F7-A9C462763624}"/>
    <cellStyle name="Comma 2 30 15 2" xfId="2248" xr:uid="{236E075B-6E96-45F9-87DD-3C33D4F12EF0}"/>
    <cellStyle name="Comma 2 30 15 2 2" xfId="3010" xr:uid="{4AF2266A-7FD8-48CE-9A5B-041D64E325DA}"/>
    <cellStyle name="Comma 2 30 15 3" xfId="2637" xr:uid="{F297918D-7ED1-4AB7-9F6B-87B39C62B038}"/>
    <cellStyle name="Comma 2 30 16" xfId="2242" xr:uid="{E29D73B1-C20C-4E04-ACE3-26B042597892}"/>
    <cellStyle name="Comma 2 30 16 2" xfId="3004" xr:uid="{FE35121B-91AE-4422-98F6-11897B332875}"/>
    <cellStyle name="Comma 2 30 17" xfId="2631" xr:uid="{D3CEB5E4-31EF-46B2-958A-381994E29443}"/>
    <cellStyle name="Comma 2 30 2" xfId="845" xr:uid="{806E1486-A6B7-42D9-A86A-1B10B2B2F815}"/>
    <cellStyle name="Comma 2 30 2 2" xfId="2249" xr:uid="{C3018BD7-5D47-4C83-AA9E-26FD7CD969F9}"/>
    <cellStyle name="Comma 2 30 2 2 2" xfId="3011" xr:uid="{36C6709F-95DB-4207-806D-0ED6823DD2AF}"/>
    <cellStyle name="Comma 2 30 2 3" xfId="2638" xr:uid="{CF1B235D-DB10-4278-870C-4A4B27F61400}"/>
    <cellStyle name="Comma 2 30 3" xfId="846" xr:uid="{860BA818-ADD0-47E0-B46D-71EE13CBAECF}"/>
    <cellStyle name="Comma 2 30 3 2" xfId="2250" xr:uid="{E83F40DA-CDE4-48D4-99DF-34D780811F64}"/>
    <cellStyle name="Comma 2 30 3 2 2" xfId="3012" xr:uid="{8B6C0DD5-71D0-418F-B283-7AFAD17B77F0}"/>
    <cellStyle name="Comma 2 30 3 3" xfId="2639" xr:uid="{6753A5DA-22D0-4AF5-A2C4-9907501B0643}"/>
    <cellStyle name="Comma 2 30 4" xfId="847" xr:uid="{F82335B1-5B1A-4951-8D14-E8D471A73D9C}"/>
    <cellStyle name="Comma 2 30 4 2" xfId="2251" xr:uid="{25ABA7CF-A2E0-4249-A138-569F7AB9629A}"/>
    <cellStyle name="Comma 2 30 4 2 2" xfId="3013" xr:uid="{B7FB60F7-F44D-4297-B436-7BE63A6E59D8}"/>
    <cellStyle name="Comma 2 30 4 3" xfId="2640" xr:uid="{F5A35DDF-4D94-409E-9146-3E6A18808A04}"/>
    <cellStyle name="Comma 2 30 5" xfId="848" xr:uid="{6A9843E9-2A70-4A6A-9B02-56875754FE61}"/>
    <cellStyle name="Comma 2 30 5 2" xfId="2252" xr:uid="{56C6A4B2-5D99-4160-9055-E9779621BA8E}"/>
    <cellStyle name="Comma 2 30 5 2 2" xfId="3014" xr:uid="{CED70639-7DA0-41AD-AA9C-BD3D18C7D9F1}"/>
    <cellStyle name="Comma 2 30 5 3" xfId="2641" xr:uid="{9B460004-9D58-4E54-A55F-A0B1C48D616E}"/>
    <cellStyle name="Comma 2 30 6" xfId="849" xr:uid="{E58BDC71-2120-4403-AE53-7D85CA44F4A9}"/>
    <cellStyle name="Comma 2 30 6 2" xfId="2253" xr:uid="{54A36914-3217-4285-8605-1943F873DA56}"/>
    <cellStyle name="Comma 2 30 6 2 2" xfId="3015" xr:uid="{B6A712E5-DC91-442B-9537-9EBC02EB0574}"/>
    <cellStyle name="Comma 2 30 6 3" xfId="2642" xr:uid="{565C34E8-C5D0-48BE-B37D-C45CA667A49D}"/>
    <cellStyle name="Comma 2 30 7" xfId="850" xr:uid="{E281DF65-DAA4-4582-87C9-0B23E0213714}"/>
    <cellStyle name="Comma 2 30 7 2" xfId="2254" xr:uid="{7C8DBEF6-AECB-48F7-89BE-A64D41D5E256}"/>
    <cellStyle name="Comma 2 30 7 2 2" xfId="3016" xr:uid="{EBAE1EBF-215E-4C02-9A5A-901A0D2C51CA}"/>
    <cellStyle name="Comma 2 30 7 3" xfId="2643" xr:uid="{73E4F960-9361-48B5-8D12-B3898AC10DB9}"/>
    <cellStyle name="Comma 2 30 8" xfId="851" xr:uid="{1861C7A9-2754-4054-BCE7-C13CC8BAFAC8}"/>
    <cellStyle name="Comma 2 30 8 2" xfId="2255" xr:uid="{CA76038D-AEA8-4024-9B04-F861BD319971}"/>
    <cellStyle name="Comma 2 30 8 2 2" xfId="3017" xr:uid="{D81DF9F6-A166-4361-BACB-E184EBE000F3}"/>
    <cellStyle name="Comma 2 30 8 3" xfId="2644" xr:uid="{ACD29F98-5D35-4C98-A9BD-3B69D2636E45}"/>
    <cellStyle name="Comma 2 30 9" xfId="852" xr:uid="{69123E55-6B72-460D-BBD8-AD2B8790FCB3}"/>
    <cellStyle name="Comma 2 30 9 2" xfId="2256" xr:uid="{116156DA-8BB4-4415-8077-828315F0430E}"/>
    <cellStyle name="Comma 2 30 9 2 2" xfId="3018" xr:uid="{EFAD5212-3327-4783-B1FE-048DE92BAB0F}"/>
    <cellStyle name="Comma 2 30 9 3" xfId="2645" xr:uid="{5C65D80F-B6FC-40E6-BE99-93075D9D25DD}"/>
    <cellStyle name="Comma 2 31" xfId="853" xr:uid="{95444671-89CC-4F10-959A-86003523D63E}"/>
    <cellStyle name="Comma 2 31 10" xfId="854" xr:uid="{49427CAF-A803-4668-9EA9-557FD7565DF2}"/>
    <cellStyle name="Comma 2 31 10 2" xfId="2258" xr:uid="{7F9587D0-CCB9-4F93-89A8-EBA4EE24F9DE}"/>
    <cellStyle name="Comma 2 31 10 2 2" xfId="3020" xr:uid="{5D04FECC-CB9D-451C-8941-B77EE25A06DE}"/>
    <cellStyle name="Comma 2 31 10 3" xfId="2647" xr:uid="{26D4EEF0-5CB2-4E8F-A195-1A0B938B133D}"/>
    <cellStyle name="Comma 2 31 11" xfId="855" xr:uid="{F50CE46A-7E88-417F-8511-C1D7307E304F}"/>
    <cellStyle name="Comma 2 31 11 2" xfId="2259" xr:uid="{E50148EF-5ACA-4AA5-AAF3-DD1DF18BEF27}"/>
    <cellStyle name="Comma 2 31 11 2 2" xfId="3021" xr:uid="{28557B14-8D89-486A-B9B2-075074775F03}"/>
    <cellStyle name="Comma 2 31 11 3" xfId="2648" xr:uid="{67CC3950-3EE1-4A4E-A04E-B90FA7642169}"/>
    <cellStyle name="Comma 2 31 12" xfId="856" xr:uid="{4C54B76A-1984-4654-B064-B0FE60A3C1EF}"/>
    <cellStyle name="Comma 2 31 12 2" xfId="2260" xr:uid="{526D13F9-15F3-48D8-BEC2-C085B1AE9C73}"/>
    <cellStyle name="Comma 2 31 12 2 2" xfId="3022" xr:uid="{0F305C1F-2B4C-4462-9D75-5E719A3B76B1}"/>
    <cellStyle name="Comma 2 31 12 3" xfId="2649" xr:uid="{F8896697-58A7-4347-922A-D0BE380A43EA}"/>
    <cellStyle name="Comma 2 31 13" xfId="857" xr:uid="{094ED710-E0F6-4FAB-869D-B7DCF7D81870}"/>
    <cellStyle name="Comma 2 31 13 2" xfId="2261" xr:uid="{832A3418-D71C-4157-BA9C-3EF000E23E27}"/>
    <cellStyle name="Comma 2 31 13 2 2" xfId="3023" xr:uid="{F5A58E7F-2E74-4AE4-B789-539E2728B893}"/>
    <cellStyle name="Comma 2 31 13 3" xfId="2650" xr:uid="{44532A1D-96A5-4A92-83BA-518B25A97B69}"/>
    <cellStyle name="Comma 2 31 14" xfId="858" xr:uid="{DE732E85-A135-4324-A2FD-91246A793C46}"/>
    <cellStyle name="Comma 2 31 14 2" xfId="2262" xr:uid="{72DF088F-26D3-43A5-8122-F771A57C6850}"/>
    <cellStyle name="Comma 2 31 14 2 2" xfId="3024" xr:uid="{113B6CF2-CE01-4C9D-A9A7-B27EED10012A}"/>
    <cellStyle name="Comma 2 31 14 3" xfId="2651" xr:uid="{3493819A-B08C-49B3-A5EF-A3DABF65811F}"/>
    <cellStyle name="Comma 2 31 15" xfId="859" xr:uid="{6B507224-8C41-4857-AC4E-F8AE164DACEA}"/>
    <cellStyle name="Comma 2 31 15 2" xfId="2263" xr:uid="{3C92E9A9-8249-4303-A8FE-AAF6A5359A9B}"/>
    <cellStyle name="Comma 2 31 15 2 2" xfId="3025" xr:uid="{2E34F2B2-2398-4C11-9838-3F22FCD17C3D}"/>
    <cellStyle name="Comma 2 31 15 3" xfId="2652" xr:uid="{74B6FE26-FBDD-4BD5-A1D3-F99FD44054F9}"/>
    <cellStyle name="Comma 2 31 16" xfId="2257" xr:uid="{4171AF11-B78F-46EB-BA9E-ECE875632B11}"/>
    <cellStyle name="Comma 2 31 16 2" xfId="3019" xr:uid="{F43C4438-2AFB-4F97-A8B0-F678E8224EEC}"/>
    <cellStyle name="Comma 2 31 17" xfId="2646" xr:uid="{01A4B525-4BC9-4406-9E62-D9B59C0C5BF3}"/>
    <cellStyle name="Comma 2 31 2" xfId="860" xr:uid="{43B554A7-CBF4-4574-A93D-A2A4933D58A0}"/>
    <cellStyle name="Comma 2 31 2 2" xfId="2264" xr:uid="{B8B7B987-81A7-47D3-AD71-55A56120CF91}"/>
    <cellStyle name="Comma 2 31 2 2 2" xfId="3026" xr:uid="{C6EE4DFE-41B8-4C82-8BA9-3AE3F21ED049}"/>
    <cellStyle name="Comma 2 31 2 3" xfId="2653" xr:uid="{4FB128DA-4EF2-4ABF-B257-C1B9B85E5C1F}"/>
    <cellStyle name="Comma 2 31 3" xfId="861" xr:uid="{4C9ADC8A-3056-44D1-8B0E-ADB229CF351C}"/>
    <cellStyle name="Comma 2 31 3 2" xfId="2265" xr:uid="{694E4627-CC48-43CB-B965-0DAFD7B104E4}"/>
    <cellStyle name="Comma 2 31 3 2 2" xfId="3027" xr:uid="{F3344DCF-2031-4D60-8EDC-F4927AFB81A4}"/>
    <cellStyle name="Comma 2 31 3 3" xfId="2654" xr:uid="{355DEAB2-9834-4AAD-80AA-D42D0470DBDC}"/>
    <cellStyle name="Comma 2 31 4" xfId="862" xr:uid="{3BDB21A6-DCD5-4DDE-8427-B8C23114FDF4}"/>
    <cellStyle name="Comma 2 31 4 2" xfId="2266" xr:uid="{3F467C30-71AC-4FFC-A9F6-B4575DBB5C1F}"/>
    <cellStyle name="Comma 2 31 4 2 2" xfId="3028" xr:uid="{571085B0-D207-4965-8C59-3955C3215420}"/>
    <cellStyle name="Comma 2 31 4 3" xfId="2655" xr:uid="{971DB50E-C59C-4439-AF5B-088F2B002230}"/>
    <cellStyle name="Comma 2 31 5" xfId="863" xr:uid="{6A72829F-4BF1-433E-956C-A03D176D174B}"/>
    <cellStyle name="Comma 2 31 5 2" xfId="2267" xr:uid="{45BEF618-7CA4-4AF9-B6CB-D8EE6BF80AF3}"/>
    <cellStyle name="Comma 2 31 5 2 2" xfId="3029" xr:uid="{802F3E2F-42E8-424C-8FB7-61678EF2FB7D}"/>
    <cellStyle name="Comma 2 31 5 3" xfId="2656" xr:uid="{40D63196-B57E-4214-A0FF-20D34E86E66A}"/>
    <cellStyle name="Comma 2 31 6" xfId="864" xr:uid="{9C2278DF-B755-41B0-8E70-D9D78924E411}"/>
    <cellStyle name="Comma 2 31 6 2" xfId="2268" xr:uid="{21B5855A-B3E9-459C-BBC8-29EAA1B063AA}"/>
    <cellStyle name="Comma 2 31 6 2 2" xfId="3030" xr:uid="{571114A0-8753-4A21-B3C2-9490D3092F71}"/>
    <cellStyle name="Comma 2 31 6 3" xfId="2657" xr:uid="{10CC97CE-AD79-4571-920D-5782C51F23BF}"/>
    <cellStyle name="Comma 2 31 7" xfId="865" xr:uid="{D1992674-5ECD-4E28-88A6-AAE9FCD1650E}"/>
    <cellStyle name="Comma 2 31 7 2" xfId="2269" xr:uid="{3A651390-01C6-4547-A9DE-0024C22F8799}"/>
    <cellStyle name="Comma 2 31 7 2 2" xfId="3031" xr:uid="{31434761-6F27-4D38-A7D2-F68F77B8C6A0}"/>
    <cellStyle name="Comma 2 31 7 3" xfId="2658" xr:uid="{18251A6C-5417-4A3A-8B09-B3B2E77750A3}"/>
    <cellStyle name="Comma 2 31 8" xfId="866" xr:uid="{B41131AB-F286-4216-9A7C-07145327BD43}"/>
    <cellStyle name="Comma 2 31 8 2" xfId="2270" xr:uid="{D5C87BBA-A441-40E4-AC64-7A7D9F0CE397}"/>
    <cellStyle name="Comma 2 31 8 2 2" xfId="3032" xr:uid="{E87AF4DF-7F58-4C3F-A657-95ED1DB68D48}"/>
    <cellStyle name="Comma 2 31 8 3" xfId="2659" xr:uid="{54F8C232-2C61-4273-BB17-B0D4FAC5EF86}"/>
    <cellStyle name="Comma 2 31 9" xfId="867" xr:uid="{4D5E68C0-49E7-4008-9107-134318D6E46A}"/>
    <cellStyle name="Comma 2 31 9 2" xfId="2271" xr:uid="{3037E29A-85ED-498A-BECA-186E686F0668}"/>
    <cellStyle name="Comma 2 31 9 2 2" xfId="3033" xr:uid="{310DF6B5-9C48-4B13-A502-AD9F7D8F46ED}"/>
    <cellStyle name="Comma 2 31 9 3" xfId="2660" xr:uid="{8CD685E8-596E-4C63-B869-5B3DE11F0F90}"/>
    <cellStyle name="Comma 2 32" xfId="868" xr:uid="{3963FC6B-CD59-4674-A7D1-752C446BF67E}"/>
    <cellStyle name="Comma 2 32 10" xfId="869" xr:uid="{7CFBFA3E-ACB8-4CE8-ACC4-CA10CD9BFCF8}"/>
    <cellStyle name="Comma 2 32 10 2" xfId="2273" xr:uid="{947EAB54-DA47-434E-A0BB-E5EE7549FAAD}"/>
    <cellStyle name="Comma 2 32 10 2 2" xfId="3035" xr:uid="{4EB02CC5-A7D6-4AB4-9929-E50177324D21}"/>
    <cellStyle name="Comma 2 32 10 3" xfId="2662" xr:uid="{EE4B17B6-6BD1-4BC9-80D0-45986916CAD4}"/>
    <cellStyle name="Comma 2 32 11" xfId="870" xr:uid="{50E1F7FC-A7C5-434E-B70D-7813AE10CCE4}"/>
    <cellStyle name="Comma 2 32 11 2" xfId="2274" xr:uid="{70CC3218-3F92-49B8-B3E4-BE530489F966}"/>
    <cellStyle name="Comma 2 32 11 2 2" xfId="3036" xr:uid="{7C387AAC-E124-464C-BEE3-307DE1E4672E}"/>
    <cellStyle name="Comma 2 32 11 3" xfId="2663" xr:uid="{98254597-C447-4BBD-A25F-F157BA6D3B85}"/>
    <cellStyle name="Comma 2 32 12" xfId="871" xr:uid="{AB6E7FE2-1AC5-4798-BDE8-42578B999F73}"/>
    <cellStyle name="Comma 2 32 12 2" xfId="2275" xr:uid="{F189C1DA-AE2E-4AFB-9A68-9DCBA5D3CF3F}"/>
    <cellStyle name="Comma 2 32 12 2 2" xfId="3037" xr:uid="{994864BE-403F-4152-89FC-F1B9CDFB3C2F}"/>
    <cellStyle name="Comma 2 32 12 3" xfId="2664" xr:uid="{B8A9C6AA-E8EB-465F-A188-4C403DD12257}"/>
    <cellStyle name="Comma 2 32 13" xfId="872" xr:uid="{26D2657A-6C1D-41F2-AFC1-6268B90801B2}"/>
    <cellStyle name="Comma 2 32 13 2" xfId="2276" xr:uid="{6E3B19BD-4014-41E4-ABC2-8367665A63E3}"/>
    <cellStyle name="Comma 2 32 13 2 2" xfId="3038" xr:uid="{5D9747CC-3540-4F88-B4B4-65FC8DAE6F29}"/>
    <cellStyle name="Comma 2 32 13 3" xfId="2665" xr:uid="{FE496338-239E-49F6-9E39-F2F0060AE4DB}"/>
    <cellStyle name="Comma 2 32 14" xfId="873" xr:uid="{D9C45C52-4200-47AA-B04F-044208DE83D5}"/>
    <cellStyle name="Comma 2 32 14 2" xfId="2277" xr:uid="{0D6EFC7D-1EFB-4E8F-953B-101AEF97D36A}"/>
    <cellStyle name="Comma 2 32 14 2 2" xfId="3039" xr:uid="{C9224FD1-56BB-40EC-A362-01D136195907}"/>
    <cellStyle name="Comma 2 32 14 3" xfId="2666" xr:uid="{F4109719-AEEB-4C0A-AD64-8F26686D93ED}"/>
    <cellStyle name="Comma 2 32 15" xfId="874" xr:uid="{156005C7-D712-40D9-B7CB-249DAFCAFBB6}"/>
    <cellStyle name="Comma 2 32 15 2" xfId="2278" xr:uid="{07996C85-2E39-4CF3-9F0A-090665915B46}"/>
    <cellStyle name="Comma 2 32 15 2 2" xfId="3040" xr:uid="{9E90C97C-9404-455D-B22D-9A69301E3A5B}"/>
    <cellStyle name="Comma 2 32 15 3" xfId="2667" xr:uid="{FF9D412B-855C-4CEF-8881-0BB692348C84}"/>
    <cellStyle name="Comma 2 32 16" xfId="2272" xr:uid="{4A0ABFD9-244C-46D8-BA37-289041394C24}"/>
    <cellStyle name="Comma 2 32 16 2" xfId="3034" xr:uid="{3DE2E719-E993-49CE-9C77-B9100CBF2DAC}"/>
    <cellStyle name="Comma 2 32 17" xfId="2661" xr:uid="{956FAC20-372C-48AC-A740-D575A6A0B999}"/>
    <cellStyle name="Comma 2 32 2" xfId="875" xr:uid="{A8F835C6-5C93-4AC1-A1F9-89A27B5FD600}"/>
    <cellStyle name="Comma 2 32 2 2" xfId="2279" xr:uid="{4DD78306-3989-479C-B036-45B0BF271068}"/>
    <cellStyle name="Comma 2 32 2 2 2" xfId="3041" xr:uid="{1C57DC1F-0F0C-400E-8C16-5C0175A514FD}"/>
    <cellStyle name="Comma 2 32 2 3" xfId="2668" xr:uid="{D6FCB075-09F6-4FB6-B67A-2E3BAEE317B7}"/>
    <cellStyle name="Comma 2 32 3" xfId="876" xr:uid="{72F88B6A-66D2-4B0B-91E6-76AE3F5EAD9A}"/>
    <cellStyle name="Comma 2 32 3 2" xfId="2280" xr:uid="{A9D9096C-6A25-4156-A5EE-3F679D2AF074}"/>
    <cellStyle name="Comma 2 32 3 2 2" xfId="3042" xr:uid="{E6572058-702F-407C-9974-E6BB3A9C3D6E}"/>
    <cellStyle name="Comma 2 32 3 3" xfId="2669" xr:uid="{202B51E1-64DD-4ABB-A1D3-5390E2166603}"/>
    <cellStyle name="Comma 2 32 4" xfId="877" xr:uid="{86F100AE-BA5C-4540-817B-2834D8AD969A}"/>
    <cellStyle name="Comma 2 32 4 2" xfId="2281" xr:uid="{2780CF0B-281B-4ECD-8D3C-D96AF8AA35CE}"/>
    <cellStyle name="Comma 2 32 4 2 2" xfId="3043" xr:uid="{55CE60ED-4D18-4898-B19F-892F961CFE21}"/>
    <cellStyle name="Comma 2 32 4 3" xfId="2670" xr:uid="{6FC7331E-B5C6-47AF-BC2E-2A502F56643D}"/>
    <cellStyle name="Comma 2 32 5" xfId="878" xr:uid="{AB7DBDF1-5364-488A-BF68-48922445BD12}"/>
    <cellStyle name="Comma 2 32 5 2" xfId="2282" xr:uid="{7FAAD250-7EA5-436F-B234-C44F4D3001FA}"/>
    <cellStyle name="Comma 2 32 5 2 2" xfId="3044" xr:uid="{14453D20-510F-41A4-AAAA-EC5A5C8C9C3A}"/>
    <cellStyle name="Comma 2 32 5 3" xfId="2671" xr:uid="{F54875DF-1301-4D55-B0A0-F9C3D2D16EC5}"/>
    <cellStyle name="Comma 2 32 6" xfId="879" xr:uid="{4B6B4F75-229A-4C98-93B1-20469912103E}"/>
    <cellStyle name="Comma 2 32 6 2" xfId="2283" xr:uid="{B08496B1-E05A-4D20-A885-CD89FA75787A}"/>
    <cellStyle name="Comma 2 32 6 2 2" xfId="3045" xr:uid="{A749EE3F-A13D-4F70-9E5B-2F9E250F5134}"/>
    <cellStyle name="Comma 2 32 6 3" xfId="2672" xr:uid="{1714C639-FFEF-4D1A-ABAB-F49A396E35BD}"/>
    <cellStyle name="Comma 2 32 7" xfId="880" xr:uid="{E2A6F768-80E8-4C29-A854-035BA1A76638}"/>
    <cellStyle name="Comma 2 32 7 2" xfId="2284" xr:uid="{5B0C0950-03C5-4991-83EF-D15361976F76}"/>
    <cellStyle name="Comma 2 32 7 2 2" xfId="3046" xr:uid="{10223446-1EEC-46FD-A755-63B0C4ADD59D}"/>
    <cellStyle name="Comma 2 32 7 3" xfId="2673" xr:uid="{91ACC55A-2733-439C-84DF-015DBB5FF094}"/>
    <cellStyle name="Comma 2 32 8" xfId="881" xr:uid="{DB366BB2-C98D-45C9-9903-F904D97AFB82}"/>
    <cellStyle name="Comma 2 32 8 2" xfId="2285" xr:uid="{EC07D799-F20B-472A-B53A-B3CA69AF30CE}"/>
    <cellStyle name="Comma 2 32 8 2 2" xfId="3047" xr:uid="{58D0374E-BD2A-4E4C-B305-6CE48218AE24}"/>
    <cellStyle name="Comma 2 32 8 3" xfId="2674" xr:uid="{22266178-F6B1-406A-BE63-762604D31034}"/>
    <cellStyle name="Comma 2 32 9" xfId="882" xr:uid="{55CA1491-10E1-407B-A79C-666E24929635}"/>
    <cellStyle name="Comma 2 32 9 2" xfId="2286" xr:uid="{7B7B2CAF-5C73-4742-BD9B-4A13380A875C}"/>
    <cellStyle name="Comma 2 32 9 2 2" xfId="3048" xr:uid="{E3BEF606-2A0F-4F15-B188-78721A41F041}"/>
    <cellStyle name="Comma 2 32 9 3" xfId="2675" xr:uid="{7B3636C0-0C22-48B4-8CDB-123927C40D31}"/>
    <cellStyle name="Comma 2 33" xfId="883" xr:uid="{62CA3BA3-F033-4C34-A1F8-01158F01DD44}"/>
    <cellStyle name="Comma 2 33 10" xfId="884" xr:uid="{9033A6D9-B5BD-49B4-9689-D1D849242443}"/>
    <cellStyle name="Comma 2 33 10 2" xfId="2288" xr:uid="{8AB07C83-E5D0-423D-A6E8-62A019DC9339}"/>
    <cellStyle name="Comma 2 33 10 2 2" xfId="3050" xr:uid="{7837102A-F32F-4E0F-AC19-DAFE92B2194F}"/>
    <cellStyle name="Comma 2 33 10 3" xfId="2677" xr:uid="{05F94A2F-D621-4256-B7D6-82A07970A10B}"/>
    <cellStyle name="Comma 2 33 11" xfId="885" xr:uid="{4371CBA6-0AEF-430B-B239-027723AE9D3A}"/>
    <cellStyle name="Comma 2 33 11 2" xfId="2289" xr:uid="{36E18908-9CCA-4AB3-B8D0-0D4EDC9A070E}"/>
    <cellStyle name="Comma 2 33 11 2 2" xfId="3051" xr:uid="{6C985E84-E86F-44D3-B72B-CD94AE92011F}"/>
    <cellStyle name="Comma 2 33 11 3" xfId="2678" xr:uid="{C4DF635B-E403-4BDD-B709-7E1BD8176CB0}"/>
    <cellStyle name="Comma 2 33 12" xfId="886" xr:uid="{10D4DAA5-125E-472D-9904-475E54A763B4}"/>
    <cellStyle name="Comma 2 33 12 2" xfId="2290" xr:uid="{602AD362-1F39-417A-91FA-FCB242E32580}"/>
    <cellStyle name="Comma 2 33 12 2 2" xfId="3052" xr:uid="{D8C1902B-FB1E-4D40-A714-66B874079F4D}"/>
    <cellStyle name="Comma 2 33 12 3" xfId="2679" xr:uid="{C2E3F934-1FD7-4420-9045-43FF173F2FC4}"/>
    <cellStyle name="Comma 2 33 13" xfId="887" xr:uid="{64D1C8EE-0C4C-43EE-99F8-6A2843AB2C68}"/>
    <cellStyle name="Comma 2 33 13 2" xfId="2291" xr:uid="{C6A6E23C-A93E-4225-BB1F-C26C77F497B1}"/>
    <cellStyle name="Comma 2 33 13 2 2" xfId="3053" xr:uid="{9F107073-6382-40B0-80F2-286DDD668450}"/>
    <cellStyle name="Comma 2 33 13 3" xfId="2680" xr:uid="{BE52A781-D11A-48AD-BB75-266575808606}"/>
    <cellStyle name="Comma 2 33 14" xfId="888" xr:uid="{9A046098-CF79-429D-99AA-2ED17D8BCF57}"/>
    <cellStyle name="Comma 2 33 14 2" xfId="2292" xr:uid="{442053CD-54AF-4B08-9F66-F880A1A7562C}"/>
    <cellStyle name="Comma 2 33 14 2 2" xfId="3054" xr:uid="{3A51EAEF-B7A3-449B-ACCE-573D9C92E343}"/>
    <cellStyle name="Comma 2 33 14 3" xfId="2681" xr:uid="{CC0A7786-B07A-435D-8260-24EB359AE7A9}"/>
    <cellStyle name="Comma 2 33 15" xfId="889" xr:uid="{47815CEA-BE55-468B-A865-FD495E2964AB}"/>
    <cellStyle name="Comma 2 33 15 2" xfId="2293" xr:uid="{D5F5116D-D1EB-4206-8DE0-2CB911AB19B0}"/>
    <cellStyle name="Comma 2 33 15 2 2" xfId="3055" xr:uid="{D72807DA-4478-4463-A7A3-D6CE0E730F87}"/>
    <cellStyle name="Comma 2 33 15 3" xfId="2682" xr:uid="{0B9AAD1E-05D9-46D7-9B9E-C148BA404784}"/>
    <cellStyle name="Comma 2 33 16" xfId="2287" xr:uid="{8EE06FAD-0E63-4358-8889-01EF551D040A}"/>
    <cellStyle name="Comma 2 33 16 2" xfId="3049" xr:uid="{8DC62E89-709D-4C1C-8C51-D5B4A054C175}"/>
    <cellStyle name="Comma 2 33 17" xfId="2676" xr:uid="{EBEFC17D-2E2D-4799-A5C7-51EE9619D94E}"/>
    <cellStyle name="Comma 2 33 2" xfId="890" xr:uid="{CDD605DC-B260-41D2-9292-41BB8B053257}"/>
    <cellStyle name="Comma 2 33 2 2" xfId="2294" xr:uid="{212DC322-0D17-4073-B041-F21D0236169C}"/>
    <cellStyle name="Comma 2 33 2 2 2" xfId="3056" xr:uid="{5660D9ED-897D-4A27-A995-9A43ABA0DB20}"/>
    <cellStyle name="Comma 2 33 2 3" xfId="2683" xr:uid="{05B6C02A-0E98-4F60-B15E-32D2738FDDB6}"/>
    <cellStyle name="Comma 2 33 3" xfId="891" xr:uid="{77084369-B6BC-4CFB-AB8F-3D173DD607DC}"/>
    <cellStyle name="Comma 2 33 3 2" xfId="2295" xr:uid="{6B673374-71C5-4BBB-939A-F29CE5C376B1}"/>
    <cellStyle name="Comma 2 33 3 2 2" xfId="3057" xr:uid="{0140C3CA-1149-49F8-80E8-5F702BD021BE}"/>
    <cellStyle name="Comma 2 33 3 3" xfId="2684" xr:uid="{9CA8C081-E697-4097-8C86-AD8CC2E2CCFB}"/>
    <cellStyle name="Comma 2 33 4" xfId="892" xr:uid="{6FA982C5-3C75-4499-875D-89BE3D644805}"/>
    <cellStyle name="Comma 2 33 4 2" xfId="2296" xr:uid="{6F3E6BB4-F0AA-41AE-BFE0-A519B79B250E}"/>
    <cellStyle name="Comma 2 33 4 2 2" xfId="3058" xr:uid="{87315C40-637B-41F8-9940-90794329051C}"/>
    <cellStyle name="Comma 2 33 4 3" xfId="2685" xr:uid="{539BCD35-F07F-4C1B-8137-9A9BF841AB92}"/>
    <cellStyle name="Comma 2 33 5" xfId="893" xr:uid="{848EC16E-42E3-42BF-8A00-7D1B53BCBD6E}"/>
    <cellStyle name="Comma 2 33 5 2" xfId="2297" xr:uid="{965B6AD1-1BB7-46B2-BA7B-978A49310183}"/>
    <cellStyle name="Comma 2 33 5 2 2" xfId="3059" xr:uid="{1A5D98E4-9229-445F-A46B-FBD644E60C6B}"/>
    <cellStyle name="Comma 2 33 5 3" xfId="2686" xr:uid="{DE50E5F5-35C7-41AE-B889-5C7BD567DD28}"/>
    <cellStyle name="Comma 2 33 6" xfId="894" xr:uid="{F83714E9-8A6C-476D-8099-3805D0E7F19F}"/>
    <cellStyle name="Comma 2 33 6 2" xfId="2298" xr:uid="{2C6D156F-A3BE-466B-8F3F-E9F8AE66D32C}"/>
    <cellStyle name="Comma 2 33 6 2 2" xfId="3060" xr:uid="{E4FFED14-A7D5-4A81-ABF2-6ADD6FF1E5A7}"/>
    <cellStyle name="Comma 2 33 6 3" xfId="2687" xr:uid="{B1F63AA8-C029-413B-BBBE-42A61CC4DA3D}"/>
    <cellStyle name="Comma 2 33 7" xfId="895" xr:uid="{7B7A42BD-B976-4E6F-9A84-3EB902B5BD37}"/>
    <cellStyle name="Comma 2 33 7 2" xfId="2299" xr:uid="{55D3BB4E-CD1C-4005-84A2-4A138D074221}"/>
    <cellStyle name="Comma 2 33 7 2 2" xfId="3061" xr:uid="{340797C1-6FDD-4250-BBAA-1EA473B307DC}"/>
    <cellStyle name="Comma 2 33 7 3" xfId="2688" xr:uid="{3C0621E6-050A-4E66-BC5F-DA7E8EFC14AB}"/>
    <cellStyle name="Comma 2 33 8" xfId="896" xr:uid="{F95BFF11-DACA-4E16-BBC1-3866DC060166}"/>
    <cellStyle name="Comma 2 33 8 2" xfId="2300" xr:uid="{DE0DBD45-C8EF-4C49-A9BE-11BE192D8685}"/>
    <cellStyle name="Comma 2 33 8 2 2" xfId="3062" xr:uid="{661BA6C6-D7F7-40CA-BD88-8AA8AE016170}"/>
    <cellStyle name="Comma 2 33 8 3" xfId="2689" xr:uid="{35A2EC52-4842-4353-B720-B159F84229A8}"/>
    <cellStyle name="Comma 2 33 9" xfId="897" xr:uid="{CEDE26C1-F3CA-4BC1-BA4E-DC40B2B2C0D1}"/>
    <cellStyle name="Comma 2 33 9 2" xfId="2301" xr:uid="{430356C1-5503-4FCA-BA30-51C4D58B642A}"/>
    <cellStyle name="Comma 2 33 9 2 2" xfId="3063" xr:uid="{E53F4CAC-5CD6-4BED-978E-98799F1C7E64}"/>
    <cellStyle name="Comma 2 33 9 3" xfId="2690" xr:uid="{07DE1423-6493-464B-AC10-39D5DBAF90D0}"/>
    <cellStyle name="Comma 2 34" xfId="898" xr:uid="{2F8A5E62-C13A-44FD-9EF8-D5FE9D9711CA}"/>
    <cellStyle name="Comma 2 34 10" xfId="899" xr:uid="{13A2C1D5-35D9-491A-8552-D3DD7823C4EB}"/>
    <cellStyle name="Comma 2 34 10 2" xfId="2303" xr:uid="{78B99038-7422-4FD4-B11E-ABA1A9FA56FD}"/>
    <cellStyle name="Comma 2 34 10 2 2" xfId="3065" xr:uid="{483B16B3-F7FA-461B-AD8F-199A77D14AF9}"/>
    <cellStyle name="Comma 2 34 10 3" xfId="2692" xr:uid="{F5A12036-810E-452D-B2D5-10D27918D666}"/>
    <cellStyle name="Comma 2 34 11" xfId="900" xr:uid="{54061AFB-0518-40D0-B4CF-0DA618EDF257}"/>
    <cellStyle name="Comma 2 34 11 2" xfId="2304" xr:uid="{A38AEF6D-2A72-4354-9651-C5CC1EEF9E2E}"/>
    <cellStyle name="Comma 2 34 11 2 2" xfId="3066" xr:uid="{92BAFF59-D375-42DC-981A-B413089527BC}"/>
    <cellStyle name="Comma 2 34 11 3" xfId="2693" xr:uid="{0EB366B7-EA39-425D-9679-7BA5C1EBBCC1}"/>
    <cellStyle name="Comma 2 34 12" xfId="901" xr:uid="{334ADC13-4661-4FBF-8CDC-DE56BAC26EE9}"/>
    <cellStyle name="Comma 2 34 12 2" xfId="2305" xr:uid="{EE801681-653B-4F38-9285-57AE27FA5B7C}"/>
    <cellStyle name="Comma 2 34 12 2 2" xfId="3067" xr:uid="{F8FC6FD5-672B-43B3-96EA-C2C9F95950CD}"/>
    <cellStyle name="Comma 2 34 12 3" xfId="2694" xr:uid="{50839281-AE31-454F-B337-D423B49C556E}"/>
    <cellStyle name="Comma 2 34 13" xfId="902" xr:uid="{0C55ACAD-4C1A-4238-B62A-253BB6A2E985}"/>
    <cellStyle name="Comma 2 34 13 2" xfId="2306" xr:uid="{F53D3CF0-851C-4F4A-BD92-2B71AF27D583}"/>
    <cellStyle name="Comma 2 34 13 2 2" xfId="3068" xr:uid="{115B0254-6640-4EFB-AAD6-8C725B6BBA59}"/>
    <cellStyle name="Comma 2 34 13 3" xfId="2695" xr:uid="{1F4AB03E-2B52-4D45-992B-9E3C1EC53489}"/>
    <cellStyle name="Comma 2 34 14" xfId="903" xr:uid="{012E75F0-D3BA-4C46-B55B-5AF42C258D66}"/>
    <cellStyle name="Comma 2 34 14 2" xfId="2307" xr:uid="{9611CF03-9A5F-4A86-85D0-C3BF282B9DE8}"/>
    <cellStyle name="Comma 2 34 14 2 2" xfId="3069" xr:uid="{0DF93E8E-78B0-48A6-8B86-297693DD9989}"/>
    <cellStyle name="Comma 2 34 14 3" xfId="2696" xr:uid="{17102D3C-A3B0-48F0-B93F-67DCCAFBD503}"/>
    <cellStyle name="Comma 2 34 15" xfId="904" xr:uid="{953553BD-BA65-4AF3-8B95-FF7DB7F23DF6}"/>
    <cellStyle name="Comma 2 34 15 2" xfId="2308" xr:uid="{B1A7E5BE-7257-41B4-AC6E-D855DEA27E5E}"/>
    <cellStyle name="Comma 2 34 15 2 2" xfId="3070" xr:uid="{7838C309-6E02-4579-9E63-93727501FE2A}"/>
    <cellStyle name="Comma 2 34 15 3" xfId="2697" xr:uid="{7168F4BD-C702-42E5-9BB4-E25F397CBDED}"/>
    <cellStyle name="Comma 2 34 16" xfId="2302" xr:uid="{0A3F62C2-EF36-4589-9803-DA92ED2AB863}"/>
    <cellStyle name="Comma 2 34 16 2" xfId="3064" xr:uid="{9B2611BB-173C-48D2-8D68-E318C8648DBD}"/>
    <cellStyle name="Comma 2 34 17" xfId="2691" xr:uid="{3B5579FF-F45C-46B2-9267-D4836E77B9A7}"/>
    <cellStyle name="Comma 2 34 2" xfId="905" xr:uid="{18B77C85-4C6A-4D79-A30B-BB654E871727}"/>
    <cellStyle name="Comma 2 34 2 2" xfId="2309" xr:uid="{FE50AEB9-3458-461A-BF57-20E051715781}"/>
    <cellStyle name="Comma 2 34 2 2 2" xfId="3071" xr:uid="{7CE0F042-9B70-4522-B448-5057CBE8AA4A}"/>
    <cellStyle name="Comma 2 34 2 3" xfId="2698" xr:uid="{171C46AF-D807-4FEC-81C7-555D7E0A14A6}"/>
    <cellStyle name="Comma 2 34 3" xfId="906" xr:uid="{B578EBEE-A95A-4224-9CEF-B49576E9E288}"/>
    <cellStyle name="Comma 2 34 3 2" xfId="2310" xr:uid="{85631543-3A27-4550-A04E-AD616610FAAD}"/>
    <cellStyle name="Comma 2 34 3 2 2" xfId="3072" xr:uid="{36F0A4B6-F7B3-432A-B0FF-C0CB53928869}"/>
    <cellStyle name="Comma 2 34 3 3" xfId="2699" xr:uid="{1E5A60A1-BC55-4BE6-9110-DF942B5808B4}"/>
    <cellStyle name="Comma 2 34 4" xfId="907" xr:uid="{AED48DCF-1E0A-421C-A085-8E0D202C6ABB}"/>
    <cellStyle name="Comma 2 34 4 2" xfId="2311" xr:uid="{BF0EC8A4-6AC5-4CBC-871E-A5943FB87918}"/>
    <cellStyle name="Comma 2 34 4 2 2" xfId="3073" xr:uid="{F69285FC-011B-48BC-8D54-3ED51B736757}"/>
    <cellStyle name="Comma 2 34 4 3" xfId="2700" xr:uid="{7BD76C38-5A5F-40A2-B72B-1B28DDD3E699}"/>
    <cellStyle name="Comma 2 34 5" xfId="908" xr:uid="{43C7BD0F-4F86-4C56-BF3E-2942443F9E0C}"/>
    <cellStyle name="Comma 2 34 5 2" xfId="2312" xr:uid="{45E5F98F-5789-46FD-A136-72844D5EA20E}"/>
    <cellStyle name="Comma 2 34 5 2 2" xfId="3074" xr:uid="{628642C9-239B-4178-80CA-ED3E40EC6FF7}"/>
    <cellStyle name="Comma 2 34 5 3" xfId="2701" xr:uid="{3DAAD351-853C-4D06-B614-A9222BC11DFA}"/>
    <cellStyle name="Comma 2 34 6" xfId="909" xr:uid="{CAB7B27B-7C43-4295-918B-45332CE81D6E}"/>
    <cellStyle name="Comma 2 34 6 2" xfId="2313" xr:uid="{C81F4157-2FFB-4F15-ACF0-334B53D12423}"/>
    <cellStyle name="Comma 2 34 6 2 2" xfId="3075" xr:uid="{9A0D3062-DC08-47E0-BD38-495221B5F8F3}"/>
    <cellStyle name="Comma 2 34 6 3" xfId="2702" xr:uid="{F14F221F-98E4-4AA9-B8D1-44E96097C6DC}"/>
    <cellStyle name="Comma 2 34 7" xfId="910" xr:uid="{42F3FAFB-8987-47F1-A92D-26C52213F824}"/>
    <cellStyle name="Comma 2 34 7 2" xfId="2314" xr:uid="{73515447-94F8-4ED5-8DD6-855920343843}"/>
    <cellStyle name="Comma 2 34 7 2 2" xfId="3076" xr:uid="{F13D100D-DAA3-4B50-9029-6F2B4B023D7C}"/>
    <cellStyle name="Comma 2 34 7 3" xfId="2703" xr:uid="{EFB6A4F1-E68C-4755-BECB-D52997050A1A}"/>
    <cellStyle name="Comma 2 34 8" xfId="911" xr:uid="{6E7C75F4-A80F-473A-9C05-46AC894AC516}"/>
    <cellStyle name="Comma 2 34 8 2" xfId="2315" xr:uid="{10D67C52-03F4-4AB3-A5E7-ED3D14F458AB}"/>
    <cellStyle name="Comma 2 34 8 2 2" xfId="3077" xr:uid="{71475A4C-A68E-4BB9-A4AE-0110C2EA10EA}"/>
    <cellStyle name="Comma 2 34 8 3" xfId="2704" xr:uid="{FE03DA81-9C9B-48B8-AA1D-7479B7310559}"/>
    <cellStyle name="Comma 2 34 9" xfId="912" xr:uid="{B0597961-7ADE-4FE6-95DF-4F70CD0F91EB}"/>
    <cellStyle name="Comma 2 34 9 2" xfId="2316" xr:uid="{9020DD72-0F99-4BF8-BF39-99F5949B5AA1}"/>
    <cellStyle name="Comma 2 34 9 2 2" xfId="3078" xr:uid="{9C1458BF-F080-4FC2-8B56-2293372A38FB}"/>
    <cellStyle name="Comma 2 34 9 3" xfId="2705" xr:uid="{43E57CD0-F97F-437C-90EC-18AAF51127BE}"/>
    <cellStyle name="Comma 2 35" xfId="913" xr:uid="{EE05ABFD-1CC7-4AB0-B14D-C5BEC7CA1059}"/>
    <cellStyle name="Comma 2 35 10" xfId="914" xr:uid="{AA1F4535-9282-4C74-8EEB-3AC5E89D283E}"/>
    <cellStyle name="Comma 2 35 10 2" xfId="2318" xr:uid="{4445A778-690D-428A-9112-B8179FE09E6F}"/>
    <cellStyle name="Comma 2 35 10 2 2" xfId="3080" xr:uid="{9A598869-3831-4410-A98B-50F5909AA911}"/>
    <cellStyle name="Comma 2 35 10 3" xfId="2707" xr:uid="{749A0CBE-D420-4C4D-9BF0-57288E3A7DB1}"/>
    <cellStyle name="Comma 2 35 11" xfId="915" xr:uid="{5078FEF4-E766-4FB3-AB2B-CF749FF3BD1B}"/>
    <cellStyle name="Comma 2 35 11 2" xfId="2319" xr:uid="{B0AA9D5D-8475-486D-A66F-CCAA4CC8BE92}"/>
    <cellStyle name="Comma 2 35 11 2 2" xfId="3081" xr:uid="{26D62543-6BB5-4C68-98E9-253C91B97CD4}"/>
    <cellStyle name="Comma 2 35 11 3" xfId="2708" xr:uid="{8F1115C0-B444-4485-824B-FE91F776FD16}"/>
    <cellStyle name="Comma 2 35 12" xfId="916" xr:uid="{7EDF8239-0926-4EA3-A3CF-9E0BDBFB362D}"/>
    <cellStyle name="Comma 2 35 12 2" xfId="2320" xr:uid="{CFCFE4AD-A1A5-4A07-8E14-0856056BD602}"/>
    <cellStyle name="Comma 2 35 12 2 2" xfId="3082" xr:uid="{6217C087-1892-452F-9D53-94E2D241DC08}"/>
    <cellStyle name="Comma 2 35 12 3" xfId="2709" xr:uid="{33316932-E87A-48CF-85E8-58D9AED4E7B5}"/>
    <cellStyle name="Comma 2 35 13" xfId="917" xr:uid="{FE6948CB-073A-4032-9055-6DBAC6E5653E}"/>
    <cellStyle name="Comma 2 35 13 2" xfId="2321" xr:uid="{8B040CEC-62E2-475D-A432-52A6A8D24770}"/>
    <cellStyle name="Comma 2 35 13 2 2" xfId="3083" xr:uid="{C2C1B40E-5A59-4C35-882C-CDB9161EF9D9}"/>
    <cellStyle name="Comma 2 35 13 3" xfId="2710" xr:uid="{7CD0AE5F-931B-4240-9EFD-FA03CA82A28F}"/>
    <cellStyle name="Comma 2 35 14" xfId="918" xr:uid="{7F3AF16D-019E-4123-A992-A6D40D3A12F8}"/>
    <cellStyle name="Comma 2 35 14 2" xfId="2322" xr:uid="{6A2A9BFF-1EDE-40EA-83E3-3FDDFA1241C1}"/>
    <cellStyle name="Comma 2 35 14 2 2" xfId="3084" xr:uid="{D2C975E7-D2DF-40D0-A4E2-5B45217DB9A9}"/>
    <cellStyle name="Comma 2 35 14 3" xfId="2711" xr:uid="{153A6378-AA7F-4C42-AD99-1013BCAE001C}"/>
    <cellStyle name="Comma 2 35 15" xfId="919" xr:uid="{85BC6A89-6273-4AED-BDD1-DB8C24109482}"/>
    <cellStyle name="Comma 2 35 15 2" xfId="2323" xr:uid="{7679F6F8-ED9C-4B22-A81E-557FA4B2918E}"/>
    <cellStyle name="Comma 2 35 15 2 2" xfId="3085" xr:uid="{5F3E5C76-34F8-4431-A1A7-5F873510AF4B}"/>
    <cellStyle name="Comma 2 35 15 3" xfId="2712" xr:uid="{47AA1AD4-47A7-4000-933C-AFE6E9DEB409}"/>
    <cellStyle name="Comma 2 35 16" xfId="2317" xr:uid="{13B5970D-CCBF-4102-8F97-88E7B0BDB3A9}"/>
    <cellStyle name="Comma 2 35 16 2" xfId="3079" xr:uid="{09E1E85F-A24A-44E2-9ABC-31CDFEFDEA33}"/>
    <cellStyle name="Comma 2 35 17" xfId="2706" xr:uid="{CF0F4511-8460-4D42-9758-DC620B9D35D1}"/>
    <cellStyle name="Comma 2 35 2" xfId="920" xr:uid="{4555E86A-4A75-42E2-998C-86D67D0A10EE}"/>
    <cellStyle name="Comma 2 35 2 2" xfId="2324" xr:uid="{F33E0645-3F49-40B5-A7DB-6BB6B54E056F}"/>
    <cellStyle name="Comma 2 35 2 2 2" xfId="3086" xr:uid="{45CB8703-B942-4C5C-9954-A678D4B2F1C0}"/>
    <cellStyle name="Comma 2 35 2 3" xfId="2713" xr:uid="{63FFD8C9-F457-486B-9077-7E76593A189F}"/>
    <cellStyle name="Comma 2 35 3" xfId="921" xr:uid="{1A8739F3-9670-4DF5-8E12-34996FD77FCE}"/>
    <cellStyle name="Comma 2 35 3 2" xfId="2325" xr:uid="{B6326ECF-0AA8-45FC-AACA-7DCC4D0B19DA}"/>
    <cellStyle name="Comma 2 35 3 2 2" xfId="3087" xr:uid="{238B15D6-501B-46CF-B4DC-5543C44C0D4C}"/>
    <cellStyle name="Comma 2 35 3 3" xfId="2714" xr:uid="{25A85493-072E-497D-A9BB-167740FAF837}"/>
    <cellStyle name="Comma 2 35 4" xfId="922" xr:uid="{9A9DB280-8D6E-45A6-A3A6-233FF8EC18E3}"/>
    <cellStyle name="Comma 2 35 4 2" xfId="2326" xr:uid="{C157FBB8-8A6A-49A1-966B-DB5B5866DFD6}"/>
    <cellStyle name="Comma 2 35 4 2 2" xfId="3088" xr:uid="{43D9DD83-C6EA-4889-AE34-C681A99BC768}"/>
    <cellStyle name="Comma 2 35 4 3" xfId="2715" xr:uid="{F23964EF-4554-4BBA-9BC3-A20C9355E857}"/>
    <cellStyle name="Comma 2 35 5" xfId="923" xr:uid="{64580399-F3B4-44D1-93C9-9CA9BEA6EDE4}"/>
    <cellStyle name="Comma 2 35 5 2" xfId="2327" xr:uid="{9665758F-C3DF-49A8-AB1E-EA451E6C64A3}"/>
    <cellStyle name="Comma 2 35 5 2 2" xfId="3089" xr:uid="{B1344F5D-674C-435E-990F-DD51C5360C80}"/>
    <cellStyle name="Comma 2 35 5 3" xfId="2716" xr:uid="{5468039E-6719-43E1-BC41-A72DA567B157}"/>
    <cellStyle name="Comma 2 35 6" xfId="924" xr:uid="{B71F635F-1A0D-4A76-923A-DFC5AEA90D2F}"/>
    <cellStyle name="Comma 2 35 6 2" xfId="2328" xr:uid="{7C9D1329-B508-49F5-AFA2-9B7072EB4215}"/>
    <cellStyle name="Comma 2 35 6 2 2" xfId="3090" xr:uid="{6ED45FF3-0381-4CA7-93A9-D29EF3E1529E}"/>
    <cellStyle name="Comma 2 35 6 3" xfId="2717" xr:uid="{3DD8FF85-7968-462A-A125-43609DEF0968}"/>
    <cellStyle name="Comma 2 35 7" xfId="925" xr:uid="{B82B0BF6-FFF7-4EB6-AEF5-33128C585E08}"/>
    <cellStyle name="Comma 2 35 7 2" xfId="2329" xr:uid="{E19B3535-386E-4870-B424-B28CCD99D116}"/>
    <cellStyle name="Comma 2 35 7 2 2" xfId="3091" xr:uid="{90816A92-96A0-484D-B483-44CDEDF50523}"/>
    <cellStyle name="Comma 2 35 7 3" xfId="2718" xr:uid="{FE85F064-6A34-470D-99AF-D13A85F7980F}"/>
    <cellStyle name="Comma 2 35 8" xfId="926" xr:uid="{2EFC63AE-AA96-4E12-A599-9B1AAEEDEC0F}"/>
    <cellStyle name="Comma 2 35 8 2" xfId="2330" xr:uid="{5ED25BCB-D39B-42FE-8555-4B44CF0DFDFF}"/>
    <cellStyle name="Comma 2 35 8 2 2" xfId="3092" xr:uid="{F12B865B-04D1-47E1-AC74-032BCE1B0CA3}"/>
    <cellStyle name="Comma 2 35 8 3" xfId="2719" xr:uid="{8989F206-D848-489E-A265-68ECC4D3EBC7}"/>
    <cellStyle name="Comma 2 35 9" xfId="927" xr:uid="{3ED4FE09-F35D-499F-9621-697677465DB5}"/>
    <cellStyle name="Comma 2 35 9 2" xfId="2331" xr:uid="{5962A282-846F-46A2-A1CD-E389FEF05129}"/>
    <cellStyle name="Comma 2 35 9 2 2" xfId="3093" xr:uid="{2A8F5BCB-9DA7-4CF6-8D3C-594B2E3AF021}"/>
    <cellStyle name="Comma 2 35 9 3" xfId="2720" xr:uid="{01B55244-DBC7-417B-AF1D-710CBDF85C94}"/>
    <cellStyle name="Comma 2 36" xfId="928" xr:uid="{10839901-FC13-4631-9A06-ED477C55EE3C}"/>
    <cellStyle name="Comma 2 36 10" xfId="929" xr:uid="{69FA3CF8-5C33-48D7-942B-A559C7CAA20D}"/>
    <cellStyle name="Comma 2 36 10 2" xfId="2333" xr:uid="{49E8412A-5AC2-49E9-A045-FB21A26AE120}"/>
    <cellStyle name="Comma 2 36 10 2 2" xfId="3095" xr:uid="{2EA5F73A-F184-4F22-8F99-4C79DE7745A6}"/>
    <cellStyle name="Comma 2 36 10 3" xfId="2722" xr:uid="{55DDC694-619D-440D-A341-581738574AAA}"/>
    <cellStyle name="Comma 2 36 11" xfId="930" xr:uid="{40A33C77-EC80-4851-A28C-558B433A8045}"/>
    <cellStyle name="Comma 2 36 11 2" xfId="2334" xr:uid="{CE6F22FA-AAF3-46B3-B6F0-F1E3EA123435}"/>
    <cellStyle name="Comma 2 36 11 2 2" xfId="3096" xr:uid="{C0AC7038-7195-456F-A007-B0D7C6569AE7}"/>
    <cellStyle name="Comma 2 36 11 3" xfId="2723" xr:uid="{EECAAF50-9089-446A-8A74-1C66B2FB9548}"/>
    <cellStyle name="Comma 2 36 12" xfId="931" xr:uid="{AAEA5C45-5C43-472F-9CD4-62392DA374CB}"/>
    <cellStyle name="Comma 2 36 12 2" xfId="2335" xr:uid="{7EDB9BB0-6D1A-4663-87AF-5C9DED59FF35}"/>
    <cellStyle name="Comma 2 36 12 2 2" xfId="3097" xr:uid="{397CC642-9193-4723-ABE9-4A3A025197E3}"/>
    <cellStyle name="Comma 2 36 12 3" xfId="2724" xr:uid="{2C1F6A61-93DC-4D0C-840F-129FEE85336D}"/>
    <cellStyle name="Comma 2 36 13" xfId="932" xr:uid="{0FD66FEE-760A-48B8-B198-3F774ECD59E8}"/>
    <cellStyle name="Comma 2 36 13 2" xfId="2336" xr:uid="{A3BBF86D-CCF7-406C-90AC-63753FF9C417}"/>
    <cellStyle name="Comma 2 36 13 2 2" xfId="3098" xr:uid="{1A09BD93-3BA4-4A11-ADED-1A093F1933FE}"/>
    <cellStyle name="Comma 2 36 13 3" xfId="2725" xr:uid="{C66A7F26-3973-45BF-BCB3-93DF244A7CFE}"/>
    <cellStyle name="Comma 2 36 14" xfId="933" xr:uid="{18B2C0B0-30A6-4143-980C-7BB0FCE43B47}"/>
    <cellStyle name="Comma 2 36 14 2" xfId="2337" xr:uid="{BA6D7FE3-A219-48FD-86A8-A1E613576FD1}"/>
    <cellStyle name="Comma 2 36 14 2 2" xfId="3099" xr:uid="{8BD2ACEC-77FB-4066-BC8D-E25A598874B2}"/>
    <cellStyle name="Comma 2 36 14 3" xfId="2726" xr:uid="{82B70F3C-9C88-4322-B301-C537238C3849}"/>
    <cellStyle name="Comma 2 36 15" xfId="934" xr:uid="{58A3A93F-6E79-41F0-8D19-35BCDDF380BD}"/>
    <cellStyle name="Comma 2 36 15 2" xfId="2338" xr:uid="{DD70E75A-2CFE-44DF-95D9-13CF5A4EDBA2}"/>
    <cellStyle name="Comma 2 36 15 2 2" xfId="3100" xr:uid="{90F308BE-04D8-4704-8A9E-0AB6495A98D3}"/>
    <cellStyle name="Comma 2 36 15 3" xfId="2727" xr:uid="{39B6F9D6-EB45-400E-B006-CE47BAE8F752}"/>
    <cellStyle name="Comma 2 36 16" xfId="2332" xr:uid="{C28E401D-8265-464B-AAA2-70E1471F6F5F}"/>
    <cellStyle name="Comma 2 36 16 2" xfId="3094" xr:uid="{0A04C53D-CD68-472F-B7E2-150BCD1454FA}"/>
    <cellStyle name="Comma 2 36 17" xfId="2721" xr:uid="{D3748A38-8605-45C3-ADF1-0B188F178999}"/>
    <cellStyle name="Comma 2 36 2" xfId="935" xr:uid="{34381885-974B-49F7-9CDF-4B771CD54FD6}"/>
    <cellStyle name="Comma 2 36 2 2" xfId="2339" xr:uid="{FA4C70DB-761D-4767-9160-AC8F6582F969}"/>
    <cellStyle name="Comma 2 36 2 2 2" xfId="3101" xr:uid="{7EC947B3-F7BE-41AB-B279-64C69AA548BD}"/>
    <cellStyle name="Comma 2 36 2 3" xfId="2728" xr:uid="{83550D75-F4C6-44BA-AA63-476F2223F20A}"/>
    <cellStyle name="Comma 2 36 3" xfId="936" xr:uid="{07AFE3C6-658A-4519-8959-CD624CF0C227}"/>
    <cellStyle name="Comma 2 36 3 2" xfId="2340" xr:uid="{C8F8D089-1C23-4A96-87EF-AE3B79DC612A}"/>
    <cellStyle name="Comma 2 36 3 2 2" xfId="3102" xr:uid="{28C56D56-D2A4-4C2A-9D77-3F1366C795F0}"/>
    <cellStyle name="Comma 2 36 3 3" xfId="2729" xr:uid="{8DEDDC9C-D0BF-4CF5-BC3C-69D1E35394B0}"/>
    <cellStyle name="Comma 2 36 4" xfId="937" xr:uid="{231B2A11-F342-423D-B91D-6BA1236A9C21}"/>
    <cellStyle name="Comma 2 36 4 2" xfId="2341" xr:uid="{40AC0F98-52BD-4087-9C05-A9AB3ACA9D6A}"/>
    <cellStyle name="Comma 2 36 4 2 2" xfId="3103" xr:uid="{9F094BEC-9869-43B7-AA5C-1D25F4640D9D}"/>
    <cellStyle name="Comma 2 36 4 3" xfId="2730" xr:uid="{7963CDD7-55E0-4BEB-A242-3027DD8D3EF7}"/>
    <cellStyle name="Comma 2 36 5" xfId="938" xr:uid="{24DBCA40-FDC0-4525-B9DC-E3D8FCC9AE16}"/>
    <cellStyle name="Comma 2 36 5 2" xfId="2342" xr:uid="{974BB782-26AF-4FE4-9578-ACE0DDCD091F}"/>
    <cellStyle name="Comma 2 36 5 2 2" xfId="3104" xr:uid="{DA84AA30-E2B3-4F5B-AF34-B36AC39A1C36}"/>
    <cellStyle name="Comma 2 36 5 3" xfId="2731" xr:uid="{CE80A080-16FD-41B4-B516-0BE0EB0DD7B9}"/>
    <cellStyle name="Comma 2 36 6" xfId="939" xr:uid="{890DA69E-D081-4F31-9B7A-B51A892C7355}"/>
    <cellStyle name="Comma 2 36 6 2" xfId="2343" xr:uid="{D11E6BCB-CCB4-4C2F-BFDB-FFE7845AA4AE}"/>
    <cellStyle name="Comma 2 36 6 2 2" xfId="3105" xr:uid="{72BAB993-E4B9-4242-8FC2-F3E286B640D0}"/>
    <cellStyle name="Comma 2 36 6 3" xfId="2732" xr:uid="{8E361C59-F643-47B0-882C-7767407E96BF}"/>
    <cellStyle name="Comma 2 36 7" xfId="940" xr:uid="{395C3C41-51C2-4CEA-9264-1DEA96833B83}"/>
    <cellStyle name="Comma 2 36 7 2" xfId="2344" xr:uid="{B4EEAA20-F49E-48D7-AD82-A9B961EE0442}"/>
    <cellStyle name="Comma 2 36 7 2 2" xfId="3106" xr:uid="{5BFC58AC-EC53-4D43-9761-CB7FAA3BA45D}"/>
    <cellStyle name="Comma 2 36 7 3" xfId="2733" xr:uid="{C54E078F-560C-42A0-B5FA-8AF25F731A2D}"/>
    <cellStyle name="Comma 2 36 8" xfId="941" xr:uid="{9AF539E5-CDED-4070-9C70-375CACAED562}"/>
    <cellStyle name="Comma 2 36 8 2" xfId="2345" xr:uid="{1C7C0068-4AAE-43E5-B7C6-98F0633EB4C6}"/>
    <cellStyle name="Comma 2 36 8 2 2" xfId="3107" xr:uid="{D6B0609D-941A-4E27-9B10-95F7527DCE32}"/>
    <cellStyle name="Comma 2 36 8 3" xfId="2734" xr:uid="{D8213638-880D-4BED-A7C4-42B18406917C}"/>
    <cellStyle name="Comma 2 36 9" xfId="942" xr:uid="{B354DE42-A19E-4E93-B84E-D2047D298D88}"/>
    <cellStyle name="Comma 2 36 9 2" xfId="2346" xr:uid="{40E17565-8163-4C94-9E14-774A2881FF86}"/>
    <cellStyle name="Comma 2 36 9 2 2" xfId="3108" xr:uid="{C37E98E4-233E-4408-81F8-5E953DFC81AE}"/>
    <cellStyle name="Comma 2 36 9 3" xfId="2735" xr:uid="{61AAAD0B-D4E2-401E-9C90-738A23FB2484}"/>
    <cellStyle name="Comma 2 37" xfId="943" xr:uid="{2FC002FC-9104-4A2F-9CC2-0F30F572E628}"/>
    <cellStyle name="Comma 2 37 10" xfId="944" xr:uid="{A5296372-31B9-4647-9AFF-0EDDEF18715F}"/>
    <cellStyle name="Comma 2 37 10 2" xfId="2348" xr:uid="{C4DFDA18-F5D3-4E14-B5BE-B279B77E4225}"/>
    <cellStyle name="Comma 2 37 10 2 2" xfId="3110" xr:uid="{F6B6CD0E-8642-4D17-9742-D3CD94F98C2F}"/>
    <cellStyle name="Comma 2 37 10 3" xfId="2737" xr:uid="{804A28E6-09AD-48CA-8E74-5D75A13161E7}"/>
    <cellStyle name="Comma 2 37 11" xfId="945" xr:uid="{12BD08E0-6866-4A22-9BA0-00EB304FA62F}"/>
    <cellStyle name="Comma 2 37 11 2" xfId="2349" xr:uid="{2928BD77-861F-48F0-BC28-943032141381}"/>
    <cellStyle name="Comma 2 37 11 2 2" xfId="3111" xr:uid="{661BB0E4-13B0-4776-8506-090B4EE17418}"/>
    <cellStyle name="Comma 2 37 11 3" xfId="2738" xr:uid="{2C464240-582D-41BB-8390-89565A518C0B}"/>
    <cellStyle name="Comma 2 37 12" xfId="946" xr:uid="{C03B2CD1-56B2-4CD2-9560-A68B085587C7}"/>
    <cellStyle name="Comma 2 37 12 2" xfId="2350" xr:uid="{B0F1E017-34A1-43B8-8C3C-6551CB2326AC}"/>
    <cellStyle name="Comma 2 37 12 2 2" xfId="3112" xr:uid="{26CA85E7-BB41-4C90-95F1-58A84C413385}"/>
    <cellStyle name="Comma 2 37 12 3" xfId="2739" xr:uid="{2325AD5B-1D7E-411D-A553-8FAA84911B16}"/>
    <cellStyle name="Comma 2 37 13" xfId="947" xr:uid="{9DA4A0DE-343A-43AB-9B7C-7047B40FBC28}"/>
    <cellStyle name="Comma 2 37 13 2" xfId="2351" xr:uid="{C5342BD6-BEE5-4740-A47F-DD4FD3283EF7}"/>
    <cellStyle name="Comma 2 37 13 2 2" xfId="3113" xr:uid="{1755B905-AB25-4E62-89D4-7A5D5581F0AF}"/>
    <cellStyle name="Comma 2 37 13 3" xfId="2740" xr:uid="{A2125A31-5AAA-46BA-BC5B-7DE77C13F7D5}"/>
    <cellStyle name="Comma 2 37 14" xfId="948" xr:uid="{10F84C95-D1EE-4633-BA12-A7625C7756EC}"/>
    <cellStyle name="Comma 2 37 14 2" xfId="2352" xr:uid="{46DA7634-42A7-45E0-8579-4DE4A9A7580F}"/>
    <cellStyle name="Comma 2 37 14 2 2" xfId="3114" xr:uid="{18ADE76B-92B9-4F07-A424-FE4AFA79CB8C}"/>
    <cellStyle name="Comma 2 37 14 3" xfId="2741" xr:uid="{9AE23C77-BBAD-4881-8ACB-30231C0D40C7}"/>
    <cellStyle name="Comma 2 37 15" xfId="949" xr:uid="{CE705A8A-486A-4F97-90B3-7D85400AEEC1}"/>
    <cellStyle name="Comma 2 37 15 2" xfId="2353" xr:uid="{EC094BFF-518A-4B4F-B6DC-F7F3A5991449}"/>
    <cellStyle name="Comma 2 37 15 2 2" xfId="3115" xr:uid="{B2DA0B61-A084-4A69-9163-4DE9380AF36D}"/>
    <cellStyle name="Comma 2 37 15 3" xfId="2742" xr:uid="{88CBA639-D65B-4A44-B4D4-0C7A422DE2C1}"/>
    <cellStyle name="Comma 2 37 16" xfId="2347" xr:uid="{BFF1A1C3-D076-4473-A330-2852F898CB73}"/>
    <cellStyle name="Comma 2 37 16 2" xfId="3109" xr:uid="{55FA11FA-DA11-48B0-A45D-A1CFB8AE8D7A}"/>
    <cellStyle name="Comma 2 37 17" xfId="2736" xr:uid="{1EE01958-BF1E-4B06-B201-8E37019B3C67}"/>
    <cellStyle name="Comma 2 37 2" xfId="950" xr:uid="{2DF1A7C4-40DF-4B97-B97A-92E05725F34B}"/>
    <cellStyle name="Comma 2 37 2 2" xfId="2354" xr:uid="{D419F368-5265-4BA5-B3EB-1AF5D625F8C0}"/>
    <cellStyle name="Comma 2 37 2 2 2" xfId="3116" xr:uid="{FD36B162-C238-434E-A4A0-1D6A8DF0CD94}"/>
    <cellStyle name="Comma 2 37 2 3" xfId="2743" xr:uid="{61B24FE4-2CB8-49B5-9684-59D7BBE2884E}"/>
    <cellStyle name="Comma 2 37 3" xfId="951" xr:uid="{92A57DBD-66D5-45E9-8249-D34F1B8FAE4B}"/>
    <cellStyle name="Comma 2 37 3 2" xfId="2355" xr:uid="{E5AADB66-C6F2-4890-8B9E-51F6C58D4C64}"/>
    <cellStyle name="Comma 2 37 3 2 2" xfId="3117" xr:uid="{5251BB1E-9592-4563-ACC2-EF5951017810}"/>
    <cellStyle name="Comma 2 37 3 3" xfId="2744" xr:uid="{7F03885F-5C13-40CA-A05F-203E642F379D}"/>
    <cellStyle name="Comma 2 37 4" xfId="952" xr:uid="{18D80B1D-BF63-46DE-9786-438E80134D40}"/>
    <cellStyle name="Comma 2 37 4 2" xfId="2356" xr:uid="{70C9153B-00FE-46C9-AD07-FCA258D477A2}"/>
    <cellStyle name="Comma 2 37 4 2 2" xfId="3118" xr:uid="{65081ADD-3768-4758-9F4F-C79E1AE2CF9D}"/>
    <cellStyle name="Comma 2 37 4 3" xfId="2745" xr:uid="{1255ADC9-2B15-4FCF-B860-5D1EFD6D0315}"/>
    <cellStyle name="Comma 2 37 5" xfId="953" xr:uid="{A35CEA7A-5D24-4409-9532-AFF23BD5480D}"/>
    <cellStyle name="Comma 2 37 5 2" xfId="2357" xr:uid="{69CE2DF9-E0DC-43F8-B21F-E2F6B19DF225}"/>
    <cellStyle name="Comma 2 37 5 2 2" xfId="3119" xr:uid="{1B88F546-DBA3-4404-9940-48EA8C6E1C40}"/>
    <cellStyle name="Comma 2 37 5 3" xfId="2746" xr:uid="{B62EEBB7-A74F-401D-8D5F-D7EEC6893F79}"/>
    <cellStyle name="Comma 2 37 6" xfId="954" xr:uid="{37D3A40E-731B-4AE8-B3A5-BF1D90500180}"/>
    <cellStyle name="Comma 2 37 6 2" xfId="2358" xr:uid="{F8BBFE3B-A6E5-4373-B440-7C850AB8EDC3}"/>
    <cellStyle name="Comma 2 37 6 2 2" xfId="3120" xr:uid="{DB27F03F-D04E-438D-B948-50CA0EBC5C0E}"/>
    <cellStyle name="Comma 2 37 6 3" xfId="2747" xr:uid="{33135D19-B4DF-4D8F-9B52-FB0EEB482BD6}"/>
    <cellStyle name="Comma 2 37 7" xfId="955" xr:uid="{24F8DE0F-305F-430C-BC20-F766252CB8A1}"/>
    <cellStyle name="Comma 2 37 7 2" xfId="2359" xr:uid="{34F7342C-1BF0-4014-8F5F-726951BBAAFA}"/>
    <cellStyle name="Comma 2 37 7 2 2" xfId="3121" xr:uid="{50BE7BF3-B2A6-4F3B-88E3-ABD079D59A1E}"/>
    <cellStyle name="Comma 2 37 7 3" xfId="2748" xr:uid="{96181D69-508B-4B3C-B646-11B38DD59A63}"/>
    <cellStyle name="Comma 2 37 8" xfId="956" xr:uid="{4A945152-5810-482A-B60C-C34FD2DD2EE4}"/>
    <cellStyle name="Comma 2 37 8 2" xfId="2360" xr:uid="{0C7ACC42-214E-446C-9AC4-C5F92309C4EE}"/>
    <cellStyle name="Comma 2 37 8 2 2" xfId="3122" xr:uid="{DEDD772D-885E-44D0-B43D-38B129ED40BD}"/>
    <cellStyle name="Comma 2 37 8 3" xfId="2749" xr:uid="{3B5B0958-9476-4680-A928-1DFF56D927BC}"/>
    <cellStyle name="Comma 2 37 9" xfId="957" xr:uid="{FBB6FEC7-8BBB-45A9-91ED-490ACA0826CE}"/>
    <cellStyle name="Comma 2 37 9 2" xfId="2361" xr:uid="{41AA6F95-8B00-4AB0-A3DB-76FA4728D0FD}"/>
    <cellStyle name="Comma 2 37 9 2 2" xfId="3123" xr:uid="{E98E786F-B588-4347-953C-BC9154B1CE3F}"/>
    <cellStyle name="Comma 2 37 9 3" xfId="2750" xr:uid="{B34AD6BE-C9A9-4804-A3F9-3142A2CB30B5}"/>
    <cellStyle name="Comma 2 38" xfId="958" xr:uid="{C4DBA8B2-67BE-40E7-989C-2269E9B63067}"/>
    <cellStyle name="Comma 2 38 2" xfId="2362" xr:uid="{8CE186EF-3286-4C99-B6C4-98FB024EB5FE}"/>
    <cellStyle name="Comma 2 38 2 2" xfId="3124" xr:uid="{E14B841A-4360-4725-8F21-6E78D0AAA475}"/>
    <cellStyle name="Comma 2 38 3" xfId="2751" xr:uid="{3D75D59F-4E92-4C9D-B2E8-79EB4F7571C4}"/>
    <cellStyle name="Comma 2 39" xfId="959" xr:uid="{C1D5D525-CA34-4385-BDDF-DF06DD1952FB}"/>
    <cellStyle name="Comma 2 39 2" xfId="2363" xr:uid="{36A27FD8-09D5-4CBE-9430-C08F6066C58F}"/>
    <cellStyle name="Comma 2 39 2 2" xfId="3125" xr:uid="{383A5CF5-FE45-40A7-ADED-86EA5FBCB0A1}"/>
    <cellStyle name="Comma 2 39 3" xfId="2752" xr:uid="{A3C886CD-F1CD-4D81-9F28-30170CA21D39}"/>
    <cellStyle name="Comma 2 4" xfId="960" xr:uid="{8B28D927-2122-42C4-9671-834D5C910D67}"/>
    <cellStyle name="Comma 2 4 2" xfId="2404" xr:uid="{84E88790-6CA5-46C0-A2D0-C71AF0BA3FC7}"/>
    <cellStyle name="Comma 2 4 2 2" xfId="3163" xr:uid="{0EA2664B-5E74-4F4C-8677-A34379DDB551}"/>
    <cellStyle name="Comma 2 40" xfId="961" xr:uid="{23720FE0-3B48-461F-9C14-D7F639BD2D7A}"/>
    <cellStyle name="Comma 2 40 2" xfId="2364" xr:uid="{AE8CAD87-EFD3-4E22-AB47-9AE7785EEE98}"/>
    <cellStyle name="Comma 2 40 2 2" xfId="3126" xr:uid="{D9886A5B-C8C5-49AA-8AA2-125EBEE36B7C}"/>
    <cellStyle name="Comma 2 40 3" xfId="2753" xr:uid="{B0EB7310-6B73-4390-9FBD-32902928C7CD}"/>
    <cellStyle name="Comma 2 41" xfId="962" xr:uid="{444ABB1C-FF39-42BB-A897-D62BFDFB20B5}"/>
    <cellStyle name="Comma 2 42" xfId="963" xr:uid="{D5B8A9A3-9B25-4265-BAC9-0389793A6249}"/>
    <cellStyle name="Comma 2 43" xfId="697" xr:uid="{FF779839-F04F-4FDE-92D0-BF92A3DD3654}"/>
    <cellStyle name="Comma 2 44" xfId="52" xr:uid="{B00E5F0E-592B-4791-B63E-20ECAFB71435}"/>
    <cellStyle name="Comma 2 44 2" xfId="2047" xr:uid="{0546E689-125C-41A7-B80F-036C2490DAD4}"/>
    <cellStyle name="Comma 2 44 2 2" xfId="2809" xr:uid="{C93C453F-9A55-4AF0-B29B-4F855B8FA411}"/>
    <cellStyle name="Comma 2 44 3" xfId="2436" xr:uid="{B75E0CED-C039-423A-BF84-2C312DAD7E48}"/>
    <cellStyle name="Comma 2 45" xfId="2027" xr:uid="{3D37A976-8F85-427D-913D-31F0525F4691}"/>
    <cellStyle name="Comma 2 45 2" xfId="2399" xr:uid="{A1F043B8-42ED-4456-BA39-24CABEB3CE50}"/>
    <cellStyle name="Comma 2 45 2 2" xfId="3161" xr:uid="{B917C783-78FB-4DBA-A1EF-91DB96BB9AF3}"/>
    <cellStyle name="Comma 2 45 3" xfId="2789" xr:uid="{396CCC00-69EF-448C-9CF4-67C16D260AF3}"/>
    <cellStyle name="Comma 2 46" xfId="30" xr:uid="{61DEBF73-FCD5-430A-8A89-EBF3F21119C5}"/>
    <cellStyle name="Comma 2 46 2" xfId="2042" xr:uid="{6D4350AE-429B-4837-9CDE-1657FD61746E}"/>
    <cellStyle name="Comma 2 46 2 2" xfId="2804" xr:uid="{B8AD0DA2-E607-4B34-8392-B6AB50BAB6A0}"/>
    <cellStyle name="Comma 2 46 3" xfId="2431" xr:uid="{086C7965-C4E7-4EB6-A4C3-23DB6A740C00}"/>
    <cellStyle name="Comma 2 47" xfId="2030" xr:uid="{E25BF960-7BE2-4B40-B6A4-8E400B766AE5}"/>
    <cellStyle name="Comma 2 47 2" xfId="2792" xr:uid="{58200782-8E0E-452F-A499-BF685BD56871}"/>
    <cellStyle name="Comma 2 48" xfId="2398" xr:uid="{6B18B22C-EA6A-4DF2-87CE-3A5A7C74B853}"/>
    <cellStyle name="Comma 2 48 2" xfId="3160" xr:uid="{FED58D30-8419-4A90-BF24-9CDF4A32F95D}"/>
    <cellStyle name="Comma 2 49" xfId="2409" xr:uid="{28186656-CA04-40D8-8E58-2D7AEE0D0E0B}"/>
    <cellStyle name="Comma 2 49 2" xfId="3164" xr:uid="{858588D2-DF53-4876-9176-0DEF4D92E336}"/>
    <cellStyle name="Comma 2 5" xfId="964" xr:uid="{30A2CD87-624F-4E28-A10F-998FCD04F7ED}"/>
    <cellStyle name="Comma 2 5 2" xfId="2365" xr:uid="{FF7B5E65-8B9A-4BDF-B523-686D795271B6}"/>
    <cellStyle name="Comma 2 5 2 2" xfId="3127" xr:uid="{719818CE-5038-40E8-97EA-94C921434AB6}"/>
    <cellStyle name="Comma 2 5 3" xfId="2754" xr:uid="{E0DB2D92-F9F5-4D7B-A05F-BA8F0AC7E396}"/>
    <cellStyle name="Comma 2 50" xfId="2417" xr:uid="{4796AAC4-0A8D-4D66-B960-8920F96569E4}"/>
    <cellStyle name="Comma 2 51" xfId="3167" xr:uid="{84A8B956-DD0E-4E06-BF36-EF2DF809CE27}"/>
    <cellStyle name="Comma 2 52" xfId="2414" xr:uid="{F882D14A-EF4C-41F8-9879-134ABFF5582C}"/>
    <cellStyle name="Comma 2 53" xfId="2787" xr:uid="{0B98E7B5-98CC-47FD-93B5-F928BD886C8D}"/>
    <cellStyle name="Comma 2 54" xfId="3168" xr:uid="{AF19EEF3-7E12-4FD8-8BD3-3A70879A4D8D}"/>
    <cellStyle name="Comma 2 6" xfId="13" xr:uid="{D6EACF85-2458-4ECA-967A-281435504E51}"/>
    <cellStyle name="Comma 2 6 2" xfId="25" xr:uid="{CC4E77DE-B72F-484A-B991-9B93875B738B}"/>
    <cellStyle name="Comma 2 6 2 2" xfId="2038" xr:uid="{6913E782-429A-4B46-A8D6-867F72F214DC}"/>
    <cellStyle name="Comma 2 6 2 2 2" xfId="2800" xr:uid="{21CB3CCA-08BB-48C2-B113-CFF60B9B866E}"/>
    <cellStyle name="Comma 2 6 2 3" xfId="2427" xr:uid="{642EDE24-FCEE-428F-BCFF-AA7423F475F2}"/>
    <cellStyle name="Comma 2 6 3" xfId="965" xr:uid="{54411DBA-BEF8-4955-BA08-1A8498503BBD}"/>
    <cellStyle name="Comma 2 6 3 2" xfId="2366" xr:uid="{78CB9906-A172-43C0-B7B3-488B21D86639}"/>
    <cellStyle name="Comma 2 6 3 2 2" xfId="3128" xr:uid="{66991EDF-9110-4A89-A9A0-CD730AEADA97}"/>
    <cellStyle name="Comma 2 6 3 3" xfId="2755" xr:uid="{967C9283-A022-4022-8BA9-99A707C63F43}"/>
    <cellStyle name="Comma 2 6 4" xfId="2032" xr:uid="{F0FEE2F9-1FAB-49B8-A24F-01706AF6CA83}"/>
    <cellStyle name="Comma 2 6 4 2" xfId="2794" xr:uid="{E4B141E7-D470-42B9-B8E6-F8057C79F92C}"/>
    <cellStyle name="Comma 2 6 5" xfId="2420" xr:uid="{B45FEF87-4856-4CFC-AA72-DEB7A0096DBB}"/>
    <cellStyle name="Comma 2 7" xfId="966" xr:uid="{14807084-1E53-4FE2-A144-5CF28C6C75A6}"/>
    <cellStyle name="Comma 2 7 2" xfId="2367" xr:uid="{37B91295-C563-46DC-905A-8E3E9AA5EB22}"/>
    <cellStyle name="Comma 2 7 2 2" xfId="3129" xr:uid="{570A671C-B96E-4F8F-822D-78A6C7536023}"/>
    <cellStyle name="Comma 2 7 3" xfId="2756" xr:uid="{382600EE-29CF-47CB-9B05-B436E2279691}"/>
    <cellStyle name="Comma 2 8" xfId="967" xr:uid="{FD4EC00C-F858-447A-8EFB-B627CC596D42}"/>
    <cellStyle name="Comma 2 8 2" xfId="2368" xr:uid="{C2324609-2342-4695-BF4C-233880BFAA4F}"/>
    <cellStyle name="Comma 2 8 2 2" xfId="3130" xr:uid="{06D723FE-73AD-48BA-9F53-E14B6DE0C8E5}"/>
    <cellStyle name="Comma 2 8 3" xfId="2757" xr:uid="{4A9123F6-73E1-4006-9DBE-E3C2AED44D05}"/>
    <cellStyle name="Comma 2 9" xfId="968" xr:uid="{AD678F67-DE26-4F70-90CE-33C3AACB9C25}"/>
    <cellStyle name="Comma 2 9 2" xfId="2369" xr:uid="{B0B33530-4B71-48ED-BD56-F69A9CCDC2A6}"/>
    <cellStyle name="Comma 2 9 2 2" xfId="3131" xr:uid="{2C7571B6-769F-4220-9F46-771EA79FA9EC}"/>
    <cellStyle name="Comma 2 9 3" xfId="2758" xr:uid="{19E054D1-6955-47CA-9EAB-12868AAA46A1}"/>
    <cellStyle name="Comma 20" xfId="606" xr:uid="{CB00D5B9-0DBB-485B-B46E-824042FF4ED5}"/>
    <cellStyle name="Comma 21" xfId="40" xr:uid="{07368021-19DC-472C-8327-A471F8FB27FC}"/>
    <cellStyle name="Comma 21 2" xfId="2045" xr:uid="{839ED22F-E9A3-4E7E-9F0E-F92DB72A976F}"/>
    <cellStyle name="Comma 21 2 2" xfId="2807" xr:uid="{15FCC33C-F75A-43D7-830C-B2EBC8FD6D81}"/>
    <cellStyle name="Comma 21 3" xfId="2434" xr:uid="{FF0A508B-C9B6-4976-B1AB-FF8B27A2BBA5}"/>
    <cellStyle name="Comma 22" xfId="46" xr:uid="{CC211853-AA28-46AA-BA3C-782FEE9379A3}"/>
    <cellStyle name="Comma 22 2" xfId="2046" xr:uid="{878732B2-B7FD-44BA-9326-E16E35C31070}"/>
    <cellStyle name="Comma 22 2 2" xfId="2808" xr:uid="{3AB7827E-8E1C-43B2-A2FB-77102E70112D}"/>
    <cellStyle name="Comma 22 3" xfId="2435" xr:uid="{E769CFB6-ACF8-466B-A6C2-2CDFA9E010C8}"/>
    <cellStyle name="Comma 23" xfId="29" xr:uid="{02B63E89-F355-4107-99C0-97AE2068AC3D}"/>
    <cellStyle name="Comma 23 2" xfId="2041" xr:uid="{42631D2B-5C97-4938-B075-2520BCD37047}"/>
    <cellStyle name="Comma 23 2 2" xfId="2803" xr:uid="{C03A04D8-70A1-475B-B866-4C58D90E0F0D}"/>
    <cellStyle name="Comma 23 3" xfId="2430" xr:uid="{81467860-E959-4CDE-AC45-245D5FE19032}"/>
    <cellStyle name="Comma 24" xfId="2028" xr:uid="{28363649-157B-4B86-BF0F-F34D8A506C38}"/>
    <cellStyle name="Comma 24 2" xfId="2790" xr:uid="{13FB2DBF-5E6B-486D-B407-69E3FF4D9ECD}"/>
    <cellStyle name="Comma 25" xfId="969" xr:uid="{ACEF5AB0-0BDA-44E6-82DF-C5CC7BFBF51A}"/>
    <cellStyle name="Comma 25 10" xfId="970" xr:uid="{9F38D8A6-EC55-46C0-BB97-7AA7A218943C}"/>
    <cellStyle name="Comma 25 11" xfId="971" xr:uid="{6D52F9FA-EC40-4E69-8A9B-56C0996CCCD0}"/>
    <cellStyle name="Comma 25 12" xfId="972" xr:uid="{216E6527-F347-4B28-B441-6D23FC09FAF4}"/>
    <cellStyle name="Comma 25 13" xfId="973" xr:uid="{0456F2A6-C22C-47ED-848F-A1062661ACAE}"/>
    <cellStyle name="Comma 25 14" xfId="974" xr:uid="{754F3495-9BB0-4EA7-B37C-3AFE406135F5}"/>
    <cellStyle name="Comma 25 15" xfId="975" xr:uid="{15E10B72-DD6F-4FC9-9F60-795F207CAFA4}"/>
    <cellStyle name="Comma 25 16" xfId="976" xr:uid="{252443A1-644D-4FFB-94CF-4B2B5677F5CE}"/>
    <cellStyle name="Comma 25 17" xfId="977" xr:uid="{43D415F2-0591-41DB-B8F3-2003969316C0}"/>
    <cellStyle name="Comma 25 18" xfId="978" xr:uid="{42C526F0-FA5C-48C9-A242-00FD30B2EAF1}"/>
    <cellStyle name="Comma 25 2" xfId="979" xr:uid="{0E388A67-1261-4BC0-A61E-B142FD8C0873}"/>
    <cellStyle name="Comma 25 3" xfId="980" xr:uid="{8503FD8B-B123-469A-BB45-CEBC01ABCD5F}"/>
    <cellStyle name="Comma 25 4" xfId="981" xr:uid="{DCA0E957-72E1-4B3B-92C4-98A03AD90E51}"/>
    <cellStyle name="Comma 25 5" xfId="982" xr:uid="{45A631F5-1B9E-4272-A2B2-30F870068FA5}"/>
    <cellStyle name="Comma 25 6" xfId="983" xr:uid="{63E79786-75C2-4F00-99B2-C4EB1C9DDF0B}"/>
    <cellStyle name="Comma 25 7" xfId="984" xr:uid="{6A4103A2-9FE3-4B03-8516-C3C49A3278E5}"/>
    <cellStyle name="Comma 25 8" xfId="985" xr:uid="{21C7EC35-0FAA-45B4-B0D8-C88B848C6D94}"/>
    <cellStyle name="Comma 25 9" xfId="986" xr:uid="{CD59FAEF-0EDE-41DC-ABDC-89CDB1DE4E9E}"/>
    <cellStyle name="Comma 26" xfId="2416" xr:uid="{D7110EAB-8E30-4E20-9DCE-9E696904A975}"/>
    <cellStyle name="Comma 3" xfId="7" xr:uid="{382A1494-BB21-4F96-A3C4-5CAEC20E7F43}"/>
    <cellStyle name="Comma 3 10" xfId="988" xr:uid="{DADD1CF5-8654-4D8B-9779-1C0ACCD7BF9E}"/>
    <cellStyle name="Comma 3 11" xfId="989" xr:uid="{90C2877F-8674-45FE-8099-0DC84D70F5B9}"/>
    <cellStyle name="Comma 3 12" xfId="990" xr:uid="{CCF34266-824F-4BD7-91A2-ABBECDB0C8EA}"/>
    <cellStyle name="Comma 3 13" xfId="987" xr:uid="{0AFBD122-CC0B-4A2B-A72B-FF862E95EB69}"/>
    <cellStyle name="Comma 3 14" xfId="34" xr:uid="{9FC084DB-D5D3-41A1-AE44-DD995CDCAAD6}"/>
    <cellStyle name="Comma 3 14 2" xfId="2043" xr:uid="{146EB055-4272-4773-A098-FC1A674DE0FE}"/>
    <cellStyle name="Comma 3 14 2 2" xfId="2805" xr:uid="{58322DD8-7A18-418E-B5AC-761A3FCC0441}"/>
    <cellStyle name="Comma 3 14 3" xfId="2432" xr:uid="{9FF29C75-3559-43F5-B678-3834BC89CFDC}"/>
    <cellStyle name="Comma 3 15" xfId="2418" xr:uid="{B3010343-93A4-4F08-B02A-3A8F616DE67A}"/>
    <cellStyle name="Comma 3 16" xfId="2411" xr:uid="{E6C314A8-5485-4772-8FD3-E03029E76592}"/>
    <cellStyle name="Comma 3 2" xfId="991" xr:uid="{B4A5903E-6074-4B42-904F-A7C24E3BDB99}"/>
    <cellStyle name="Comma 3 2 2" xfId="2370" xr:uid="{577674E9-869A-413D-8C17-A2B074A745AA}"/>
    <cellStyle name="Comma 3 2 2 2" xfId="3132" xr:uid="{15949A06-08D5-4B7B-B5B3-89937D16E4A0}"/>
    <cellStyle name="Comma 3 2 3" xfId="2759" xr:uid="{6E8143FF-22A5-4FE6-A5D7-6E479680A4E8}"/>
    <cellStyle name="Comma 3 3" xfId="992" xr:uid="{7AE70F2C-A9AC-42C9-8D10-410807F3666B}"/>
    <cellStyle name="Comma 3 3 2" xfId="2371" xr:uid="{5B31A638-2EC5-43F3-A9AB-9E23C4356BA2}"/>
    <cellStyle name="Comma 3 3 2 2" xfId="3133" xr:uid="{1FDAF4E5-5FF0-43A3-B131-2E6B4EECD58C}"/>
    <cellStyle name="Comma 3 3 3" xfId="2760" xr:uid="{02E0748C-0D2B-486C-9A8B-9CF6C5E43F06}"/>
    <cellStyle name="Comma 3 4" xfId="993" xr:uid="{DE79180F-7F22-483B-848E-A583E5D38964}"/>
    <cellStyle name="Comma 3 4 2" xfId="2372" xr:uid="{24637013-0830-4F7D-BFF1-2411120CCF36}"/>
    <cellStyle name="Comma 3 4 2 2" xfId="3134" xr:uid="{45C123B7-2BA4-4ADD-BCF5-C31590BAF773}"/>
    <cellStyle name="Comma 3 4 3" xfId="2761" xr:uid="{AB45A12C-E2B7-4468-BA31-982CE70410CA}"/>
    <cellStyle name="Comma 3 5" xfId="994" xr:uid="{1BE19361-01DF-431E-A277-B70BF2DD3D35}"/>
    <cellStyle name="Comma 3 5 2" xfId="2373" xr:uid="{7542942A-E1B6-4EDA-9809-56D72232740E}"/>
    <cellStyle name="Comma 3 5 2 2" xfId="3135" xr:uid="{060F8DBE-9BE4-4AB9-B801-15B6FC615CA7}"/>
    <cellStyle name="Comma 3 5 3" xfId="2762" xr:uid="{4186AF98-ACA7-4DB9-8E28-477DB37EB42F}"/>
    <cellStyle name="Comma 3 6" xfId="995" xr:uid="{3974E8E3-6DAC-4431-89D7-4BEF597C79DB}"/>
    <cellStyle name="Comma 3 6 2" xfId="2374" xr:uid="{04285706-2B3F-4F81-BD88-44C4B2AF7D78}"/>
    <cellStyle name="Comma 3 6 2 2" xfId="3136" xr:uid="{E883DE05-96FF-4C46-A9D5-5E20E33FA883}"/>
    <cellStyle name="Comma 3 6 3" xfId="2763" xr:uid="{0F5303ED-5846-4AC0-84E6-6E341E1EE05C}"/>
    <cellStyle name="Comma 3 7" xfId="996" xr:uid="{8F4F1375-2B22-40AA-A89F-9B968B863D83}"/>
    <cellStyle name="Comma 3 7 2" xfId="2375" xr:uid="{C910A8FF-26C7-4BC1-B8C2-BF96C3BC598D}"/>
    <cellStyle name="Comma 3 7 2 2" xfId="3137" xr:uid="{69ECDA56-DCED-4BD3-A484-FE94DEF523D9}"/>
    <cellStyle name="Comma 3 7 3" xfId="2764" xr:uid="{59787ACC-BD00-4046-AE27-394158E3A7B2}"/>
    <cellStyle name="Comma 3 8" xfId="997" xr:uid="{31303457-A93F-4928-A73C-C1E0DC3A940D}"/>
    <cellStyle name="Comma 3 8 10" xfId="998" xr:uid="{F4AC2883-D32D-4D36-9EBA-4589342F1A2A}"/>
    <cellStyle name="Comma 3 8 11" xfId="999" xr:uid="{60A219FF-492D-4B31-B9B7-792FA20FC206}"/>
    <cellStyle name="Comma 3 8 12" xfId="1000" xr:uid="{0D68C282-CD74-451F-8062-26B13FF128AC}"/>
    <cellStyle name="Comma 3 8 13" xfId="1001" xr:uid="{B88C6EE9-8E33-4F2D-A36C-E31269EC3D82}"/>
    <cellStyle name="Comma 3 8 14" xfId="1002" xr:uid="{6DE9C31E-5837-4A72-915C-CBFC509C7880}"/>
    <cellStyle name="Comma 3 8 15" xfId="1003" xr:uid="{E4FF0E61-DF75-46EF-BD28-68A415343EE1}"/>
    <cellStyle name="Comma 3 8 16" xfId="1004" xr:uid="{EEB8600E-D238-44B7-A2CF-157E8015AB52}"/>
    <cellStyle name="Comma 3 8 17" xfId="1005" xr:uid="{354D16C4-0DFD-4FCD-AE59-9461488BCEFE}"/>
    <cellStyle name="Comma 3 8 18" xfId="1006" xr:uid="{C870CF6B-D7CB-402E-89FD-12E8C8E36EE7}"/>
    <cellStyle name="Comma 3 8 2" xfId="1007" xr:uid="{B04CBBF1-913C-479C-8715-714D8E934206}"/>
    <cellStyle name="Comma 3 8 3" xfId="1008" xr:uid="{E03B697C-6062-4F56-A0FC-4A2944150DBB}"/>
    <cellStyle name="Comma 3 8 4" xfId="1009" xr:uid="{84DF91E2-93F3-4078-B331-B26B90BE9548}"/>
    <cellStyle name="Comma 3 8 5" xfId="1010" xr:uid="{8BCBB3F6-1BD5-4044-82ED-6A7533608D29}"/>
    <cellStyle name="Comma 3 8 6" xfId="1011" xr:uid="{A5EEF066-3FA9-4FE9-B930-451B16215038}"/>
    <cellStyle name="Comma 3 8 7" xfId="1012" xr:uid="{2D853662-315A-4C74-A57C-01BCD2D372AE}"/>
    <cellStyle name="Comma 3 8 8" xfId="1013" xr:uid="{354F4A76-6803-4347-8A7B-2E10FF2CA000}"/>
    <cellStyle name="Comma 3 8 9" xfId="1014" xr:uid="{44FEB1B4-1F25-46C7-8CEE-FC5066A04236}"/>
    <cellStyle name="Comma 3 9" xfId="1015" xr:uid="{00443759-B6E4-46F4-AAAC-B46E011C836B}"/>
    <cellStyle name="Comma 3 9 2" xfId="2376" xr:uid="{CD072BCF-1A16-4763-843D-A01721E0A923}"/>
    <cellStyle name="Comma 3 9 2 2" xfId="3138" xr:uid="{3AFFCA64-686B-4D67-9A29-71F1B7DC33AA}"/>
    <cellStyle name="Comma 3 9 3" xfId="2765" xr:uid="{EDDF7AB1-8092-42C9-9956-36E3EB5E3444}"/>
    <cellStyle name="Comma 3_N2Ac" xfId="1016" xr:uid="{DD9C75DA-7902-432F-91C4-D7D01FAD0085}"/>
    <cellStyle name="Comma 4" xfId="4" xr:uid="{161BA581-6C07-41D6-A4A6-821CF6B398E4}"/>
    <cellStyle name="Comma 4 2" xfId="23" xr:uid="{45B6FEA6-F3C2-454A-940A-6A2C40A81B05}"/>
    <cellStyle name="Comma 4 2 2" xfId="1018" xr:uid="{F2587EA7-413E-41C3-8A86-80D6184B76CB}"/>
    <cellStyle name="Comma 4 2 2 2" xfId="2377" xr:uid="{1989EA87-4B87-4BD5-87BE-EAC84591AB37}"/>
    <cellStyle name="Comma 4 2 2 2 2" xfId="3139" xr:uid="{478F3A42-ECB6-48C3-B107-76BA3B91A93D}"/>
    <cellStyle name="Comma 4 2 2 3" xfId="2766" xr:uid="{DBE4D5D7-AA22-4921-9764-2FE65B95D1F9}"/>
    <cellStyle name="Comma 4 2 3" xfId="1017" xr:uid="{EAFDA74B-166A-4E5F-9712-2F722FD69DCD}"/>
    <cellStyle name="Comma 4 2 4" xfId="2036" xr:uid="{BC7711FA-604F-4CAB-84B3-685630823F22}"/>
    <cellStyle name="Comma 4 2 4 2" xfId="2798" xr:uid="{FC4B20BC-03A6-431E-88E5-332852668FDB}"/>
    <cellStyle name="Comma 4 2 5" xfId="2425" xr:uid="{157F3BD5-8041-4FF5-8B8E-92D70FDE3CA4}"/>
    <cellStyle name="Comma 4 3" xfId="1019" xr:uid="{2F36BB3E-EE56-46C9-8161-F2270BBE9C2D}"/>
    <cellStyle name="Comma 4 3 2" xfId="2378" xr:uid="{904FC90D-B21C-4DCA-BA72-AC5CFD216931}"/>
    <cellStyle name="Comma 4 3 2 2" xfId="3140" xr:uid="{3CCD5D20-E00F-4FB2-9163-E7F99E43B27D}"/>
    <cellStyle name="Comma 4 3 3" xfId="2767" xr:uid="{2C9E89F9-E283-4BF2-8AD2-E20580088890}"/>
    <cellStyle name="Comma 4 4" xfId="1020" xr:uid="{BC218DA6-9172-4DF7-86D3-C71376B72282}"/>
    <cellStyle name="Comma 4 4 2" xfId="2379" xr:uid="{EA4B8D13-AF3A-4E06-8EA3-00501E285A17}"/>
    <cellStyle name="Comma 4 4 2 2" xfId="3141" xr:uid="{1DE55A4E-F78C-4805-BA43-A745CD74AC72}"/>
    <cellStyle name="Comma 4 4 3" xfId="2768" xr:uid="{467D2189-6A35-4929-9DD0-F6711B28D760}"/>
    <cellStyle name="Comma 4 5" xfId="45" xr:uid="{00E28136-A2E2-4557-BD39-45D787579F05}"/>
    <cellStyle name="Comma 4 6" xfId="38" xr:uid="{1392EA10-3DB0-454B-8F59-2B96E9344F18}"/>
    <cellStyle name="Comma 4 6 2" xfId="2044" xr:uid="{BE708CF5-50A9-4C33-9B75-D0F729BC135C}"/>
    <cellStyle name="Comma 4 6 2 2" xfId="2806" xr:uid="{94FF13E6-B6AB-4EB7-8672-AEBC7C64292C}"/>
    <cellStyle name="Comma 4 6 3" xfId="2433" xr:uid="{A33D4C5B-FD40-444D-A0DC-43B0EE8CDE96}"/>
    <cellStyle name="Comma 4 7" xfId="2029" xr:uid="{D5B0CAE2-F96D-4A2B-B273-6758E696986D}"/>
    <cellStyle name="Comma 4 7 2" xfId="2791" xr:uid="{5B749CCC-7249-4CFA-8901-06051A327F9A}"/>
    <cellStyle name="Comma 4 8" xfId="2413" xr:uid="{4ECD5D8F-4018-4154-80CD-9722F216E286}"/>
    <cellStyle name="Comma 5" xfId="16" xr:uid="{6A5C7F67-07AD-49AD-9328-EEC6B95BE365}"/>
    <cellStyle name="Comma 5 2" xfId="21" xr:uid="{D3173EEC-781B-430E-85E3-749525694843}"/>
    <cellStyle name="Comma 5 2 2" xfId="28" xr:uid="{3AA467B4-F0A2-43E3-8EC8-FA094FE4808F}"/>
    <cellStyle name="Comma 5 2 2 2" xfId="2040" xr:uid="{89FADBED-3EF3-4DFF-8390-939D2B95A013}"/>
    <cellStyle name="Comma 5 2 2 2 2" xfId="2802" xr:uid="{62265008-BEB6-43A7-AF36-785A8380CC86}"/>
    <cellStyle name="Comma 5 2 2 3" xfId="2429" xr:uid="{C3A2E07B-1C75-4B8B-96A8-BCBA2712737D}"/>
    <cellStyle name="Comma 5 2 3" xfId="2034" xr:uid="{2DAB6F00-C0AB-4CA5-82BB-00892885786B}"/>
    <cellStyle name="Comma 5 2 3 2" xfId="2796" xr:uid="{A5B7A488-8B04-462B-B151-331CB62A3BA2}"/>
    <cellStyle name="Comma 5 2 4" xfId="2423" xr:uid="{6A6E6A8B-25E6-4EFC-A4C3-7331BFB0F042}"/>
    <cellStyle name="Comma 5 3" xfId="26" xr:uid="{691214F3-4123-4864-9C37-E72782AB228C}"/>
    <cellStyle name="Comma 5 3 2" xfId="2039" xr:uid="{2316590B-2C15-478A-B7ED-9862D61CC85B}"/>
    <cellStyle name="Comma 5 3 2 2" xfId="2801" xr:uid="{4FB1CAA8-22E2-4B0B-9FCC-80B4C890C007}"/>
    <cellStyle name="Comma 5 3 3" xfId="2428" xr:uid="{CB7FF208-F8F4-4C9D-8FC6-734291E1CF3A}"/>
    <cellStyle name="Comma 5 4" xfId="44" xr:uid="{8347774D-56D4-469B-8983-72152DBA241C}"/>
    <cellStyle name="Comma 5 5" xfId="2033" xr:uid="{A3C2471E-B0DB-4770-B6EE-FA08FA57DF65}"/>
    <cellStyle name="Comma 5 5 2" xfId="2795" xr:uid="{501141E2-30E2-43EC-BA21-6843567B4104}"/>
    <cellStyle name="Comma 5 6" xfId="2422" xr:uid="{9A0F726C-4933-40D8-A21D-206464B37233}"/>
    <cellStyle name="Comma 6" xfId="22" xr:uid="{0FE58720-4044-4B7C-B7FA-027ABE82A699}"/>
    <cellStyle name="Comma 6 2" xfId="1022" xr:uid="{A059CD2F-0D72-4DA8-8F29-74150F34A9C3}"/>
    <cellStyle name="Comma 6 2 2" xfId="2380" xr:uid="{158C7185-0557-42CE-9B8E-D987E82B022F}"/>
    <cellStyle name="Comma 6 2 2 2" xfId="3142" xr:uid="{C8398893-0811-444E-93DB-447E12980A9B}"/>
    <cellStyle name="Comma 6 2 3" xfId="2769" xr:uid="{6248BF57-C1BF-42CC-85EF-6C36C2A757A9}"/>
    <cellStyle name="Comma 6 3" xfId="1023" xr:uid="{B7E8D6E3-ECA2-4738-AF7D-3FA9F3050616}"/>
    <cellStyle name="Comma 6 3 2" xfId="2381" xr:uid="{E43BD89E-28B7-40DA-8865-4015113A77CA}"/>
    <cellStyle name="Comma 6 3 2 2" xfId="3143" xr:uid="{A05D8FB8-DBE8-4C69-9321-04D214226D27}"/>
    <cellStyle name="Comma 6 3 3" xfId="2770" xr:uid="{2B3A8466-8CDC-4491-B722-0BAD22A29A69}"/>
    <cellStyle name="Comma 6 4" xfId="1024" xr:uid="{FBEB1252-062A-4A6B-A911-460788C0FFC0}"/>
    <cellStyle name="Comma 6 4 2" xfId="2382" xr:uid="{A643BBC3-87D5-4FE2-89A9-FB7E547F2A88}"/>
    <cellStyle name="Comma 6 4 2 2" xfId="3144" xr:uid="{192A650B-8AA6-48A4-869A-F192BBE3718E}"/>
    <cellStyle name="Comma 6 4 3" xfId="2771" xr:uid="{C8BDB913-2CC8-4B76-8E0D-EA99FF4642FF}"/>
    <cellStyle name="Comma 6 5" xfId="1025" xr:uid="{24332B9C-E7DC-4C8F-AC4E-C813BF2CFB6E}"/>
    <cellStyle name="Comma 6 6" xfId="1021" xr:uid="{64BCC4AC-17AC-463D-8F1A-4C4181DE3E17}"/>
    <cellStyle name="Comma 6 7" xfId="48" xr:uid="{7FD1D49F-7CD7-49CC-A8C8-4F878E64A86F}"/>
    <cellStyle name="Comma 6 8" xfId="2035" xr:uid="{CA6DDF15-66CF-450B-A594-A90E47E68A17}"/>
    <cellStyle name="Comma 6 8 2" xfId="2797" xr:uid="{8DF1A084-7D6A-49FD-B72C-061888826C47}"/>
    <cellStyle name="Comma 6 9" xfId="2424" xr:uid="{F536F819-A1E6-401B-859F-F33529846900}"/>
    <cellStyle name="Comma 7" xfId="47" xr:uid="{2BDFF98D-5396-4A51-A348-C53AE4559771}"/>
    <cellStyle name="Comma 7 2" xfId="2403" xr:uid="{93D6F5C3-376D-49FF-A4A2-4A7697B7FF87}"/>
    <cellStyle name="Comma 7 2 2" xfId="3162" xr:uid="{55B29465-9B80-4F7A-B605-5546BB753241}"/>
    <cellStyle name="Comma 8" xfId="43" xr:uid="{68010BD0-B60F-499C-9810-D0BE83C29EA8}"/>
    <cellStyle name="Comma 9" xfId="1026" xr:uid="{4357534D-CAC9-4211-8890-1C3277F4D8DA}"/>
    <cellStyle name="Comma 9 10" xfId="1027" xr:uid="{15A83550-FC84-4E4D-924F-8B11E98500A2}"/>
    <cellStyle name="Comma 9 10 2" xfId="2383" xr:uid="{653537CA-7362-4C69-B491-498F277569D3}"/>
    <cellStyle name="Comma 9 10 2 2" xfId="3145" xr:uid="{D7759EDC-A3C2-4D26-9BD3-CCB6C37E78E8}"/>
    <cellStyle name="Comma 9 10 3" xfId="2772" xr:uid="{E5CF5340-9EBA-4C3E-B072-8BA714167322}"/>
    <cellStyle name="Comma 9 11" xfId="1028" xr:uid="{C671BBF9-0C69-432C-BC81-068C402A9885}"/>
    <cellStyle name="Comma 9 11 2" xfId="2384" xr:uid="{30179FC9-22B6-4BE2-935D-B7FF57286715}"/>
    <cellStyle name="Comma 9 11 2 2" xfId="3146" xr:uid="{9A161207-90A9-4B1F-A202-3790381EBF5C}"/>
    <cellStyle name="Comma 9 11 3" xfId="2773" xr:uid="{BE334FC6-EB5E-4799-AAEB-FEE635D178AC}"/>
    <cellStyle name="Comma 9 12" xfId="1029" xr:uid="{AC89ABB0-6AFF-4114-8D81-F3AF65CCA2D6}"/>
    <cellStyle name="Comma 9 12 2" xfId="2385" xr:uid="{EEB7273C-C2D3-4433-9C11-F02589914B57}"/>
    <cellStyle name="Comma 9 12 2 2" xfId="3147" xr:uid="{B21861DD-764C-49C9-954B-7CBF0A65FBD3}"/>
    <cellStyle name="Comma 9 12 3" xfId="2774" xr:uid="{BEB5BB65-3E1F-4F3E-BCC5-E4E720808F98}"/>
    <cellStyle name="Comma 9 13" xfId="1030" xr:uid="{637CF337-6F62-48BE-9C06-C5FF03E0D9DC}"/>
    <cellStyle name="Comma 9 13 2" xfId="2386" xr:uid="{17EA7277-A8DB-4653-8ACD-D33E7B8D9A71}"/>
    <cellStyle name="Comma 9 13 2 2" xfId="3148" xr:uid="{89EDBD52-815B-4E00-919E-AF229C4D4577}"/>
    <cellStyle name="Comma 9 13 3" xfId="2775" xr:uid="{3AD5B41D-41B4-49D1-8CAC-528F85D49535}"/>
    <cellStyle name="Comma 9 14" xfId="1031" xr:uid="{EDDD436B-1398-4434-95CD-E5F9135CD133}"/>
    <cellStyle name="Comma 9 14 2" xfId="2387" xr:uid="{189547F6-2A14-4B92-A1A8-C53B545CD95E}"/>
    <cellStyle name="Comma 9 14 2 2" xfId="3149" xr:uid="{D116936C-8973-4A36-BF90-C4154689541D}"/>
    <cellStyle name="Comma 9 14 3" xfId="2776" xr:uid="{E024454F-4FCF-44FD-9ECB-246881902B85}"/>
    <cellStyle name="Comma 9 15" xfId="1032" xr:uid="{175674ED-6B6E-4E12-AEC9-A0CD00409D06}"/>
    <cellStyle name="Comma 9 15 2" xfId="2388" xr:uid="{C892A924-5A63-45E0-80D4-10D0E4D910C0}"/>
    <cellStyle name="Comma 9 15 2 2" xfId="3150" xr:uid="{127B153E-43B2-481F-9327-E788FCA6083E}"/>
    <cellStyle name="Comma 9 15 3" xfId="2777" xr:uid="{FC648C18-8004-4FE7-9315-61008552C42F}"/>
    <cellStyle name="Comma 9 16" xfId="1033" xr:uid="{5611845C-F9CF-4D71-9ED6-FF6171231335}"/>
    <cellStyle name="Comma 9 16 2" xfId="2389" xr:uid="{BC0F0165-07DD-476C-B0AD-04F513D29C69}"/>
    <cellStyle name="Comma 9 16 2 2" xfId="3151" xr:uid="{B2A573B6-F802-48DD-8A13-857B1267E22A}"/>
    <cellStyle name="Comma 9 16 3" xfId="2778" xr:uid="{3170F2AB-8A3A-4A6D-BD29-CAE94FEC4143}"/>
    <cellStyle name="Comma 9 2" xfId="1034" xr:uid="{208B52FA-B425-4718-942B-21C2E0F30A1A}"/>
    <cellStyle name="Comma 9 2 2" xfId="2390" xr:uid="{018F294E-D161-43B2-8F6E-0307E7997D54}"/>
    <cellStyle name="Comma 9 2 2 2" xfId="3152" xr:uid="{FB52C5AD-7518-4F94-9153-1126DA7E7EE4}"/>
    <cellStyle name="Comma 9 2 3" xfId="2779" xr:uid="{AB04B745-3B3A-4E44-BD09-84F2112B85A1}"/>
    <cellStyle name="Comma 9 3" xfId="1035" xr:uid="{2B57616C-6F80-4FF7-BC3E-A5B6C2BE5333}"/>
    <cellStyle name="Comma 9 3 2" xfId="2391" xr:uid="{0CE29B72-5BE5-4D06-A058-3D8F01C82422}"/>
    <cellStyle name="Comma 9 3 2 2" xfId="3153" xr:uid="{693EEB76-9B54-48C3-92A8-E351768FC842}"/>
    <cellStyle name="Comma 9 3 3" xfId="2780" xr:uid="{EF7857D8-C896-4DF7-A070-4FECF6278D85}"/>
    <cellStyle name="Comma 9 4" xfId="1036" xr:uid="{4BEC846E-2601-4BD1-AF93-47BECD4A3977}"/>
    <cellStyle name="Comma 9 4 2" xfId="2392" xr:uid="{971DC1B2-0221-49A0-A25A-2BC3F5DB92DF}"/>
    <cellStyle name="Comma 9 4 2 2" xfId="3154" xr:uid="{BB970599-C74F-42AB-8CAC-A238A25B9BC2}"/>
    <cellStyle name="Comma 9 4 3" xfId="2781" xr:uid="{48710B5D-1FB4-48D8-B71A-07342B4EF626}"/>
    <cellStyle name="Comma 9 5" xfId="1037" xr:uid="{76D2680F-E6F0-4E5F-9BB5-1494026B6FF5}"/>
    <cellStyle name="Comma 9 5 2" xfId="2393" xr:uid="{794D7ED9-322C-4849-AEC2-17DB7D0CB228}"/>
    <cellStyle name="Comma 9 5 2 2" xfId="3155" xr:uid="{EF68D839-0F1B-400E-AE2C-38E40FC8AB47}"/>
    <cellStyle name="Comma 9 5 3" xfId="2782" xr:uid="{24730DC9-63EC-438F-BE37-667F501A643B}"/>
    <cellStyle name="Comma 9 6" xfId="1038" xr:uid="{F07BB480-9BCE-40DC-81F5-5EA6EB06829B}"/>
    <cellStyle name="Comma 9 6 2" xfId="2394" xr:uid="{CDB3576B-D2EB-4423-A21A-84CF3D0EFC0F}"/>
    <cellStyle name="Comma 9 6 2 2" xfId="3156" xr:uid="{08395161-E28D-472B-9967-388904F94D6D}"/>
    <cellStyle name="Comma 9 6 3" xfId="2783" xr:uid="{A9799CEB-9B5D-4776-B39A-0DB06D998622}"/>
    <cellStyle name="Comma 9 7" xfId="1039" xr:uid="{36DDA30F-8625-4572-BE2B-8819D41EF03D}"/>
    <cellStyle name="Comma 9 7 2" xfId="2395" xr:uid="{A218F21E-DE9B-4944-8A59-C55BE7C8D83B}"/>
    <cellStyle name="Comma 9 7 2 2" xfId="3157" xr:uid="{F8665A58-2647-47E7-A835-0422F9F92859}"/>
    <cellStyle name="Comma 9 7 3" xfId="2784" xr:uid="{0F3CB79B-E993-40E2-8E98-C5D978E1E653}"/>
    <cellStyle name="Comma 9 8" xfId="1040" xr:uid="{CD0D0857-1F24-42E7-B162-0A57301B3577}"/>
    <cellStyle name="Comma 9 8 2" xfId="2396" xr:uid="{E4B9C122-1DFC-42C3-9765-C405018760B2}"/>
    <cellStyle name="Comma 9 8 2 2" xfId="3158" xr:uid="{63584DFC-284D-4902-B22B-CC377BD0D70D}"/>
    <cellStyle name="Comma 9 8 3" xfId="2785" xr:uid="{DABB49EC-7A95-4B6A-A609-FA20DD13B51C}"/>
    <cellStyle name="Comma 9 9" xfId="1041" xr:uid="{CCBF79F1-60A8-41A3-960B-F027C3305323}"/>
    <cellStyle name="Comma 9 9 2" xfId="2397" xr:uid="{818A7977-A496-4488-8CBE-A81D652EFE09}"/>
    <cellStyle name="Comma 9 9 2 2" xfId="3159" xr:uid="{4502F35C-C938-485C-B449-A23FAD25E642}"/>
    <cellStyle name="Comma 9 9 3" xfId="2786" xr:uid="{64D2BFFE-7D27-46F2-B971-5C66E6E82817}"/>
    <cellStyle name="Copied" xfId="1042" xr:uid="{2EF8F798-DAAD-4D65-9204-CA07D0020BF6}"/>
    <cellStyle name="Emphasis 1" xfId="1043" xr:uid="{3309502B-4E04-4488-9A17-F910E673D31D}"/>
    <cellStyle name="Emphasis 2" xfId="1044" xr:uid="{0AA2B259-0D5D-4C90-8E6B-D9610A474DD6}"/>
    <cellStyle name="Emphasis 3" xfId="1045" xr:uid="{2D5B1A62-7674-48A4-A672-F3AC1DA6C0D8}"/>
    <cellStyle name="Entered" xfId="1046" xr:uid="{6AF42AE3-49D3-4A7E-B6E9-D39E8A2C55FA}"/>
    <cellStyle name="Euro" xfId="1047" xr:uid="{FDC089C9-8100-4CA6-AA80-D6C6DA9D6286}"/>
    <cellStyle name="Euro 2" xfId="1048" xr:uid="{ADD8FE5B-7AF3-403F-8F0E-09751FDA3ADD}"/>
    <cellStyle name="Explanatory Text 2" xfId="1050" xr:uid="{D908FE5C-4F58-4F99-89AF-82DC676822BE}"/>
    <cellStyle name="Explanatory Text 2 10" xfId="1051" xr:uid="{730F5A34-9B6F-446B-9733-B5130044EDE0}"/>
    <cellStyle name="Explanatory Text 2 11" xfId="1052" xr:uid="{8C4E6D81-5639-4A91-A9B9-CDD5F3D60699}"/>
    <cellStyle name="Explanatory Text 2 12" xfId="1053" xr:uid="{67FF0611-1AFA-47E5-BA3F-974199C9DF26}"/>
    <cellStyle name="Explanatory Text 2 13" xfId="1054" xr:uid="{76E73D45-BB69-4EAE-9CA2-F0B02ABA2414}"/>
    <cellStyle name="Explanatory Text 2 14" xfId="1055" xr:uid="{DDAFC6A8-F630-4419-9DE2-9E0F84BF00D4}"/>
    <cellStyle name="Explanatory Text 2 15" xfId="1056" xr:uid="{E34138CF-ED56-42FD-BD7B-E436FE3B6498}"/>
    <cellStyle name="Explanatory Text 2 2" xfId="1057" xr:uid="{31039E6D-6DE3-4BBD-9783-FBC177BE7C98}"/>
    <cellStyle name="Explanatory Text 2 3" xfId="1058" xr:uid="{D7B02E02-1F02-4C95-8DEE-2B8DFFF69277}"/>
    <cellStyle name="Explanatory Text 2 4" xfId="1059" xr:uid="{2507F818-88BC-405B-A873-A803ECECF52D}"/>
    <cellStyle name="Explanatory Text 2 5" xfId="1060" xr:uid="{E71EE959-FFF0-4ACF-A2C1-6FF2390746A6}"/>
    <cellStyle name="Explanatory Text 2 6" xfId="1061" xr:uid="{9F8840E7-44F8-4426-8C28-4CD3DC06783F}"/>
    <cellStyle name="Explanatory Text 2 7" xfId="1062" xr:uid="{6FA97007-AE3F-4905-93CB-7673D03DC2B7}"/>
    <cellStyle name="Explanatory Text 2 8" xfId="1063" xr:uid="{2A62A55D-62F6-42A5-8C00-33CE11E5C9E4}"/>
    <cellStyle name="Explanatory Text 2 9" xfId="1064" xr:uid="{1A24C354-0B9B-4D8F-B9A1-C7822CDD7124}"/>
    <cellStyle name="Explanatory Text 3" xfId="1065" xr:uid="{B7B58645-494B-4663-BAD9-92391B486E20}"/>
    <cellStyle name="Explanatory Text 4" xfId="1066" xr:uid="{A62EEDF7-2CF8-48B0-B5FF-88ECA60F84D7}"/>
    <cellStyle name="Explanatory Text 5" xfId="1049" xr:uid="{2CCABE5E-11A8-4638-A126-1E5F0025F05A}"/>
    <cellStyle name="Good 2" xfId="1068" xr:uid="{E82EC58D-5973-4E26-9A3E-E32E291AE8E3}"/>
    <cellStyle name="Good 2 10" xfId="1069" xr:uid="{C1B2E37A-8985-40F3-8A9F-A6301B2F75F2}"/>
    <cellStyle name="Good 2 11" xfId="1070" xr:uid="{8EEDE9B1-B82D-4341-A71A-53D3910B1D1B}"/>
    <cellStyle name="Good 2 12" xfId="1071" xr:uid="{327B1A69-CB1E-4F70-92FA-4B1D00EB0E79}"/>
    <cellStyle name="Good 2 13" xfId="1072" xr:uid="{2700A3E2-A2CD-4A4B-B7DF-33AC6C87E03D}"/>
    <cellStyle name="Good 2 14" xfId="1073" xr:uid="{DDD2A150-2EEA-474E-9BBD-1004182D6CF8}"/>
    <cellStyle name="Good 2 15" xfId="1074" xr:uid="{335012D5-BAB6-4C89-A741-C4B26CF13A75}"/>
    <cellStyle name="Good 2 2" xfId="1075" xr:uid="{1CC562F0-4560-4A3D-B6C7-6C3FFE484093}"/>
    <cellStyle name="Good 2 2 2" xfId="1076" xr:uid="{B3003D5C-A6C5-47B1-8B36-C8599CCE2DCB}"/>
    <cellStyle name="Good 2 3" xfId="1077" xr:uid="{37918D47-E0A2-414C-BDFE-171D7D538ED7}"/>
    <cellStyle name="Good 2 4" xfId="1078" xr:uid="{EB66F92F-BA9E-4B3A-A0F9-713F84C8A29A}"/>
    <cellStyle name="Good 2 5" xfId="1079" xr:uid="{B454CDEA-5A5C-40B0-972F-9C27C391FCC7}"/>
    <cellStyle name="Good 2 6" xfId="1080" xr:uid="{7B9B3D35-5A47-4AA1-8B94-479E9D46EF0E}"/>
    <cellStyle name="Good 2 7" xfId="1081" xr:uid="{8CD51A2A-D3E6-4345-9EE2-5E7C8EB35BE3}"/>
    <cellStyle name="Good 2 8" xfId="1082" xr:uid="{50181501-DAAB-47A4-A181-84402311E637}"/>
    <cellStyle name="Good 2 9" xfId="1083" xr:uid="{B8F49AD9-4174-458F-AA22-8C7223AC4964}"/>
    <cellStyle name="Good 3" xfId="1084" xr:uid="{E4C00F80-C8B1-4BEF-862B-91D75A7B0568}"/>
    <cellStyle name="Good 3 2" xfId="1085" xr:uid="{B9F62222-C1BE-4FDE-A520-D0246B42639C}"/>
    <cellStyle name="Good 4" xfId="1086" xr:uid="{BF6D0DFE-45D2-4E78-9401-31A8493DD0DA}"/>
    <cellStyle name="Good 5" xfId="1067" xr:uid="{D6FCE381-3BF8-4B89-A3D2-426C125240A8}"/>
    <cellStyle name="Grey" xfId="1087" xr:uid="{33809078-32A6-4B28-8917-78B4C61F100F}"/>
    <cellStyle name="Header1" xfId="1088" xr:uid="{4E8D69BA-D9FB-45EA-BF85-D3176CFA690F}"/>
    <cellStyle name="Header2" xfId="1089" xr:uid="{991CD859-7217-49A5-9D81-BDEBEF23F8F2}"/>
    <cellStyle name="Header2 2" xfId="3165" xr:uid="{3761D3D2-2D1F-4AEF-8B18-BC3A1A7576C1}"/>
    <cellStyle name="Heading" xfId="1090" xr:uid="{C7640FEC-AD07-4F5A-8A36-B0502F714E1A}"/>
    <cellStyle name="Heading 1 2" xfId="1092" xr:uid="{D3DA8280-8AEC-4D16-9720-4F575B184AD3}"/>
    <cellStyle name="Heading 1 2 10" xfId="1093" xr:uid="{9E8F3C28-554E-450A-BE2F-C9375DE49089}"/>
    <cellStyle name="Heading 1 2 11" xfId="1094" xr:uid="{9330A8C9-0B3C-497E-9221-3659AB637C94}"/>
    <cellStyle name="Heading 1 2 12" xfId="1095" xr:uid="{7BCC3664-29D1-42A5-AA6E-346AF67A5E05}"/>
    <cellStyle name="Heading 1 2 13" xfId="1096" xr:uid="{2DA8C779-FE69-4133-9D84-D2EB13687D4F}"/>
    <cellStyle name="Heading 1 2 14" xfId="1097" xr:uid="{0D7A8C2A-21FB-40C1-8EF2-589F449E8419}"/>
    <cellStyle name="Heading 1 2 15" xfId="1098" xr:uid="{CF166A85-2AE3-42D8-8D64-B687A9E1DB01}"/>
    <cellStyle name="Heading 1 2 2" xfId="1099" xr:uid="{CA0CF534-B3DA-44C0-93CD-732FB008C973}"/>
    <cellStyle name="Heading 1 2 3" xfId="1100" xr:uid="{9AE789F2-A6A3-4529-8D63-6279E3080F4B}"/>
    <cellStyle name="Heading 1 2 4" xfId="1101" xr:uid="{2B95B9A0-6132-4D67-B3F1-FEF0A81690E2}"/>
    <cellStyle name="Heading 1 2 5" xfId="1102" xr:uid="{4B419DFE-231B-418B-84A9-19CEF2C4C309}"/>
    <cellStyle name="Heading 1 2 6" xfId="1103" xr:uid="{19BD519C-4BF7-4079-A252-28769406A26A}"/>
    <cellStyle name="Heading 1 2 7" xfId="1104" xr:uid="{E3D0D7A2-6ED0-4E98-86FA-BFC046A3B099}"/>
    <cellStyle name="Heading 1 2 8" xfId="1105" xr:uid="{78BC3D7A-7564-465B-93EE-0884037E4337}"/>
    <cellStyle name="Heading 1 2 9" xfId="1106" xr:uid="{B5A3D692-CF6B-4B80-9623-FA5BC9F88B6C}"/>
    <cellStyle name="Heading 1 3" xfId="1107" xr:uid="{8121DD5C-6B5C-45BA-BF13-A0F59A7669A5}"/>
    <cellStyle name="Heading 1 3 2" xfId="1108" xr:uid="{7E5A67E7-3367-4170-AB3C-E5CB9CA86741}"/>
    <cellStyle name="Heading 1 4" xfId="1109" xr:uid="{7E1B54CA-287B-4D5F-A7A3-AE0752376DDC}"/>
    <cellStyle name="Heading 1 5" xfId="1091" xr:uid="{3F5F9577-B550-4AEE-A601-A850A06051A0}"/>
    <cellStyle name="Heading 2 2" xfId="1111" xr:uid="{F128017B-77AB-4FA5-9357-6271D58E5B60}"/>
    <cellStyle name="Heading 2 2 10" xfId="1112" xr:uid="{2D8C7A70-F53E-4C87-B499-4866428BB9F2}"/>
    <cellStyle name="Heading 2 2 11" xfId="1113" xr:uid="{20759A10-8B4C-4BAF-8327-1C4CEB75BD23}"/>
    <cellStyle name="Heading 2 2 12" xfId="1114" xr:uid="{9B33065F-F376-4840-97F8-6421BCA94220}"/>
    <cellStyle name="Heading 2 2 13" xfId="1115" xr:uid="{556DFFAC-5310-4854-A173-9CB13DF1B7B4}"/>
    <cellStyle name="Heading 2 2 14" xfId="1116" xr:uid="{62765A44-4B1E-4851-BE43-C747E9E8C82B}"/>
    <cellStyle name="Heading 2 2 15" xfId="1117" xr:uid="{B24169E9-5AD5-4198-BF84-BCFA4628ACC0}"/>
    <cellStyle name="Heading 2 2 2" xfId="1118" xr:uid="{DB188A20-B0FD-4027-B437-DF7654393066}"/>
    <cellStyle name="Heading 2 2 3" xfId="1119" xr:uid="{8E85D1E5-DA3E-47BA-AF2E-E6EBDADADAD3}"/>
    <cellStyle name="Heading 2 2 4" xfId="1120" xr:uid="{0195B150-16B4-4B15-BFC3-13BBFB4BBC8E}"/>
    <cellStyle name="Heading 2 2 5" xfId="1121" xr:uid="{A701A074-5F03-4CE9-AB42-F4622B924803}"/>
    <cellStyle name="Heading 2 2 6" xfId="1122" xr:uid="{F9D106A6-46F9-4A24-B583-EB73F17B89DD}"/>
    <cellStyle name="Heading 2 2 7" xfId="1123" xr:uid="{191A5DFE-EE86-4862-8A54-2E49A135AB75}"/>
    <cellStyle name="Heading 2 2 8" xfId="1124" xr:uid="{1605FE72-3664-4FE7-A2FB-336EC96026A1}"/>
    <cellStyle name="Heading 2 2 9" xfId="1125" xr:uid="{EA445BBE-9C29-45C4-A0AA-5A2BB5D8B084}"/>
    <cellStyle name="Heading 2 3" xfId="1126" xr:uid="{40AB1C97-C439-4FA4-B316-5A95F72BCF6D}"/>
    <cellStyle name="Heading 2 3 2" xfId="1127" xr:uid="{2F1D1182-6730-42EB-A223-8EBF8ECEC674}"/>
    <cellStyle name="Heading 2 4" xfId="1128" xr:uid="{F148700E-FD01-48B8-9029-212478D9B083}"/>
    <cellStyle name="Heading 2 5" xfId="1110" xr:uid="{CF310777-1982-45D4-849C-AA2A7B389BB0}"/>
    <cellStyle name="Heading 3 2" xfId="1130" xr:uid="{4106B991-132B-4177-B5FC-97E0D709F30E}"/>
    <cellStyle name="Heading 3 2 10" xfId="1131" xr:uid="{12DE620F-153C-4C0A-B068-9D24075FBEBD}"/>
    <cellStyle name="Heading 3 2 11" xfId="1132" xr:uid="{518B1EB1-BECD-453F-8D28-E5944ACD0C9B}"/>
    <cellStyle name="Heading 3 2 12" xfId="1133" xr:uid="{8D0B0D39-C499-4909-BF1E-FF28AA6D7898}"/>
    <cellStyle name="Heading 3 2 13" xfId="1134" xr:uid="{643DF315-D581-4D67-82A2-C4688B9BCD25}"/>
    <cellStyle name="Heading 3 2 14" xfId="1135" xr:uid="{D74D6C47-CBF1-422E-BF17-54C5F3EA62F9}"/>
    <cellStyle name="Heading 3 2 15" xfId="1136" xr:uid="{877F3AA9-41B2-4FB4-BF0A-C82DC647619F}"/>
    <cellStyle name="Heading 3 2 2" xfId="1137" xr:uid="{BCE2D21F-FFC2-4EFE-9594-9E20704B9010}"/>
    <cellStyle name="Heading 3 2 3" xfId="1138" xr:uid="{32A44A03-9FD9-48BF-B085-CBBA27D3C39B}"/>
    <cellStyle name="Heading 3 2 4" xfId="1139" xr:uid="{BEC5B644-653B-4C1E-8BE7-764339BC141D}"/>
    <cellStyle name="Heading 3 2 5" xfId="1140" xr:uid="{97ED22AF-0250-4A69-8BAF-27D307D7EEE4}"/>
    <cellStyle name="Heading 3 2 6" xfId="1141" xr:uid="{10B6EF13-7865-46B8-B256-5D1AF66C079E}"/>
    <cellStyle name="Heading 3 2 7" xfId="1142" xr:uid="{521FC5F7-C882-4E3C-8BEA-FCF60B768C85}"/>
    <cellStyle name="Heading 3 2 8" xfId="1143" xr:uid="{0458ED0F-7E02-4EB7-90FE-07914038FAB1}"/>
    <cellStyle name="Heading 3 2 9" xfId="1144" xr:uid="{96AA9620-5A25-4D06-9BD5-6801D4490FC1}"/>
    <cellStyle name="Heading 3 3" xfId="1145" xr:uid="{E0B15FCE-1ECD-49CC-94C2-58758904E9D5}"/>
    <cellStyle name="Heading 3 3 2" xfId="1146" xr:uid="{B79D475B-A273-44A3-B7FA-DB0E3D0A8285}"/>
    <cellStyle name="Heading 3 4" xfId="1147" xr:uid="{45AEB342-97E6-49D9-B3D1-5E1F94B44F84}"/>
    <cellStyle name="Heading 3 5" xfId="1129" xr:uid="{686F39C6-E5A4-4772-B3F3-A342A8D0AC42}"/>
    <cellStyle name="Heading 4 2" xfId="1149" xr:uid="{E85F9B09-2485-49F0-AB4F-C98FD6AFB308}"/>
    <cellStyle name="Heading 4 2 10" xfId="1150" xr:uid="{B436301F-7703-47E4-AA6F-7617D26BE503}"/>
    <cellStyle name="Heading 4 2 11" xfId="1151" xr:uid="{C5A3E977-211C-4C19-B54F-CB332F79B5BF}"/>
    <cellStyle name="Heading 4 2 12" xfId="1152" xr:uid="{6517210C-75DF-4B15-AC16-121B6A996C49}"/>
    <cellStyle name="Heading 4 2 13" xfId="1153" xr:uid="{3092683F-F612-4CD0-A9AF-2F6CB746BF56}"/>
    <cellStyle name="Heading 4 2 14" xfId="1154" xr:uid="{20B5231C-9134-43F1-8F8B-7D4812CA04DF}"/>
    <cellStyle name="Heading 4 2 15" xfId="1155" xr:uid="{C505FACA-A3E5-43D9-A188-7C1FF9F5DCC8}"/>
    <cellStyle name="Heading 4 2 2" xfId="1156" xr:uid="{4AE6DB34-45BB-4784-BB5B-8D2AA681639B}"/>
    <cellStyle name="Heading 4 2 3" xfId="1157" xr:uid="{11303ED8-6650-4356-89B2-460859547D04}"/>
    <cellStyle name="Heading 4 2 4" xfId="1158" xr:uid="{2BB7E6EB-42B5-4811-B8E7-9B5F6ABAC31D}"/>
    <cellStyle name="Heading 4 2 5" xfId="1159" xr:uid="{A72DBE4E-264A-4FA5-B247-E5F3C57E1122}"/>
    <cellStyle name="Heading 4 2 6" xfId="1160" xr:uid="{E15A3A44-52E5-4889-8A39-9A95CF041F9E}"/>
    <cellStyle name="Heading 4 2 7" xfId="1161" xr:uid="{85A7F91D-E9AF-47D6-B45C-020475A45A65}"/>
    <cellStyle name="Heading 4 2 8" xfId="1162" xr:uid="{5E1C81C2-09F7-4365-A507-906F1D2A9E01}"/>
    <cellStyle name="Heading 4 2 9" xfId="1163" xr:uid="{0747A2D1-7D64-409A-880D-08AFD54633B9}"/>
    <cellStyle name="Heading 4 3" xfId="1164" xr:uid="{C54E15E9-4AA7-4815-803F-02BAF1CC6B46}"/>
    <cellStyle name="Heading 4 3 2" xfId="1165" xr:uid="{44942FFB-3CBF-4FCD-80EC-349EAB1A6412}"/>
    <cellStyle name="Heading 4 4" xfId="1166" xr:uid="{AB526F71-A4AC-4ABB-9C30-56BCF03BB5D5}"/>
    <cellStyle name="Heading 4 5" xfId="1148" xr:uid="{67C0FE0A-F16E-4DC3-81C2-5E6963F2ED3D}"/>
    <cellStyle name="Hyperlink" xfId="19" builtinId="8"/>
    <cellStyle name="Hyperlink 15" xfId="1167" xr:uid="{74C86E3B-D5CE-4B38-859D-9408EB069C4E}"/>
    <cellStyle name="Hyperlink 2" xfId="1168" xr:uid="{223926FE-4172-4F45-AFF0-355C2439311F}"/>
    <cellStyle name="Input [yellow]" xfId="1170" xr:uid="{4F29429B-C9BF-457E-B846-0B8B1D61351D}"/>
    <cellStyle name="Input [yellow] 2" xfId="3166" xr:uid="{10AA1B57-A0AA-4188-B5BE-583112CA9B2D}"/>
    <cellStyle name="Input 2" xfId="1171" xr:uid="{D7573DC3-9DDC-45D3-AA53-2B13498EA45F}"/>
    <cellStyle name="Input 2 10" xfId="1172" xr:uid="{C4CAC2DB-2854-4B6D-9DB2-8197C61B5A5C}"/>
    <cellStyle name="Input 2 11" xfId="1173" xr:uid="{F9556015-6238-4167-9AD4-776BA3AA683B}"/>
    <cellStyle name="Input 2 12" xfId="1174" xr:uid="{30E82232-75CF-42D1-B876-02E890B50729}"/>
    <cellStyle name="Input 2 13" xfId="1175" xr:uid="{A34DCEDA-A017-49A9-A82A-8034AE483EE2}"/>
    <cellStyle name="Input 2 14" xfId="1176" xr:uid="{D4D42BBB-765F-42B9-ABB3-1D9C026E407C}"/>
    <cellStyle name="Input 2 15" xfId="1177" xr:uid="{84B02A47-7587-4859-8A7E-AA96117156CC}"/>
    <cellStyle name="Input 2 2" xfId="1178" xr:uid="{1A2659A4-658F-4D5E-8797-92607A014061}"/>
    <cellStyle name="Input 2 2 2" xfId="1179" xr:uid="{519A190A-E4FC-428B-ADFA-7FFC82A88DB7}"/>
    <cellStyle name="Input 2 3" xfId="1180" xr:uid="{33B4F425-62E4-4F44-AF64-CC5B91521976}"/>
    <cellStyle name="Input 2 4" xfId="1181" xr:uid="{8A01668B-5D27-4226-9E81-407A78B78B30}"/>
    <cellStyle name="Input 2 5" xfId="1182" xr:uid="{80EBCEF0-ACBF-457C-B0C6-032A6DDBD4F9}"/>
    <cellStyle name="Input 2 6" xfId="1183" xr:uid="{849F442F-F48B-4509-8937-201763EF8A4C}"/>
    <cellStyle name="Input 2 7" xfId="1184" xr:uid="{65485496-AD23-4913-8FC2-8FF39DE203CA}"/>
    <cellStyle name="Input 2 8" xfId="1185" xr:uid="{16BA1152-93F2-4F97-A888-49EC760FAC7F}"/>
    <cellStyle name="Input 2 9" xfId="1186" xr:uid="{EC9B93A9-125D-4483-8AB3-6C777258277D}"/>
    <cellStyle name="Input 3" xfId="1187" xr:uid="{9D7F9C02-8D55-4D5F-B0CF-452B08F910AC}"/>
    <cellStyle name="Input 3 2" xfId="1188" xr:uid="{E2CFDD4B-C78F-4B3D-BA06-CF39E13AB667}"/>
    <cellStyle name="Input 4" xfId="1189" xr:uid="{E9603845-66C1-4D81-A6D0-D3D337F6B7C4}"/>
    <cellStyle name="Input 5" xfId="1169" xr:uid="{24665852-2C5B-4CF2-BE80-2562B6EB4BCB}"/>
    <cellStyle name="Linked Cell 2" xfId="1191" xr:uid="{A78BFA43-2A15-4413-941B-BD8D165C94FA}"/>
    <cellStyle name="Linked Cell 2 10" xfId="1192" xr:uid="{99D3A00A-1F6B-4386-8F89-799074D45B0F}"/>
    <cellStyle name="Linked Cell 2 11" xfId="1193" xr:uid="{16D329BA-7FD8-4D4E-91E9-571B29E3809C}"/>
    <cellStyle name="Linked Cell 2 12" xfId="1194" xr:uid="{4EDE9BCC-6924-4032-9443-44F9AABB3778}"/>
    <cellStyle name="Linked Cell 2 13" xfId="1195" xr:uid="{1D9FCE0A-5282-494B-96B6-3FB804A9016D}"/>
    <cellStyle name="Linked Cell 2 14" xfId="1196" xr:uid="{BEEDA3CF-B96C-4E29-8AB6-11E86E179C40}"/>
    <cellStyle name="Linked Cell 2 15" xfId="1197" xr:uid="{ACFBDDE2-E944-4D08-95C6-346E9E072B4D}"/>
    <cellStyle name="Linked Cell 2 2" xfId="1198" xr:uid="{4DE47EE0-3B42-41CA-AAD4-34DB8CE3B225}"/>
    <cellStyle name="Linked Cell 2 3" xfId="1199" xr:uid="{DAEDFDAB-C257-470C-8A72-2C80735F9DF3}"/>
    <cellStyle name="Linked Cell 2 4" xfId="1200" xr:uid="{84CD6DED-0ED0-4B66-B31B-2EBBB5E57DD0}"/>
    <cellStyle name="Linked Cell 2 5" xfId="1201" xr:uid="{A4728447-A77D-4D47-92CD-7DCD9EA63BD6}"/>
    <cellStyle name="Linked Cell 2 6" xfId="1202" xr:uid="{60529373-1533-4119-8B67-AC90C6C7100F}"/>
    <cellStyle name="Linked Cell 2 7" xfId="1203" xr:uid="{58F5A090-73FB-411D-8EBD-5DFD2C537573}"/>
    <cellStyle name="Linked Cell 2 8" xfId="1204" xr:uid="{CBAF5FCA-E64C-4B54-AFF3-8846192DC1A0}"/>
    <cellStyle name="Linked Cell 2 9" xfId="1205" xr:uid="{6354E28A-14C6-41D2-AC68-D5BD923A573B}"/>
    <cellStyle name="Linked Cell 3" xfId="1206" xr:uid="{03917679-AFCD-44CE-990F-8C10E6628E2F}"/>
    <cellStyle name="Linked Cell 3 2" xfId="1207" xr:uid="{1F9D3AAB-8355-482E-A84F-9BE296E40DCA}"/>
    <cellStyle name="Linked Cell 4" xfId="1208" xr:uid="{66169096-3165-4F3E-A1C9-E2358EC3B405}"/>
    <cellStyle name="Linked Cell 5" xfId="1190" xr:uid="{75D89C94-EF74-4CC0-BEEA-334EC1513B2A}"/>
    <cellStyle name="Neutral 2" xfId="1210" xr:uid="{3327049B-A708-403B-AEF6-5771B5CD5662}"/>
    <cellStyle name="Neutral 2 10" xfId="1211" xr:uid="{A1676385-9A2D-4294-BF3D-90CE869A26A6}"/>
    <cellStyle name="Neutral 2 11" xfId="1212" xr:uid="{AAD76FE2-B387-40F6-B65C-CA3A8A8CBC7F}"/>
    <cellStyle name="Neutral 2 12" xfId="1213" xr:uid="{3D35C331-7F4E-45CC-B4AC-697E4316D529}"/>
    <cellStyle name="Neutral 2 13" xfId="1214" xr:uid="{363EBFDF-8572-4C53-8D9C-E6AE3804DB2C}"/>
    <cellStyle name="Neutral 2 14" xfId="1215" xr:uid="{ACB964B8-D9A0-4E86-A143-96A4366E24B8}"/>
    <cellStyle name="Neutral 2 15" xfId="1216" xr:uid="{A0DFA1BD-A475-4F40-B46E-125A85964B6A}"/>
    <cellStyle name="Neutral 2 2" xfId="1217" xr:uid="{BA08C83A-ABEB-42C0-A671-720175D78CE0}"/>
    <cellStyle name="Neutral 2 2 2" xfId="1218" xr:uid="{F26FFA94-F19F-467A-9E43-84BB17A24210}"/>
    <cellStyle name="Neutral 2 3" xfId="1219" xr:uid="{BC8B7E0A-5AFD-4C61-8173-BB3463ED4562}"/>
    <cellStyle name="Neutral 2 4" xfId="1220" xr:uid="{218C5CEE-59B3-48EB-831B-E38EA8A36561}"/>
    <cellStyle name="Neutral 2 5" xfId="1221" xr:uid="{BC63A3EF-110C-411D-83D2-A2D002364117}"/>
    <cellStyle name="Neutral 2 6" xfId="1222" xr:uid="{D9CCE2E5-385E-443C-9F4E-A0AFF9261A02}"/>
    <cellStyle name="Neutral 2 7" xfId="1223" xr:uid="{0BBDAC68-4A9D-4B11-AA99-99019BCE1A15}"/>
    <cellStyle name="Neutral 2 8" xfId="1224" xr:uid="{366DCACD-5EBF-411C-973A-5B957C600222}"/>
    <cellStyle name="Neutral 2 9" xfId="1225" xr:uid="{1F73A874-0500-43AC-A6EB-D6C8B6C5059F}"/>
    <cellStyle name="Neutral 3" xfId="1226" xr:uid="{25FFBF1F-967D-4498-8F1B-57C6428FE702}"/>
    <cellStyle name="Neutral 3 2" xfId="1227" xr:uid="{84212970-E5F5-4050-AE38-B478EBEFA4F7}"/>
    <cellStyle name="Neutral 4" xfId="1228" xr:uid="{A8EFB4EA-05A5-45D6-BDDD-C1BFFF5B74B5}"/>
    <cellStyle name="Neutral 5" xfId="1209" xr:uid="{3C6BE196-3F71-4E3B-99E5-BB5F8B5E4BFE}"/>
    <cellStyle name="Normal" xfId="0" builtinId="0"/>
    <cellStyle name="Normal - Style1" xfId="1229" xr:uid="{20689EF9-14A0-4254-8FC2-E85E39F47678}"/>
    <cellStyle name="Normal - Style1 10" xfId="2024" xr:uid="{5EEBCAE1-81BF-4233-983C-E515855F88EE}"/>
    <cellStyle name="Normal - Style1 4 2" xfId="1230" xr:uid="{272E435D-1B2F-48A1-B48D-9ACCE2DFB057}"/>
    <cellStyle name="Normal 10" xfId="42" xr:uid="{4FD4C896-E8F5-451F-9AA3-3B75C162C514}"/>
    <cellStyle name="Normal 10 2" xfId="1231" xr:uid="{A3E3CD37-3A51-4BCC-A938-3439BE60863E}"/>
    <cellStyle name="Normal 11" xfId="1232" xr:uid="{54777E8B-6ED8-4AD0-A565-4CB3BBAE5D07}"/>
    <cellStyle name="Normal 11 2" xfId="1233" xr:uid="{DBD4CE3C-E2DE-4366-8A76-E5B63E63D549}"/>
    <cellStyle name="Normal 12" xfId="1234" xr:uid="{A2EF000F-ABD6-4F23-975A-97068E803ADB}"/>
    <cellStyle name="Normal 12 2" xfId="1235" xr:uid="{F598888E-8182-45F1-84CC-CB2D1384A46A}"/>
    <cellStyle name="Normal 12 3" xfId="1236" xr:uid="{B8559952-A085-44C7-8448-9D14C9524497}"/>
    <cellStyle name="Normal 12 4" xfId="1237" xr:uid="{DF6B921E-A02E-43DD-A5A3-BD5343A4C082}"/>
    <cellStyle name="Normal 13" xfId="1238" xr:uid="{16B9D6DA-EEA5-4F2F-BD3C-8FEBAA237299}"/>
    <cellStyle name="Normal 13 2" xfId="1239" xr:uid="{40917C0D-D02E-4FD4-852C-B0BDE2AAA731}"/>
    <cellStyle name="Normal 13 3" xfId="1240" xr:uid="{FC25F6FD-3BA0-4047-8B99-E9FE42582340}"/>
    <cellStyle name="Normal 13 4" xfId="2405" xr:uid="{7A503B53-1A6B-44D5-8BCB-004890C868B0}"/>
    <cellStyle name="Normal 14" xfId="1241" xr:uid="{E8AB2ABE-23A2-415B-AFD3-623C71DA82D0}"/>
    <cellStyle name="Normal 15" xfId="1242" xr:uid="{8A80A23B-DB40-448B-B9AE-8C81C06D3812}"/>
    <cellStyle name="Normal 16" xfId="1243" xr:uid="{0813CC70-E5EC-480F-8D0F-3846583A56F0}"/>
    <cellStyle name="Normal 17" xfId="11" xr:uid="{613C13BA-5C2D-49F9-B607-BB963A30E778}"/>
    <cellStyle name="Normal 17 2" xfId="1244" xr:uid="{21E9A9FE-AD9B-49EB-A4E1-55D0814FC59D}"/>
    <cellStyle name="Normal 18" xfId="8" xr:uid="{A86CC5CD-6495-4524-9459-4FB94A572C1A}"/>
    <cellStyle name="Normal 18 2" xfId="1245" xr:uid="{9F0F9C3A-0D5A-4B1D-B172-782FE8F2FF48}"/>
    <cellStyle name="Normal 18 3" xfId="1246" xr:uid="{003327A6-C6FF-47E4-A0CE-84FF3D235A2C}"/>
    <cellStyle name="Normal 19" xfId="1247" xr:uid="{F39F196C-690E-4B89-89A6-8AE4F15C3973}"/>
    <cellStyle name="Normal 19 10" xfId="1248" xr:uid="{2529255E-C513-4542-BC67-5B2DA049075C}"/>
    <cellStyle name="Normal 19 11" xfId="1249" xr:uid="{F61008CC-D67D-4109-AEA2-88581252E719}"/>
    <cellStyle name="Normal 19 12" xfId="1250" xr:uid="{375C9DB5-65F8-4800-B4E3-766907A88D85}"/>
    <cellStyle name="Normal 19 13" xfId="1251" xr:uid="{06ED386F-DEC6-435C-BD4D-17F86F7FC2E9}"/>
    <cellStyle name="Normal 19 14" xfId="1252" xr:uid="{9DB5ACC4-A902-472B-B8B8-5D375F246D91}"/>
    <cellStyle name="Normal 19 15" xfId="1253" xr:uid="{27D007E3-C5DA-4D24-827A-21CAAA4951BF}"/>
    <cellStyle name="Normal 19 16" xfId="1254" xr:uid="{89926B5E-8F19-4C56-B347-737AC1F6129A}"/>
    <cellStyle name="Normal 19 2" xfId="1255" xr:uid="{227C2CC1-3ABD-4ADB-965D-43A3C53C73E9}"/>
    <cellStyle name="Normal 19 3" xfId="1256" xr:uid="{B52B4128-1175-4182-9AF3-CDC362A27FF6}"/>
    <cellStyle name="Normal 19 4" xfId="1257" xr:uid="{43492A07-4000-4C53-8820-E9D84133FC5C}"/>
    <cellStyle name="Normal 19 5" xfId="1258" xr:uid="{E6E6F141-6C15-4328-B85D-34470869037C}"/>
    <cellStyle name="Normal 19 6" xfId="1259" xr:uid="{33A7E3DC-21B6-4FB8-B762-D870127FA317}"/>
    <cellStyle name="Normal 19 7" xfId="1260" xr:uid="{B71D1CAD-BED1-476E-B7CD-D609EAC143C7}"/>
    <cellStyle name="Normal 19 8" xfId="1261" xr:uid="{E780FA9F-B69F-4785-8D45-BA32253652BA}"/>
    <cellStyle name="Normal 19 9" xfId="1262" xr:uid="{F84C9167-5ADC-4E8D-A56D-10A87F7F25C8}"/>
    <cellStyle name="Normal 2" xfId="3" xr:uid="{16BF513C-9B71-4BA0-B27A-D46FC20EA457}"/>
    <cellStyle name="Normal 2 10" xfId="1263" xr:uid="{8A38CF58-7206-4C78-A1DA-0739E09D5568}"/>
    <cellStyle name="Normal 2 10 10" xfId="1264" xr:uid="{13CDF4E0-202E-48AB-8188-2D55824CC524}"/>
    <cellStyle name="Normal 2 10 11" xfId="1265" xr:uid="{AC603500-BB68-4627-BF72-4B2947567727}"/>
    <cellStyle name="Normal 2 10 12" xfId="1266" xr:uid="{7EFA6714-80C4-4A94-A332-2B005703ADB3}"/>
    <cellStyle name="Normal 2 10 13" xfId="1267" xr:uid="{C1D29C86-51E8-4682-A492-03C6CDCC38C8}"/>
    <cellStyle name="Normal 2 10 2" xfId="1268" xr:uid="{4D9892CD-38AB-401B-A6A4-1212B9B7FBF7}"/>
    <cellStyle name="Normal 2 10 2 10" xfId="1269" xr:uid="{1EB54CA3-4DB4-4C4A-8A91-BD8956C16506}"/>
    <cellStyle name="Normal 2 10 2 11" xfId="1270" xr:uid="{E3758C27-A963-44D8-A22B-FFB8AEADD4BC}"/>
    <cellStyle name="Normal 2 10 2 12" xfId="1271" xr:uid="{E7EC8DE8-A46C-478D-B69F-F3A973063263}"/>
    <cellStyle name="Normal 2 10 2 2" xfId="1272" xr:uid="{B713BAD9-E497-4E52-A5EF-94719E5B3508}"/>
    <cellStyle name="Normal 2 10 2 3" xfId="1273" xr:uid="{977C2203-6652-4D55-83A9-1D7CAC693F64}"/>
    <cellStyle name="Normal 2 10 2 4" xfId="1274" xr:uid="{23B8F019-71F0-4F39-B8EA-05A9DB5AB992}"/>
    <cellStyle name="Normal 2 10 2 5" xfId="1275" xr:uid="{07CBD08C-5D16-438A-8969-FFC0A9AE83FA}"/>
    <cellStyle name="Normal 2 10 2 6" xfId="1276" xr:uid="{F45493E5-3802-445A-896B-B962A616A8EB}"/>
    <cellStyle name="Normal 2 10 2 7" xfId="1277" xr:uid="{6D96533E-D358-4526-8F76-E2A5DABB145C}"/>
    <cellStyle name="Normal 2 10 2 8" xfId="1278" xr:uid="{1B21E4DB-5C0A-4AE9-B60E-5927DB5DBA08}"/>
    <cellStyle name="Normal 2 10 2 9" xfId="1279" xr:uid="{9E871459-7C50-46F2-A465-7C71F0F292EE}"/>
    <cellStyle name="Normal 2 10 3" xfId="1280" xr:uid="{2307DFFB-E538-4188-8B49-02D993893246}"/>
    <cellStyle name="Normal 2 10 4" xfId="1281" xr:uid="{A4E81349-544A-42F0-BA48-B5C34E40D59F}"/>
    <cellStyle name="Normal 2 10 5" xfId="1282" xr:uid="{53730B5E-3B0C-4E44-B3C2-B5E3FC40928C}"/>
    <cellStyle name="Normal 2 10 6" xfId="1283" xr:uid="{10F6704C-A8E2-4D5E-AFCD-4D5882F30496}"/>
    <cellStyle name="Normal 2 10 7" xfId="1284" xr:uid="{05A14202-BB12-4E88-8D45-EF3805F98AEC}"/>
    <cellStyle name="Normal 2 10 8" xfId="1285" xr:uid="{145386E2-04DF-4BAD-9D24-19F54A27B2B7}"/>
    <cellStyle name="Normal 2 10 9" xfId="1286" xr:uid="{E1CFA2D2-96F5-4D21-B10D-3FCE33BA3302}"/>
    <cellStyle name="Normal 2 11" xfId="1287" xr:uid="{60438AAE-24C2-4C03-83C6-DF8BE945F524}"/>
    <cellStyle name="Normal 2 11 10" xfId="1288" xr:uid="{37917B6B-AF0F-484F-8F6C-319E066AD54A}"/>
    <cellStyle name="Normal 2 11 11" xfId="1289" xr:uid="{E8A12852-E239-40CF-B412-CEF0F807DF67}"/>
    <cellStyle name="Normal 2 11 12" xfId="1290" xr:uid="{2767AA85-397D-4361-9A89-1BD12E94BD2A}"/>
    <cellStyle name="Normal 2 11 13" xfId="1291" xr:uid="{10351B38-1242-4563-860D-20F36BCB898C}"/>
    <cellStyle name="Normal 2 11 14" xfId="1292" xr:uid="{3FF356CE-6ECB-4B82-9634-DC094059D071}"/>
    <cellStyle name="Normal 2 11 15" xfId="1293" xr:uid="{901E45B0-3162-4A36-A6F2-AD67B16A5AD9}"/>
    <cellStyle name="Normal 2 11 2" xfId="1294" xr:uid="{CAE585D8-9A45-4919-9C59-E731CDC70729}"/>
    <cellStyle name="Normal 2 11 3" xfId="1295" xr:uid="{C037F881-CFCF-4A60-B390-CF1669D36B33}"/>
    <cellStyle name="Normal 2 11 4" xfId="1296" xr:uid="{D7EA8F8F-9DDC-4218-9E9B-86775AAD5D56}"/>
    <cellStyle name="Normal 2 11 5" xfId="1297" xr:uid="{0C7FE191-7B0A-4923-92A7-63043875EAA7}"/>
    <cellStyle name="Normal 2 11 6" xfId="1298" xr:uid="{318A1986-3C6D-45E4-BC30-AC70671D1E97}"/>
    <cellStyle name="Normal 2 11 7" xfId="1299" xr:uid="{67C43BDA-5164-4D5E-BFB2-FAAA599E4F37}"/>
    <cellStyle name="Normal 2 11 8" xfId="1300" xr:uid="{79295190-72AF-4139-99F6-1534AF971380}"/>
    <cellStyle name="Normal 2 11 9" xfId="1301" xr:uid="{9F69DF87-4C66-40BC-9175-9854DF810CFB}"/>
    <cellStyle name="Normal 2 11_Backupp" xfId="1302" xr:uid="{7067D079-A341-4F98-8C94-0916F1AC0B16}"/>
    <cellStyle name="Normal 2 12" xfId="1303" xr:uid="{3D5C17E7-FB32-4F61-A493-DC7381BA7A35}"/>
    <cellStyle name="Normal 2 13" xfId="1304" xr:uid="{688537D9-03F6-48BA-B3FE-25943887899B}"/>
    <cellStyle name="Normal 2 14" xfId="1305" xr:uid="{F2D97408-8CC8-4E34-B235-6C87804C3F2E}"/>
    <cellStyle name="Normal 2 15" xfId="1306" xr:uid="{821AF4E2-6F7B-4771-AA90-195A24EEDCC2}"/>
    <cellStyle name="Normal 2 16" xfId="1307" xr:uid="{CCE4A45C-EC3A-4F27-A789-F8C244A07885}"/>
    <cellStyle name="Normal 2 17" xfId="1308" xr:uid="{422DF5A2-E244-44EF-8CC7-C48864B8685E}"/>
    <cellStyle name="Normal 2 18" xfId="1309" xr:uid="{54A460ED-7C67-4515-B7B3-C8C18BBB4745}"/>
    <cellStyle name="Normal 2 19" xfId="1310" xr:uid="{2236AEEB-8402-4671-99E5-8D209CA4C437}"/>
    <cellStyle name="Normal 2 19 2" xfId="1311" xr:uid="{B2602235-7DF2-4E94-B92D-D5903AE09FC2}"/>
    <cellStyle name="Normal 2 19 3" xfId="1312" xr:uid="{F203C20D-3A4F-4518-9CD9-8D9BA932149A}"/>
    <cellStyle name="Normal 2 19 4" xfId="1313" xr:uid="{BEDE2F4D-5860-4C76-B2B4-184B204A7728}"/>
    <cellStyle name="Normal 2 19 5" xfId="1314" xr:uid="{F5B62939-9ACF-408B-8DA9-3A69C7285B99}"/>
    <cellStyle name="Normal 2 2" xfId="32" xr:uid="{7579B4DA-FE01-4D35-851E-56AC61E17A36}"/>
    <cellStyle name="Normal 2 2 10" xfId="1315" xr:uid="{F00A54EF-E048-4B27-BE5E-795E4CF07260}"/>
    <cellStyle name="Normal 2 2 11" xfId="1316" xr:uid="{22B85B21-47A0-46F6-9BA2-1309DA199688}"/>
    <cellStyle name="Normal 2 2 12" xfId="1317" xr:uid="{7491C7D1-4DC5-40F1-AE87-AE908CD34FF6}"/>
    <cellStyle name="Normal 2 2 13" xfId="1318" xr:uid="{F7F11823-EBC8-4A3F-92FB-91C9D035B50B}"/>
    <cellStyle name="Normal 2 2 14" xfId="1319" xr:uid="{AD8CECBA-EB57-46A3-A079-32025B927132}"/>
    <cellStyle name="Normal 2 2 15" xfId="1320" xr:uid="{A059E03E-AFFC-4114-9101-F49510E099D9}"/>
    <cellStyle name="Normal 2 2 16" xfId="1321" xr:uid="{6CD230A4-85AA-4168-81A5-54E2AB48D396}"/>
    <cellStyle name="Normal 2 2 16 2" xfId="1322" xr:uid="{5F756B75-7962-41CB-96EF-7C937CC73004}"/>
    <cellStyle name="Normal 2 2 16 2 2" xfId="1323" xr:uid="{2FE274E3-D4C7-4E27-A45B-524483E7DC02}"/>
    <cellStyle name="Normal 2 2 17" xfId="1324" xr:uid="{236D73CD-227F-4DF3-A953-96FEE4BF2933}"/>
    <cellStyle name="Normal 2 2 2" xfId="1325" xr:uid="{C0244508-7E66-43BB-8144-9D46C87E37D1}"/>
    <cellStyle name="Normal 2 2 3" xfId="1326" xr:uid="{3CF8A73D-BC64-4ECD-8758-5CD7451A19BD}"/>
    <cellStyle name="Normal 2 2 4" xfId="1327" xr:uid="{45639592-FDEE-4B2A-A21E-A6F4A0A43D54}"/>
    <cellStyle name="Normal 2 2 4 2" xfId="1328" xr:uid="{834739D8-8BED-4C78-98FE-3991336C71DC}"/>
    <cellStyle name="Normal 2 2 4 2 2" xfId="1329" xr:uid="{3226D644-DEE4-4B2A-9B1D-E1646D1AAB77}"/>
    <cellStyle name="Normal 2 2 4 2 2 2" xfId="1330" xr:uid="{7F74385A-7AEF-4310-A145-3B8E0ED9B6CA}"/>
    <cellStyle name="Normal 2 2 4 2 2 2 2" xfId="1331" xr:uid="{327ACC60-462F-483D-A1C2-F3C06FFFEC9A}"/>
    <cellStyle name="Normal 2 2 4 2 3" xfId="1332" xr:uid="{E1F17F0C-DCCF-4244-9CE0-9B73FB3376CE}"/>
    <cellStyle name="Normal 2 2 4 3" xfId="1333" xr:uid="{1F6865C5-AB45-476B-8BEC-48B0897B5DA8}"/>
    <cellStyle name="Normal 2 2 4 3 2" xfId="1334" xr:uid="{C7C957EE-18A5-482B-92FF-DB6E315B6218}"/>
    <cellStyle name="Normal 2 2 5" xfId="1335" xr:uid="{1D8F92B6-2927-4AA1-8991-3E15E343677D}"/>
    <cellStyle name="Normal 2 2 6" xfId="1336" xr:uid="{076B57A3-E388-4D32-AFBB-9793C1E7B334}"/>
    <cellStyle name="Normal 2 2 7" xfId="1337" xr:uid="{159104B7-6120-4849-9344-76DEE8C6242F}"/>
    <cellStyle name="Normal 2 2 8" xfId="1338" xr:uid="{C32EEB29-0C72-4259-83B6-76465936D93F}"/>
    <cellStyle name="Normal 2 2 9" xfId="1339" xr:uid="{91062A40-3D44-4954-B13A-A244F1A62F1F}"/>
    <cellStyle name="Normal 2 20" xfId="1340" xr:uid="{B706A59E-43CC-4F83-BF2B-5B0C5B9D4657}"/>
    <cellStyle name="Normal 2 21" xfId="1341" xr:uid="{4B2F5066-397A-46C5-B984-AA101153D34C}"/>
    <cellStyle name="Normal 2 22" xfId="1342" xr:uid="{5C9F19B7-7D89-4751-82AB-F9C14F20562C}"/>
    <cellStyle name="Normal 2 23" xfId="2021" xr:uid="{D12D1265-A82A-4C45-A1EC-B043C643F0BF}"/>
    <cellStyle name="Normal 2 24" xfId="2026" xr:uid="{7C4A6C8D-BAFD-4760-8248-84569C63EBEF}"/>
    <cellStyle name="Normal 2 3" xfId="1343" xr:uid="{E91B3C05-98C6-4C3C-B644-C6C538641801}"/>
    <cellStyle name="Normal 2 4" xfId="1344" xr:uid="{BCBC56BD-9299-465C-A7C0-BEE51D204F50}"/>
    <cellStyle name="Normal 2 5" xfId="12" xr:uid="{B75B521E-32EC-4AB8-81AF-D8B73C244001}"/>
    <cellStyle name="Normal 2 5 2" xfId="1345" xr:uid="{B22A2FF9-65A2-4E07-A7D2-23101BB14389}"/>
    <cellStyle name="Normal 2 6" xfId="1346" xr:uid="{10346FC6-EDA3-4404-AAE1-55EF28155B5B}"/>
    <cellStyle name="Normal 2 7" xfId="1347" xr:uid="{B2826BC3-D512-42FF-BAC9-5449393C0D24}"/>
    <cellStyle name="Normal 2 8" xfId="1348" xr:uid="{9EFED274-0812-4746-926D-C5E50C47B287}"/>
    <cellStyle name="Normal 2 9" xfId="1349" xr:uid="{D7A67001-8477-4A61-99AB-B0E70C76117E}"/>
    <cellStyle name="Normal 20 10" xfId="1350" xr:uid="{88C0AB61-85F3-4026-BC1A-9AC67037DB13}"/>
    <cellStyle name="Normal 20 11" xfId="1351" xr:uid="{F7881D08-0B65-4708-9BF4-78B2A3EE3EB1}"/>
    <cellStyle name="Normal 20 12" xfId="1352" xr:uid="{C10FF46F-1137-403C-B777-2DD3A2D25660}"/>
    <cellStyle name="Normal 20 13" xfId="1353" xr:uid="{5B728517-0AEC-499C-9585-7592C6D47263}"/>
    <cellStyle name="Normal 20 14" xfId="1354" xr:uid="{26DCD278-8A9C-47AF-901B-D3D8E15B003F}"/>
    <cellStyle name="Normal 20 15" xfId="1355" xr:uid="{A000A9DA-8F1B-4002-9726-A7A831422327}"/>
    <cellStyle name="Normal 20 2" xfId="1356" xr:uid="{80655AAD-594C-4464-B4A5-1CA3CB11CFB4}"/>
    <cellStyle name="Normal 20 3" xfId="1357" xr:uid="{127CB86B-71D7-4004-8AA7-8432E4CC1023}"/>
    <cellStyle name="Normal 20 4" xfId="1358" xr:uid="{761807A1-DC4E-4E27-8B1D-8224086DFE8C}"/>
    <cellStyle name="Normal 20 5" xfId="1359" xr:uid="{F061DA2C-3550-4244-91D6-CD7AC1381E37}"/>
    <cellStyle name="Normal 20 6" xfId="1360" xr:uid="{115FEFBD-E0D7-418E-A97B-AD5C29E1D3A4}"/>
    <cellStyle name="Normal 20 7" xfId="1361" xr:uid="{876ED0EA-7BB5-4A44-94FA-4A93256B8BED}"/>
    <cellStyle name="Normal 20 8" xfId="1362" xr:uid="{85FE54CE-C4BB-47C2-810B-6FEC00293DC7}"/>
    <cellStyle name="Normal 20 9" xfId="1363" xr:uid="{EFFF499B-B71F-4318-8914-8AE9EE65D6A4}"/>
    <cellStyle name="Normal 26" xfId="1364" xr:uid="{6A089BE8-8710-49EB-99E7-7915529FD22A}"/>
    <cellStyle name="Normal 27" xfId="1365" xr:uid="{0D2CDABE-4031-422A-9B39-DB88CF01F6CD}"/>
    <cellStyle name="Normal 3" xfId="15" xr:uid="{49969DF6-AF7F-4B44-BAA2-BB52D4A562E5}"/>
    <cellStyle name="Normal 3 10" xfId="49" xr:uid="{9CEEBD4B-E536-45E8-8C04-308EB2D11D45}"/>
    <cellStyle name="Normal 3 11" xfId="33" xr:uid="{F8F34D00-3D90-41F1-A4A6-3F9E27DB5410}"/>
    <cellStyle name="Normal 3 12" xfId="2401" xr:uid="{032DD0FF-2D90-4FE8-84A5-AD1794BC1117}"/>
    <cellStyle name="Normal 3 13" xfId="2421" xr:uid="{7F81E6F8-CBD8-4289-8B52-D725924CA1A4}"/>
    <cellStyle name="Normal 3 14" xfId="2412" xr:uid="{A7971AF8-2402-4D00-89AA-3FD1E61A47CD}"/>
    <cellStyle name="Normal 3 2" xfId="20" xr:uid="{37C145AF-F532-4411-9812-D7283D6078E7}"/>
    <cellStyle name="Normal 3 2 2" xfId="1368" xr:uid="{FF00D6E7-4609-4378-A864-B2196BD3EEAA}"/>
    <cellStyle name="Normal 3 2 3" xfId="1369" xr:uid="{0558EAB2-3E81-4FA5-9CD6-C46546875D48}"/>
    <cellStyle name="Normal 3 2 3 2" xfId="1370" xr:uid="{21B0AB0E-6269-43D7-9139-D8BC7BABE22D}"/>
    <cellStyle name="Normal 3 2 4" xfId="1371" xr:uid="{4B1DD8AC-C4F1-4C71-9F2F-3DAAE75FF921}"/>
    <cellStyle name="Normal 3 2 5" xfId="1372" xr:uid="{B8121749-EA3F-4EB6-A159-381176B7D2C1}"/>
    <cellStyle name="Normal 3 2 6" xfId="1373" xr:uid="{68FACED6-478D-4821-BE8D-E9FBC9B4524B}"/>
    <cellStyle name="Normal 3 2 7" xfId="1367" xr:uid="{54F7E09B-49B1-4AF4-81D4-627BD66E9040}"/>
    <cellStyle name="Normal 3 3" xfId="1374" xr:uid="{92F54099-7C64-427B-B83D-43A2B3E1112E}"/>
    <cellStyle name="Normal 3 4" xfId="1375" xr:uid="{F2B1A1F9-FB64-4F87-99E5-8FB807258F01}"/>
    <cellStyle name="Normal 3 5" xfId="1376" xr:uid="{77370825-5E33-4BB4-B58C-489D11F3550A}"/>
    <cellStyle name="Normal 3 6" xfId="1377" xr:uid="{527590B3-5A70-41A0-AB3B-CD3EF0068A02}"/>
    <cellStyle name="Normal 3 7" xfId="1378" xr:uid="{B08B1FC6-E8D5-43D6-9E51-FC9A11DAD270}"/>
    <cellStyle name="Normal 3 8" xfId="1379" xr:uid="{1A47E57F-FEAD-4CC4-BC94-3854D95B5607}"/>
    <cellStyle name="Normal 3 9" xfId="1366" xr:uid="{C34EBD1B-980A-4EAC-A585-9FA618CCDB2A}"/>
    <cellStyle name="Normal 3_P &amp; L" xfId="1380" xr:uid="{396BEFD6-736C-4E4C-B9FE-9D27C4897C7F}"/>
    <cellStyle name="Normal 35" xfId="1381" xr:uid="{2634E5E6-792A-4A23-9298-353DB9F50FC4}"/>
    <cellStyle name="Normal 36" xfId="1382" xr:uid="{887DA18C-53FF-4A78-B708-C1D0B423B450}"/>
    <cellStyle name="Normal 37" xfId="1383" xr:uid="{EB06F8E7-C3E3-49B6-BF7A-4484E5DEA376}"/>
    <cellStyle name="Normal 38" xfId="1384" xr:uid="{D78A021C-2496-483B-84B0-C2DE757907EC}"/>
    <cellStyle name="Normal 39" xfId="1385" xr:uid="{14FE47CE-B61B-42DA-83A0-9BE5C66FDCE8}"/>
    <cellStyle name="Normal 4" xfId="18" xr:uid="{50C163C5-F026-4F5A-A8DA-10B5F98D02C5}"/>
    <cellStyle name="Normal 4 10" xfId="1386" xr:uid="{08905471-4400-4D15-9786-9A07FD882CE4}"/>
    <cellStyle name="Normal 4 11" xfId="1387" xr:uid="{460B8914-7EBB-4FAD-B263-40237F57E02D}"/>
    <cellStyle name="Normal 4 12" xfId="1388" xr:uid="{82EB0290-58E0-4BAB-B513-7C74011B5A57}"/>
    <cellStyle name="Normal 4 13" xfId="50" xr:uid="{D6C0196A-076C-47BA-9714-EA84B5F8D365}"/>
    <cellStyle name="Normal 4 14" xfId="36" xr:uid="{E8BD273B-16A6-43A2-B496-2A5AC4835B90}"/>
    <cellStyle name="Normal 4 2" xfId="14" xr:uid="{57DF830E-E77D-478B-B2BB-FA11E41FDDF5}"/>
    <cellStyle name="Normal 4 2 2" xfId="1389" xr:uid="{E5278E06-8954-48EB-9E38-A612F899C0C8}"/>
    <cellStyle name="Normal 4 2 3" xfId="1390" xr:uid="{7001AE85-8C47-402C-9066-8E869764886F}"/>
    <cellStyle name="Normal 4 3" xfId="1391" xr:uid="{802B3AEE-E8BE-43C9-B4CD-5574A3992744}"/>
    <cellStyle name="Normal 4 3 10" xfId="1392" xr:uid="{E65481EB-B7E2-43C0-ABA5-012DA72FFABF}"/>
    <cellStyle name="Normal 4 3 11" xfId="1393" xr:uid="{9625C578-0A85-435F-8C5F-5AB9DF3EBC4E}"/>
    <cellStyle name="Normal 4 3 12" xfId="1394" xr:uid="{B63A42F8-BE5F-4832-914D-E5B995028D6A}"/>
    <cellStyle name="Normal 4 3 2" xfId="1395" xr:uid="{45CB0FA5-2463-437E-8F73-67FBE708B69B}"/>
    <cellStyle name="Normal 4 3 3" xfId="1396" xr:uid="{FBA35FC3-81AE-4BF2-9B5A-ABE2E21ABA8A}"/>
    <cellStyle name="Normal 4 3 4" xfId="1397" xr:uid="{34C9616C-F1EA-44AC-96C4-8F3D175023DB}"/>
    <cellStyle name="Normal 4 3 5" xfId="1398" xr:uid="{1EC7818D-9A7C-4DB2-843F-589D4933044B}"/>
    <cellStyle name="Normal 4 3 6" xfId="1399" xr:uid="{1049FE52-D4FD-4907-9BE0-A1701F0A6EE9}"/>
    <cellStyle name="Normal 4 3 7" xfId="1400" xr:uid="{2F12B3F3-F5A8-4967-AF81-73B21249333B}"/>
    <cellStyle name="Normal 4 3 8" xfId="1401" xr:uid="{B43A82D9-37CA-49A4-B315-80535D2A9831}"/>
    <cellStyle name="Normal 4 3 9" xfId="1402" xr:uid="{4D9A6415-A770-4179-937A-FE9F7BA955B3}"/>
    <cellStyle name="Normal 4 3_Backupp" xfId="1403" xr:uid="{7ED87BC1-DB29-49C7-B493-5F1F9E7D0EB4}"/>
    <cellStyle name="Normal 4 4" xfId="1404" xr:uid="{955E4AB9-7698-4D33-A983-F2EB17445FD3}"/>
    <cellStyle name="Normal 4 4 10" xfId="1405" xr:uid="{33BF49F0-8920-4516-8581-A2AB0D905ECB}"/>
    <cellStyle name="Normal 4 4 11" xfId="1406" xr:uid="{E4B19CF6-2C90-47BB-9A68-10BB4B5A1F2A}"/>
    <cellStyle name="Normal 4 4 12" xfId="1407" xr:uid="{EEB2FF4F-4EDB-4D32-9786-E854379B41EA}"/>
    <cellStyle name="Normal 4 4 2" xfId="1408" xr:uid="{B82D5C2E-DAFC-4EA2-B91E-6BFBB7D4CE80}"/>
    <cellStyle name="Normal 4 4 3" xfId="1409" xr:uid="{C42726AA-CEFE-4B69-ABFC-FB07B4F2637F}"/>
    <cellStyle name="Normal 4 4 4" xfId="1410" xr:uid="{DF205D82-B2B5-4B66-B55C-3E0380792D3A}"/>
    <cellStyle name="Normal 4 4 5" xfId="1411" xr:uid="{792B07B8-E190-464E-9126-C5A48F529F80}"/>
    <cellStyle name="Normal 4 4 6" xfId="1412" xr:uid="{140EFAAE-29C5-4F10-8C10-CB693652722F}"/>
    <cellStyle name="Normal 4 4 7" xfId="1413" xr:uid="{95839F43-DC67-4E2D-BE17-B30F5D8E0D9A}"/>
    <cellStyle name="Normal 4 4 8" xfId="1414" xr:uid="{CC8BDE09-E189-4FB4-B9F7-778D85B93B82}"/>
    <cellStyle name="Normal 4 4 9" xfId="1415" xr:uid="{C43D17B5-9520-4A0A-8E22-5310A77AA24A}"/>
    <cellStyle name="Normal 4 4_Backupp" xfId="1416" xr:uid="{5EB413B5-63E7-4B5D-8925-C59469DEDB00}"/>
    <cellStyle name="Normal 4 5" xfId="1417" xr:uid="{2354CEBF-6694-48A9-A11D-C470408BC2E3}"/>
    <cellStyle name="Normal 4 5 10" xfId="1418" xr:uid="{EBB12E9E-4F25-430D-B9A4-AE4CBAC52D0C}"/>
    <cellStyle name="Normal 4 5 11" xfId="1419" xr:uid="{3B479B68-B3B9-4741-9152-4215ACEFD9B7}"/>
    <cellStyle name="Normal 4 5 12" xfId="1420" xr:uid="{EB2FA746-EB62-465D-AD9F-3ED4E55FF261}"/>
    <cellStyle name="Normal 4 5 2" xfId="1421" xr:uid="{012579F4-D8D9-4EAA-9D7F-9082D1AC4BB2}"/>
    <cellStyle name="Normal 4 5 3" xfId="1422" xr:uid="{4DCCAE1C-98AC-4F49-BA0B-003C7856B4D1}"/>
    <cellStyle name="Normal 4 5 4" xfId="1423" xr:uid="{5E188D42-D025-4568-B300-AE9690A136AE}"/>
    <cellStyle name="Normal 4 5 5" xfId="1424" xr:uid="{35CCF90E-C6C5-48D8-BBAC-A1E60E421995}"/>
    <cellStyle name="Normal 4 5 6" xfId="1425" xr:uid="{008B21AF-C803-4285-9EB1-B714021C2D9C}"/>
    <cellStyle name="Normal 4 5 7" xfId="1426" xr:uid="{E5816390-53B9-4B70-B654-AB81039A78B0}"/>
    <cellStyle name="Normal 4 5 8" xfId="1427" xr:uid="{80A644A9-56CC-40BB-BF07-FC20A82E5A47}"/>
    <cellStyle name="Normal 4 5 9" xfId="1428" xr:uid="{AEE51228-28B5-40AB-89A5-24E01ED76505}"/>
    <cellStyle name="Normal 4 5_Backupp" xfId="1429" xr:uid="{DB56D871-846C-4E63-8484-B8CCFEE3CFAD}"/>
    <cellStyle name="Normal 4 6" xfId="1430" xr:uid="{342EC174-28EC-40EE-B4A9-099B06984C5F}"/>
    <cellStyle name="Normal 4 6 2" xfId="2408" xr:uid="{3B85C928-ABFA-42F9-B0ED-368F8D88F915}"/>
    <cellStyle name="Normal 4 7" xfId="1431" xr:uid="{7523A1C7-AC0B-48F9-96BF-2A049EDDDE07}"/>
    <cellStyle name="Normal 4 7 2" xfId="1432" xr:uid="{6DA46641-CBD4-462C-BCC1-45CC2B4EAA83}"/>
    <cellStyle name="Normal 4 7 3" xfId="1433" xr:uid="{D6A44C4C-C866-4F5E-A9D8-7DB481A624B5}"/>
    <cellStyle name="Normal 4 7 4" xfId="1434" xr:uid="{E532FB55-8AC4-41A1-A338-C4DD92E4D156}"/>
    <cellStyle name="Normal 4 7 5" xfId="1435" xr:uid="{FD42B47F-5B9F-495F-9F7C-7CFFFF7AEC81}"/>
    <cellStyle name="Normal 4 8" xfId="1436" xr:uid="{9C6BD2FB-719A-46FB-88DD-A881DFAA9E27}"/>
    <cellStyle name="Normal 4 9" xfId="1437" xr:uid="{64C70597-A40F-4A08-9004-4C0E73421591}"/>
    <cellStyle name="Normal 40" xfId="1438" xr:uid="{88B39131-47B8-428D-81BE-208E1953E347}"/>
    <cellStyle name="Normal 41" xfId="1439" xr:uid="{04E748EA-1A2B-4D5A-BC3E-0C8CD2079795}"/>
    <cellStyle name="Normal 42" xfId="1440" xr:uid="{E99DDC09-5352-43C8-9CE0-F115679BA62B}"/>
    <cellStyle name="Normal 43" xfId="1441" xr:uid="{EAA2E41E-4149-4239-A920-F7EF36A1C627}"/>
    <cellStyle name="Normal 43 2" xfId="2407" xr:uid="{E08FB3CF-DF33-4730-A504-D217B6AF944B}"/>
    <cellStyle name="Normal 44" xfId="1442" xr:uid="{5372B62F-BC88-4124-B5B9-3E3CA206D70F}"/>
    <cellStyle name="Normal 5" xfId="37" xr:uid="{95DD9D00-3E7A-4F07-AADA-8EBE1442FAA1}"/>
    <cellStyle name="Normal 5 2" xfId="1443" xr:uid="{0EBD1B2C-CC00-4709-A11B-DFC233EE684C}"/>
    <cellStyle name="Normal 5 3" xfId="1444" xr:uid="{FDD604C5-5E4A-4834-A71F-C3EE21BFCFD1}"/>
    <cellStyle name="Normal 5 4" xfId="1445" xr:uid="{ABDA57D9-490E-4685-AB35-B618E6F092A8}"/>
    <cellStyle name="Normal 5 5" xfId="1446" xr:uid="{813F025F-7A90-4237-9A93-AB811DC94131}"/>
    <cellStyle name="Normal 5 6" xfId="51" xr:uid="{3EE1A8A1-21F0-451C-B84D-12BCF7E7FB6B}"/>
    <cellStyle name="Normal 6" xfId="54" xr:uid="{CC158421-CDA5-422E-8B47-A361D59D6387}"/>
    <cellStyle name="Normal 6 10" xfId="2400" xr:uid="{E3BA4DEA-C468-437E-8BD3-36EE8B5BAA98}"/>
    <cellStyle name="Normal 6 2" xfId="1447" xr:uid="{80301C0F-4C3A-4EBA-9CC5-2B6A1AB4F8AF}"/>
    <cellStyle name="Normal 6 3" xfId="1448" xr:uid="{21BA3DF2-D00C-4C39-BF26-59E7B75D8AA7}"/>
    <cellStyle name="Normal 6 3 10" xfId="1449" xr:uid="{A3AFE436-5C75-4D53-A769-04ECA5C431AC}"/>
    <cellStyle name="Normal 6 3 11" xfId="1450" xr:uid="{F12B9AF4-E22D-4885-9A1D-26B011AC9A0A}"/>
    <cellStyle name="Normal 6 3 12" xfId="1451" xr:uid="{BA9F2DC7-E816-4433-9A36-D9CE6B409FA7}"/>
    <cellStyle name="Normal 6 3 2" xfId="1452" xr:uid="{8BAEFE72-0A29-4C58-B78B-8A80EB39866C}"/>
    <cellStyle name="Normal 6 3 3" xfId="1453" xr:uid="{8D8EDAE5-0F49-4AC5-B099-AA017222712B}"/>
    <cellStyle name="Normal 6 3 4" xfId="1454" xr:uid="{6903F448-42CD-440D-AC5F-50B49CAAFE01}"/>
    <cellStyle name="Normal 6 3 5" xfId="1455" xr:uid="{FA5B4BB0-E295-4152-B17B-F0F1F79DF7AB}"/>
    <cellStyle name="Normal 6 3 6" xfId="1456" xr:uid="{F3F02325-E187-4CC5-BCE3-48E38162D4C3}"/>
    <cellStyle name="Normal 6 3 7" xfId="1457" xr:uid="{1808B48B-8C83-4DDD-A3E4-4BD05CA8CBEC}"/>
    <cellStyle name="Normal 6 3 8" xfId="1458" xr:uid="{64DF825B-3EEA-41F2-82D7-CE059B32DE94}"/>
    <cellStyle name="Normal 6 3 9" xfId="1459" xr:uid="{F91F465D-0362-47A7-8679-B4B3EA763623}"/>
    <cellStyle name="Normal 6 3_Backupp" xfId="1460" xr:uid="{FDD04A02-BDD3-4F88-BE89-09315EE39FBB}"/>
    <cellStyle name="Normal 6 4" xfId="1461" xr:uid="{3D4B4CFC-273C-4448-A4AA-7FC37653E5BA}"/>
    <cellStyle name="Normal 6 4 10" xfId="1462" xr:uid="{7BF694AD-8091-41A5-8A00-C42BCCCFAAFD}"/>
    <cellStyle name="Normal 6 4 11" xfId="1463" xr:uid="{F947E518-BD23-4E9E-90F0-B1C8BA6B66D8}"/>
    <cellStyle name="Normal 6 4 12" xfId="1464" xr:uid="{FBC6D3D6-D0F4-4C48-BF3F-97DA1A92FC6F}"/>
    <cellStyle name="Normal 6 4 2" xfId="1465" xr:uid="{11AFEDEF-7CCD-4EE5-9349-CDE1942AE476}"/>
    <cellStyle name="Normal 6 4 3" xfId="1466" xr:uid="{8F553722-47F8-4D39-9CC8-F197BE796604}"/>
    <cellStyle name="Normal 6 4 4" xfId="1467" xr:uid="{B7C1129C-E449-460D-B904-A2BD3DFD2663}"/>
    <cellStyle name="Normal 6 4 5" xfId="1468" xr:uid="{225BC14B-4074-4A31-BC64-C7281D5FD1C2}"/>
    <cellStyle name="Normal 6 4 6" xfId="1469" xr:uid="{6FB05C06-6F7A-4456-B813-F4982DAEC793}"/>
    <cellStyle name="Normal 6 4 7" xfId="1470" xr:uid="{9350707B-71EC-4ECD-8B28-135B3A81244A}"/>
    <cellStyle name="Normal 6 4 8" xfId="1471" xr:uid="{AE4CE707-3E14-4209-B2D3-1C2870687BBA}"/>
    <cellStyle name="Normal 6 4 9" xfId="1472" xr:uid="{595CFEE1-9571-4E2D-80F0-C5B608AF7A17}"/>
    <cellStyle name="Normal 6 4_Backupp" xfId="1473" xr:uid="{6379A7D1-C29D-4DA0-A98C-6999431865C5}"/>
    <cellStyle name="Normal 6 5" xfId="1474" xr:uid="{4B32D3B1-761D-4978-A87A-7F3E5B0E1319}"/>
    <cellStyle name="Normal 6 5 10" xfId="1475" xr:uid="{0EB23CBF-F3E3-4E3E-8166-EE1B306962E4}"/>
    <cellStyle name="Normal 6 5 11" xfId="1476" xr:uid="{40860CA2-B703-4D8A-8EA3-86AF0C213EB3}"/>
    <cellStyle name="Normal 6 5 12" xfId="1477" xr:uid="{C2C51C7B-1802-4D27-BAD5-4A87DC39EE29}"/>
    <cellStyle name="Normal 6 5 2" xfId="1478" xr:uid="{8CCD31FF-AC6D-4AFC-BB41-5938414FBA99}"/>
    <cellStyle name="Normal 6 5 3" xfId="1479" xr:uid="{3720DA20-E6AF-4A09-8BDC-0DCD3C5E23B4}"/>
    <cellStyle name="Normal 6 5 4" xfId="1480" xr:uid="{56AAE3CE-C22A-436F-B703-0D4B448B3D51}"/>
    <cellStyle name="Normal 6 5 5" xfId="1481" xr:uid="{D49126C7-74F1-43DA-83B1-8EDAE075CF9B}"/>
    <cellStyle name="Normal 6 5 6" xfId="1482" xr:uid="{CA098DF2-EBB0-4CB5-9F1B-D35FB6EB9A08}"/>
    <cellStyle name="Normal 6 5 7" xfId="1483" xr:uid="{8035CA93-9D35-43E7-AA5B-8978CCFB89B6}"/>
    <cellStyle name="Normal 6 5 8" xfId="1484" xr:uid="{7A6AC455-607B-4C24-B203-4C36318FBD96}"/>
    <cellStyle name="Normal 6 5 9" xfId="1485" xr:uid="{B0E022C8-00AE-4548-B356-B9C6933266E2}"/>
    <cellStyle name="Normal 6 5_Backupp" xfId="1486" xr:uid="{D3E7E0A6-37E7-4233-A790-E444B9A5089B}"/>
    <cellStyle name="Normal 6 6" xfId="1487" xr:uid="{27B3271D-EF72-4BB9-A65B-85E6A93EF232}"/>
    <cellStyle name="Normal 6 7" xfId="1488" xr:uid="{E7CCA171-E815-4ABA-BD3E-5C91DA93F422}"/>
    <cellStyle name="Normal 6 8" xfId="1489" xr:uid="{8FD0A32F-603C-4558-879A-CB504E7D4633}"/>
    <cellStyle name="Normal 6 9" xfId="1490" xr:uid="{2F0883B5-58D2-4D11-AAB9-97F039461583}"/>
    <cellStyle name="Normal 7" xfId="2022" xr:uid="{39C2418A-148B-46FE-83CE-5A1305C5BBC8}"/>
    <cellStyle name="Normal 7 10" xfId="1491" xr:uid="{7E52780B-594D-4E1A-8D46-27E8ADD33764}"/>
    <cellStyle name="Normal 7 11" xfId="1492" xr:uid="{09773945-91FA-4C18-A41E-69C85441DFA1}"/>
    <cellStyle name="Normal 7 12" xfId="1493" xr:uid="{7CCE9DE9-561C-4EC9-B690-E71AF193E4F9}"/>
    <cellStyle name="Normal 7 13" xfId="1494" xr:uid="{589BFBF1-A539-4C4A-A064-1586684652EF}"/>
    <cellStyle name="Normal 7 14" xfId="1495" xr:uid="{E310001B-7F29-4999-949C-0B33492039B8}"/>
    <cellStyle name="Normal 7 15" xfId="1496" xr:uid="{39A24BC4-C60F-47B7-A531-8EBE95158003}"/>
    <cellStyle name="Normal 7 16" xfId="1497" xr:uid="{826837AC-95E3-4F19-8432-E106C6E78111}"/>
    <cellStyle name="Normal 7 17" xfId="1498" xr:uid="{F76A6844-88B0-4609-B2F3-670970B710A3}"/>
    <cellStyle name="Normal 7 2" xfId="1499" xr:uid="{3B21E1CC-15CA-4F79-90B7-B081595C4945}"/>
    <cellStyle name="Normal 7 3" xfId="1500" xr:uid="{C9F5DFF4-E88E-4253-BACA-F08FD995BD4C}"/>
    <cellStyle name="Normal 7 4" xfId="1501" xr:uid="{0EDDF8D1-C51A-4C1B-B009-99EB8D4F151C}"/>
    <cellStyle name="Normal 7 5" xfId="1502" xr:uid="{472F651C-D7E7-4387-9131-566790AA096B}"/>
    <cellStyle name="Normal 7 6" xfId="1503" xr:uid="{988A50A1-A0C7-4162-821E-FD91042B132D}"/>
    <cellStyle name="Normal 7 7" xfId="1504" xr:uid="{5A736860-F6B0-40D1-B830-A8CB6DA882A5}"/>
    <cellStyle name="Normal 7 8" xfId="1505" xr:uid="{8C224BCA-DABB-4838-AFAE-41BA4E71811B}"/>
    <cellStyle name="Normal 7 9" xfId="1506" xr:uid="{A3ED0101-96C7-477A-AAC6-0F19B4C52865}"/>
    <cellStyle name="Normal 8" xfId="2023" xr:uid="{36057417-4D39-4358-B848-12EE5BC07B0D}"/>
    <cellStyle name="Normal 8 2" xfId="1507" xr:uid="{8457E2E7-1FD5-49A2-83FB-82A721E80E2F}"/>
    <cellStyle name="Normal 8 3" xfId="2788" xr:uid="{AAECD652-D5D0-47FA-A722-E0C4F72871B7}"/>
    <cellStyle name="Normal 8 4" xfId="2415" xr:uid="{541B4318-94B2-4F82-855C-9F1C214B325B}"/>
    <cellStyle name="Normal 9" xfId="39" xr:uid="{4CCF920A-8070-4D32-82FD-9CBA00623FD4}"/>
    <cellStyle name="Normal 9 10" xfId="1508" xr:uid="{B9A4941F-118D-4D08-A77E-A9FFE3590D9F}"/>
    <cellStyle name="Normal 9 11" xfId="1509" xr:uid="{82F7D53A-C91F-4390-859C-27848FD87AAB}"/>
    <cellStyle name="Normal 9 12" xfId="1510" xr:uid="{579F52FC-871F-4506-A925-A79AB9F0752B}"/>
    <cellStyle name="Normal 9 13" xfId="1511" xr:uid="{84350C9F-29D6-4513-AEEF-F07DC195FE07}"/>
    <cellStyle name="Normal 9 14" xfId="1512" xr:uid="{F31E5445-23CB-4ED1-9484-3F7D0790688A}"/>
    <cellStyle name="Normal 9 15" xfId="1513" xr:uid="{58375541-D158-4151-B390-8618AF86A6EF}"/>
    <cellStyle name="Normal 9 16" xfId="1514" xr:uid="{8ED40380-696B-42E9-9798-DE7E7B2AAB33}"/>
    <cellStyle name="Normal 9 2" xfId="1515" xr:uid="{4CB1EC8C-BC9A-4E51-BC97-A4DF8522E514}"/>
    <cellStyle name="Normal 9 2 2" xfId="1516" xr:uid="{7488B16C-FE83-4BC5-9E52-FB9718EE7ADE}"/>
    <cellStyle name="Normal 9 3" xfId="1517" xr:uid="{C74EC66C-05A3-4205-87D7-AC232C158A5C}"/>
    <cellStyle name="Normal 9 4" xfId="1518" xr:uid="{E4D9A51E-8509-44AA-984B-954C51858B93}"/>
    <cellStyle name="Normal 9 5" xfId="1519" xr:uid="{50818F40-E59B-473E-BACD-6D58E1AA1EAF}"/>
    <cellStyle name="Normal 9 6" xfId="1520" xr:uid="{DB526104-61EC-4A2E-9A2D-D126D8A4213D}"/>
    <cellStyle name="Normal 9 7" xfId="1521" xr:uid="{83BCDD13-515C-4B71-B290-C2799B259F76}"/>
    <cellStyle name="Normal 9 8" xfId="1522" xr:uid="{26567F1B-80D7-49B8-9FAC-A2497D0390F0}"/>
    <cellStyle name="Normal 9 9" xfId="1523" xr:uid="{FADA3EF8-476C-416C-A60F-032FC3F7D04D}"/>
    <cellStyle name="Normal_Final Balance Sheet 18 months 1998" xfId="2410" xr:uid="{70339D26-77B1-49F8-ADAC-D5ACEC088A2E}"/>
    <cellStyle name="Note 2" xfId="1525" xr:uid="{D2E010E4-60F5-42A6-B5D0-3A145C25282A}"/>
    <cellStyle name="Note 2 10" xfId="1526" xr:uid="{AB410AAB-BC95-4F81-9EC9-EA2059118405}"/>
    <cellStyle name="Note 2 11" xfId="1527" xr:uid="{FD38D8DB-46B8-460F-9A63-FBAFBA289D83}"/>
    <cellStyle name="Note 2 12" xfId="1528" xr:uid="{72D83956-2B33-4A7A-9172-3CD66AC4BAF2}"/>
    <cellStyle name="Note 2 13" xfId="1529" xr:uid="{F9FCD5A4-BD34-46D3-A966-69C5999A35EE}"/>
    <cellStyle name="Note 2 14" xfId="1530" xr:uid="{C67B0370-4260-43DA-827B-DBFF62E2BC01}"/>
    <cellStyle name="Note 2 15" xfId="1531" xr:uid="{5813BB37-FB12-4747-B021-C29B15FDD695}"/>
    <cellStyle name="Note 2 2" xfId="1532" xr:uid="{6885B323-94F8-4A86-9F65-69D8FC6109E6}"/>
    <cellStyle name="Note 2 2 2" xfId="1533" xr:uid="{1CA4DBF2-8F11-44D9-81DA-5E9CDA324B05}"/>
    <cellStyle name="Note 2 3" xfId="1534" xr:uid="{B9C70897-5B9C-42FA-8635-AC3C627A34FA}"/>
    <cellStyle name="Note 2 4" xfId="1535" xr:uid="{2E163D2D-8F94-4B0E-8248-F9FF8C3CF610}"/>
    <cellStyle name="Note 2 5" xfId="1536" xr:uid="{ED26A19C-EF32-4725-8172-AA96E7DED19B}"/>
    <cellStyle name="Note 2 6" xfId="1537" xr:uid="{E90E82F5-0256-4A35-B6DD-AD48E82A238F}"/>
    <cellStyle name="Note 2 7" xfId="1538" xr:uid="{DAA209B9-FE21-4E3E-971F-BC43758D4DD8}"/>
    <cellStyle name="Note 2 8" xfId="1539" xr:uid="{EB8EAD8D-D5ED-426F-A3B9-1CFA5D8C86C3}"/>
    <cellStyle name="Note 2 9" xfId="1540" xr:uid="{84705D32-2BBF-4F64-AAF7-02296D5DBF1D}"/>
    <cellStyle name="Note 3" xfId="1541" xr:uid="{47A98528-7531-4903-B17E-76B064B66DE5}"/>
    <cellStyle name="Note 3 10" xfId="1542" xr:uid="{A6530F81-566B-4475-9E36-6C4BAF75E157}"/>
    <cellStyle name="Note 3 11" xfId="1543" xr:uid="{CB891D31-4AF4-4C50-B4BB-F19DC19757CE}"/>
    <cellStyle name="Note 3 12" xfId="1544" xr:uid="{300D04C5-E3D8-4076-8CB9-C6F36E59F6E9}"/>
    <cellStyle name="Note 3 13" xfId="1545" xr:uid="{98E6D022-CD26-4933-AC1D-8BA67BAA7E81}"/>
    <cellStyle name="Note 3 14" xfId="1546" xr:uid="{3498D94B-2105-47F5-839A-60475ADEF9DE}"/>
    <cellStyle name="Note 3 15" xfId="1547" xr:uid="{C7F3B3F5-63A7-4020-88A3-92062E8A6E6B}"/>
    <cellStyle name="Note 3 16" xfId="1548" xr:uid="{812576B2-C972-4D0F-AF73-950126565B48}"/>
    <cellStyle name="Note 3 17" xfId="1549" xr:uid="{C6A62F83-221A-4473-ACA3-0B1A3CDD03EB}"/>
    <cellStyle name="Note 3 18" xfId="1550" xr:uid="{404E8B51-B8EA-4736-859C-0D3DA77E2AF9}"/>
    <cellStyle name="Note 3 19" xfId="1551" xr:uid="{B9FE5F07-34F4-4067-BBE2-259BB22B3A5A}"/>
    <cellStyle name="Note 3 2" xfId="1552" xr:uid="{3C40C246-67AB-4D67-8F0F-3B25EFCD9D9E}"/>
    <cellStyle name="Note 3 2 10" xfId="1553" xr:uid="{04C0FE9A-D5FC-4900-951F-ED4E612E4355}"/>
    <cellStyle name="Note 3 2 11" xfId="1554" xr:uid="{4A095761-DD63-4B19-8E6B-7DCFF31E5851}"/>
    <cellStyle name="Note 3 2 12" xfId="1555" xr:uid="{A4FC7B68-650E-417E-9882-F85AB46CA784}"/>
    <cellStyle name="Note 3 2 13" xfId="1556" xr:uid="{804A96E9-A869-43BE-9BE9-CD872DBAD2DC}"/>
    <cellStyle name="Note 3 2 14" xfId="1557" xr:uid="{82A88C2D-C55B-463C-A258-EB87B0F44510}"/>
    <cellStyle name="Note 3 2 15" xfId="1558" xr:uid="{E03157CF-234C-46ED-8073-DB4312877A9C}"/>
    <cellStyle name="Note 3 2 16" xfId="1559" xr:uid="{287C74A6-362D-4D68-8614-C6BCB9052C9E}"/>
    <cellStyle name="Note 3 2 17" xfId="1560" xr:uid="{8AADC75B-DCB6-4E5D-9F02-516D0F3605B2}"/>
    <cellStyle name="Note 3 2 18" xfId="1561" xr:uid="{59D41DE1-A998-44CA-B2B9-BDB0D7EB3065}"/>
    <cellStyle name="Note 3 2 2" xfId="1562" xr:uid="{285A00D3-7753-4230-B99A-2F8E95DACD79}"/>
    <cellStyle name="Note 3 2 3" xfId="1563" xr:uid="{D669EE3B-ABF9-4894-910B-2A32522BFD8C}"/>
    <cellStyle name="Note 3 2 4" xfId="1564" xr:uid="{35576263-20C4-4CAB-AB6F-628C68BD76F3}"/>
    <cellStyle name="Note 3 2 5" xfId="1565" xr:uid="{BD724074-1492-4F06-AB07-6DC2500FA531}"/>
    <cellStyle name="Note 3 2 6" xfId="1566" xr:uid="{F9EB398A-BE6E-4518-94C6-9E5D6C796D8C}"/>
    <cellStyle name="Note 3 2 7" xfId="1567" xr:uid="{DAC73190-E7D1-4853-8791-8F102EC37A99}"/>
    <cellStyle name="Note 3 2 8" xfId="1568" xr:uid="{325D1F94-6D9A-4A49-959F-3899B23F9AE2}"/>
    <cellStyle name="Note 3 2 9" xfId="1569" xr:uid="{58659328-E123-4C02-B560-1E4291562335}"/>
    <cellStyle name="Note 3 3" xfId="1570" xr:uid="{C0D298E4-AE13-47F3-A2E4-0CE608977FD4}"/>
    <cellStyle name="Note 3 4" xfId="1571" xr:uid="{5D566F49-041B-4A53-85F9-7D822015C808}"/>
    <cellStyle name="Note 3 5" xfId="1572" xr:uid="{AD02DF43-C5D4-4DF2-AC20-0247F95D2AB2}"/>
    <cellStyle name="Note 3 6" xfId="1573" xr:uid="{B973C9B0-1C34-46D0-B879-F968E92ABDC3}"/>
    <cellStyle name="Note 3 7" xfId="1574" xr:uid="{2038760E-A127-4D95-9052-05A2B6A6626E}"/>
    <cellStyle name="Note 3 8" xfId="1575" xr:uid="{EA2ACFEF-FE71-445C-BF92-EDB255153A39}"/>
    <cellStyle name="Note 3 9" xfId="1576" xr:uid="{D3935C06-1E17-4E21-A100-81105610ABE1}"/>
    <cellStyle name="Note 4" xfId="1577" xr:uid="{D1B51832-E56D-496A-8D56-E0753499E5DD}"/>
    <cellStyle name="Note 5" xfId="1524" xr:uid="{DF26F96B-E885-4D27-A831-DD687DF0AE4F}"/>
    <cellStyle name="Output 2" xfId="1579" xr:uid="{ECDE78F0-BA76-41AD-A4F2-75D26162A2EC}"/>
    <cellStyle name="Output 2 10" xfId="1580" xr:uid="{04369A8F-0310-4834-A86E-DD1237D92D25}"/>
    <cellStyle name="Output 2 11" xfId="1581" xr:uid="{AC972319-E634-4D38-B775-B9418ACD88ED}"/>
    <cellStyle name="Output 2 12" xfId="1582" xr:uid="{BEA16112-CE9F-4594-AD14-DB5EFEC2E471}"/>
    <cellStyle name="Output 2 13" xfId="1583" xr:uid="{23C8F8E7-B409-42FF-A65B-1405DC5526AC}"/>
    <cellStyle name="Output 2 14" xfId="1584" xr:uid="{18E7F09D-A520-44BB-B41B-C7E80BFB051C}"/>
    <cellStyle name="Output 2 15" xfId="1585" xr:uid="{28F43D14-8BBD-4C4B-95BD-27A9615CCFC6}"/>
    <cellStyle name="Output 2 2" xfId="1586" xr:uid="{2FF86483-4A6F-49E4-8EDB-CE0C0EF67876}"/>
    <cellStyle name="Output 2 2 2" xfId="1587" xr:uid="{ED5994A2-38B1-49AE-8A8E-AFC9AE3E4FBD}"/>
    <cellStyle name="Output 2 3" xfId="1588" xr:uid="{2B9465B5-AF7D-4190-8511-4108616D15A3}"/>
    <cellStyle name="Output 2 4" xfId="1589" xr:uid="{ACA1973B-C56A-4AE3-87B6-031D6713675E}"/>
    <cellStyle name="Output 2 5" xfId="1590" xr:uid="{E7C00FEC-0CE6-4EA0-B3BD-CA3192CD035E}"/>
    <cellStyle name="Output 2 6" xfId="1591" xr:uid="{F0DE210A-A63E-4E75-A9A4-07E5201931D9}"/>
    <cellStyle name="Output 2 7" xfId="1592" xr:uid="{576A8FA1-02E9-4E80-8E15-9FD4E775FD23}"/>
    <cellStyle name="Output 2 8" xfId="1593" xr:uid="{2BB4E710-1D11-4F67-9310-B2E53EE886A7}"/>
    <cellStyle name="Output 2 9" xfId="1594" xr:uid="{13D45297-115E-4914-B09A-6EC307F749D8}"/>
    <cellStyle name="Output 3" xfId="1595" xr:uid="{C2CEDCE3-544B-4757-8CAB-1D90A965A8FF}"/>
    <cellStyle name="Output 3 2" xfId="1596" xr:uid="{CB0E4150-98C8-4479-BA00-DB8CD2852CE6}"/>
    <cellStyle name="Output 4" xfId="1597" xr:uid="{BD7B710F-BEBF-42E3-8825-F4A772B1A8ED}"/>
    <cellStyle name="Output 5" xfId="1578" xr:uid="{2200BFD8-F0DB-487D-87C1-3A2B923A3DD6}"/>
    <cellStyle name="Percent" xfId="2" builtinId="5"/>
    <cellStyle name="Percent (0)" xfId="1599" xr:uid="{7452D31C-BC51-453E-A3BE-5536DC25601A}"/>
    <cellStyle name="Percent [2]" xfId="1600" xr:uid="{B6CAF50B-D629-4449-A458-44ACD5EEC608}"/>
    <cellStyle name="Percent 10" xfId="1601" xr:uid="{821A7B36-CBA5-4CCF-822A-54E7A955F675}"/>
    <cellStyle name="Percent 100" xfId="41" xr:uid="{4923FF75-F199-4258-86AC-4B85C6C43A2A}"/>
    <cellStyle name="Percent 101" xfId="2025" xr:uid="{907D070E-28E0-4AAA-8D2C-B507BCF621AA}"/>
    <cellStyle name="Percent 11" xfId="1602" xr:uid="{D327A7F7-E533-4314-B0AE-73DF8F16BCF7}"/>
    <cellStyle name="Percent 12" xfId="1603" xr:uid="{3969EB29-480E-4A31-922D-06D37635A5B0}"/>
    <cellStyle name="Percent 13" xfId="1604" xr:uid="{C8D05842-3126-4336-A7D9-2EAC209E4194}"/>
    <cellStyle name="Percent 14" xfId="1605" xr:uid="{21FF7F9D-32FB-44EA-8390-A45742ED7488}"/>
    <cellStyle name="Percent 15" xfId="1606" xr:uid="{A8D0C797-78DF-48A1-A82B-14D6E2B790CF}"/>
    <cellStyle name="Percent 16" xfId="10" xr:uid="{AF23CECD-E951-4E0A-9E1A-5B10E41943F1}"/>
    <cellStyle name="Percent 16 2" xfId="1607" xr:uid="{3D759F4A-F70C-42F7-BE8A-AFEC60470157}"/>
    <cellStyle name="Percent 17" xfId="1608" xr:uid="{A42FE7B1-218C-4099-8EDD-162C02421516}"/>
    <cellStyle name="Percent 18" xfId="1609" xr:uid="{9264CC1F-BE17-4762-9EF4-9F7617521475}"/>
    <cellStyle name="Percent 19" xfId="1610" xr:uid="{408A5D9E-2921-422E-A49D-C6DEFB3F4B13}"/>
    <cellStyle name="Percent 2" xfId="5" xr:uid="{3C3C7437-BF7B-48EB-9140-0E94BAF9AB41}"/>
    <cellStyle name="Percent 2 10" xfId="1612" xr:uid="{F5341933-8801-4F12-80D0-4418F46AA7D2}"/>
    <cellStyle name="Percent 2 11" xfId="1613" xr:uid="{4A31389B-BDF7-497D-A044-16C6F922459A}"/>
    <cellStyle name="Percent 2 12" xfId="1611" xr:uid="{D2713686-5F5B-4774-B338-3F537FB62481}"/>
    <cellStyle name="Percent 2 13" xfId="53" xr:uid="{F671547E-DE55-4CB8-B48C-D2DD22A4B492}"/>
    <cellStyle name="Percent 2 14" xfId="35" xr:uid="{249827AA-6A5D-4BB5-8175-D3BA0B3156F3}"/>
    <cellStyle name="Percent 2 2" xfId="1614" xr:uid="{30B26D63-AC60-4C48-9BE6-867460547A71}"/>
    <cellStyle name="Percent 2 2 10" xfId="1615" xr:uid="{57A0CE48-D436-473C-9F09-1B25287C0B90}"/>
    <cellStyle name="Percent 2 2 11" xfId="1616" xr:uid="{8A4A30A3-CDE3-4DB4-8C49-00B49E34D94C}"/>
    <cellStyle name="Percent 2 2 12" xfId="1617" xr:uid="{86CB1B23-DC69-4C1B-A563-47FECA5C38AB}"/>
    <cellStyle name="Percent 2 2 13" xfId="1618" xr:uid="{D3406167-E8FC-4DE9-A51A-E9F51F7142D7}"/>
    <cellStyle name="Percent 2 2 14" xfId="1619" xr:uid="{93285901-7B7E-4127-9748-C692FA1265C5}"/>
    <cellStyle name="Percent 2 2 15" xfId="1620" xr:uid="{18281949-E2A1-4A3A-8D4F-E9698912B284}"/>
    <cellStyle name="Percent 2 2 16" xfId="1621" xr:uid="{7D13A06D-536C-4107-8078-1EC88E75539C}"/>
    <cellStyle name="Percent 2 2 17" xfId="1622" xr:uid="{B6C43F1E-CF13-472A-AC81-CFCB2D5FFB52}"/>
    <cellStyle name="Percent 2 2 18" xfId="1623" xr:uid="{E13D015F-590B-4956-937A-8254A15FC309}"/>
    <cellStyle name="Percent 2 2 19" xfId="1624" xr:uid="{26D2051D-44AB-40C1-AA73-D11F78189C7B}"/>
    <cellStyle name="Percent 2 2 2" xfId="1625" xr:uid="{83BA8B1A-F381-49BD-90DE-8303BA1E081E}"/>
    <cellStyle name="Percent 2 2 3" xfId="1626" xr:uid="{7B410667-61F1-4759-94CC-083B8D719763}"/>
    <cellStyle name="Percent 2 2 4" xfId="1627" xr:uid="{55D99285-57FA-4898-B3BC-E4D43A786484}"/>
    <cellStyle name="Percent 2 2 5" xfId="1628" xr:uid="{5F5AD3CC-3479-4762-BB1C-FDF310BC77CA}"/>
    <cellStyle name="Percent 2 2 6" xfId="1629" xr:uid="{B3B317D8-AE86-47FE-B2D6-F52882A088DF}"/>
    <cellStyle name="Percent 2 2 7" xfId="1630" xr:uid="{DD4C2DBD-AE5F-4939-8130-1CAB3E282A95}"/>
    <cellStyle name="Percent 2 2 8" xfId="1631" xr:uid="{8CA32756-8F62-4056-B50E-239F7377ED18}"/>
    <cellStyle name="Percent 2 2 9" xfId="1632" xr:uid="{43E0509C-3A43-4076-87A0-18BF2FF87A21}"/>
    <cellStyle name="Percent 2 3" xfId="1633" xr:uid="{2D0A9D4E-7BB3-4699-9E31-6B59EFA8F474}"/>
    <cellStyle name="Percent 2 4" xfId="1634" xr:uid="{22EAD1D7-90E8-41BB-A400-73AEC16A4AFB}"/>
    <cellStyle name="Percent 2 5" xfId="1635" xr:uid="{B6F30EF8-6F58-46B0-B159-5E4AC4F09797}"/>
    <cellStyle name="Percent 2 6" xfId="1636" xr:uid="{F0598797-C680-4731-98B5-44663F7361D1}"/>
    <cellStyle name="Percent 2 6 10" xfId="1637" xr:uid="{65940047-087C-49FA-BF64-FBFC2E4DA4E0}"/>
    <cellStyle name="Percent 2 6 11" xfId="1638" xr:uid="{20965983-C9D4-4A2F-8B9D-4B87AF1F21F2}"/>
    <cellStyle name="Percent 2 6 12" xfId="1639" xr:uid="{B57950BD-364B-4D13-9FE0-8AA39A8A10F5}"/>
    <cellStyle name="Percent 2 6 13" xfId="1640" xr:uid="{ED4175EF-0A07-47D5-B659-2013D907F3E6}"/>
    <cellStyle name="Percent 2 6 14" xfId="1641" xr:uid="{FE5F1144-9622-4B00-87F3-D4FF1687BBCA}"/>
    <cellStyle name="Percent 2 6 15" xfId="1642" xr:uid="{DAA90386-1961-4AC9-867C-C9FCC74202A5}"/>
    <cellStyle name="Percent 2 6 2" xfId="1643" xr:uid="{EEC7B41B-E978-441F-A890-DE363662CB70}"/>
    <cellStyle name="Percent 2 6 3" xfId="1644" xr:uid="{CBEC4E31-927B-4621-9C71-2641907E3B38}"/>
    <cellStyle name="Percent 2 6 4" xfId="1645" xr:uid="{E1F01072-2FD8-401B-97AA-9709D53F89CD}"/>
    <cellStyle name="Percent 2 6 5" xfId="1646" xr:uid="{719DCA84-312B-4456-8546-DCD29788276C}"/>
    <cellStyle name="Percent 2 6 6" xfId="1647" xr:uid="{5D9AB899-3F0E-4F8D-8A39-B704004632B8}"/>
    <cellStyle name="Percent 2 6 7" xfId="1648" xr:uid="{3577B3C6-F2A1-4728-9669-E87DD673928A}"/>
    <cellStyle name="Percent 2 6 8" xfId="1649" xr:uid="{81CC03BB-D906-4F34-A152-9C97DE125005}"/>
    <cellStyle name="Percent 2 6 9" xfId="1650" xr:uid="{7DD2ECE2-FA15-456C-86C6-44976A0FEE60}"/>
    <cellStyle name="Percent 2 7" xfId="1651" xr:uid="{A6FA82FA-AA1B-4E5D-98FD-2068322823ED}"/>
    <cellStyle name="Percent 2 7 10" xfId="1652" xr:uid="{7D493758-A322-4867-84E0-A09DB3897D45}"/>
    <cellStyle name="Percent 2 7 11" xfId="1653" xr:uid="{88024E46-FD42-45B8-B96B-03AB090EFC8A}"/>
    <cellStyle name="Percent 2 7 12" xfId="1654" xr:uid="{DFAD5B52-7994-493B-88CD-168BFAEC7C55}"/>
    <cellStyle name="Percent 2 7 13" xfId="1655" xr:uid="{4F0F2D60-A23C-429B-B3D2-6B3492A9F35B}"/>
    <cellStyle name="Percent 2 7 14" xfId="1656" xr:uid="{000BFE83-189C-456A-BA00-06511707E265}"/>
    <cellStyle name="Percent 2 7 15" xfId="1657" xr:uid="{67C1CCDD-8B2E-4103-B8BF-D109E761729E}"/>
    <cellStyle name="Percent 2 7 2" xfId="1658" xr:uid="{ABDEF397-0D9B-48D3-850D-2A88C8A34B88}"/>
    <cellStyle name="Percent 2 7 3" xfId="1659" xr:uid="{387D06F7-E73B-4E61-B4EB-08E4690B4B61}"/>
    <cellStyle name="Percent 2 7 4" xfId="1660" xr:uid="{3917F7EC-21B8-4142-9CEB-997DEE3F6550}"/>
    <cellStyle name="Percent 2 7 5" xfId="1661" xr:uid="{088734D2-1253-4156-8B84-DF00EE8CE9A1}"/>
    <cellStyle name="Percent 2 7 6" xfId="1662" xr:uid="{376361B7-9624-4611-A28A-E6D1C649163F}"/>
    <cellStyle name="Percent 2 7 7" xfId="1663" xr:uid="{5963ABEE-F5CF-4E29-AC6E-1B3CCEF1A6BD}"/>
    <cellStyle name="Percent 2 7 8" xfId="1664" xr:uid="{9CCD44DE-C4A3-4CA1-99B9-FE54706BF137}"/>
    <cellStyle name="Percent 2 7 9" xfId="1665" xr:uid="{3455E55B-9FB4-48E3-B1D9-1F1D0165828B}"/>
    <cellStyle name="Percent 2 8" xfId="1666" xr:uid="{B266EC31-472E-48D9-B93E-FC3043ECBBD0}"/>
    <cellStyle name="Percent 2 9" xfId="1667" xr:uid="{9194C901-F4CD-4A62-BBA3-06BB94A45084}"/>
    <cellStyle name="Percent 20" xfId="1668" xr:uid="{B4A72FDC-A669-496D-A803-0D487EB87C8C}"/>
    <cellStyle name="Percent 21" xfId="1669" xr:uid="{96C30B95-F7E6-44A6-AD37-A63209DC4B4D}"/>
    <cellStyle name="Percent 22" xfId="1670" xr:uid="{6ED4C449-94F3-4105-9B80-DCB5891A9A02}"/>
    <cellStyle name="Percent 23" xfId="1671" xr:uid="{029B63C3-8619-49D0-8ED5-930C78E940B2}"/>
    <cellStyle name="Percent 24" xfId="1672" xr:uid="{C78C5B55-1CDF-4FB5-8E33-64BAE68E9377}"/>
    <cellStyle name="Percent 25" xfId="1673" xr:uid="{6D5C374A-2E3A-401A-BF72-AC97286B7A47}"/>
    <cellStyle name="Percent 26" xfId="1674" xr:uid="{D74C9F48-9BB1-4E6C-8A1D-E4D636E50F0F}"/>
    <cellStyle name="Percent 27" xfId="1675" xr:uid="{CD67D489-2C4C-4198-9156-766A647A7794}"/>
    <cellStyle name="Percent 28" xfId="1676" xr:uid="{8FF78600-1B7C-4886-BE9D-D9EE01CC71D4}"/>
    <cellStyle name="Percent 29" xfId="1677" xr:uid="{5DF2608C-E0CC-43A5-ACE0-8AB01ABBE243}"/>
    <cellStyle name="Percent 3" xfId="17" xr:uid="{73E2C776-0D06-4EDA-A7A1-67C306F4F913}"/>
    <cellStyle name="Percent 3 2" xfId="27" xr:uid="{FE1E01D0-4DDA-4BD1-B17B-8F2EFEEA878E}"/>
    <cellStyle name="Percent 3 3" xfId="1678" xr:uid="{A4E08DB7-663E-4B07-BD32-0691289FCC36}"/>
    <cellStyle name="Percent 30" xfId="1679" xr:uid="{6306FA3C-0B61-44F7-9B35-5D4B0ABCB65C}"/>
    <cellStyle name="Percent 31" xfId="1680" xr:uid="{63EA045E-62AC-497A-BE73-BC06B42BF3B6}"/>
    <cellStyle name="Percent 32" xfId="1681" xr:uid="{A9760B51-FF88-433F-A303-E3524AADC855}"/>
    <cellStyle name="Percent 33" xfId="1682" xr:uid="{F82CA1E5-00A4-4EC4-B99A-E5D2ADAB878F}"/>
    <cellStyle name="Percent 34" xfId="1683" xr:uid="{00D3A35F-762B-4A50-A934-264C5184B2EC}"/>
    <cellStyle name="Percent 35" xfId="1684" xr:uid="{A0C11AEE-AAFC-40F5-8A8F-B7B4BA05E9B6}"/>
    <cellStyle name="Percent 36" xfId="1685" xr:uid="{DEBA6A26-58F9-49C0-A7BF-F0F60E20362A}"/>
    <cellStyle name="Percent 37" xfId="1686" xr:uid="{F1A5A577-7481-44A9-816A-BAE00CA56519}"/>
    <cellStyle name="Percent 38" xfId="1687" xr:uid="{7C7A25DF-A648-4D88-91DE-07A843A5572A}"/>
    <cellStyle name="Percent 39" xfId="1688" xr:uid="{1619F4F9-60D9-4229-B971-1C8ADB3E9CE0}"/>
    <cellStyle name="Percent 4" xfId="1689" xr:uid="{E797816A-6BEA-4633-895C-0267398CE808}"/>
    <cellStyle name="Percent 4 2" xfId="2402" xr:uid="{5859BC61-F726-4748-8E92-96D941262D4E}"/>
    <cellStyle name="Percent 40" xfId="1690" xr:uid="{0228B1ED-8E99-4823-B300-C6C3AABBA001}"/>
    <cellStyle name="Percent 41" xfId="1691" xr:uid="{49695366-2A85-44C2-8B30-07F64B46BAAE}"/>
    <cellStyle name="Percent 42" xfId="1692" xr:uid="{562EBAA0-4711-4472-8B69-BB37D9115BCD}"/>
    <cellStyle name="Percent 43" xfId="1693" xr:uid="{EAC903D3-8815-4021-AA06-4FAF2C85E9B9}"/>
    <cellStyle name="Percent 44" xfId="1694" xr:uid="{607A5F8C-0EB2-4961-AC30-9FFA6740571B}"/>
    <cellStyle name="Percent 45" xfId="1695" xr:uid="{FEE8BC49-4D35-42A0-83A5-6F94D0C9C9BB}"/>
    <cellStyle name="Percent 46" xfId="1696" xr:uid="{161772B3-4995-4447-AE70-4281A37487DA}"/>
    <cellStyle name="Percent 47" xfId="1697" xr:uid="{2D62BEBD-1192-4DC1-8B1D-3BE50CC868A2}"/>
    <cellStyle name="Percent 48" xfId="1698" xr:uid="{E19BE0D7-976C-433D-9068-E959995D76F9}"/>
    <cellStyle name="Percent 49" xfId="1699" xr:uid="{36A67781-383B-4646-A0D8-F67EB0713703}"/>
    <cellStyle name="Percent 5" xfId="1700" xr:uid="{71866C8C-2A08-4A8E-88C6-E00408EDC4A4}"/>
    <cellStyle name="Percent 50" xfId="1701" xr:uid="{3CC90FF9-A41E-488C-BD1D-51135FE55789}"/>
    <cellStyle name="Percent 51" xfId="1702" xr:uid="{7637E5E9-A093-462F-98BB-B2A45A560792}"/>
    <cellStyle name="Percent 52" xfId="1703" xr:uid="{73EC914D-7104-41D4-A9E1-57E8731B3C87}"/>
    <cellStyle name="Percent 53" xfId="1704" xr:uid="{A782F9D4-3DB0-4A03-9C79-821905C4E740}"/>
    <cellStyle name="Percent 54" xfId="1705" xr:uid="{ABB84391-EF01-48F6-91EB-C94B315459AA}"/>
    <cellStyle name="Percent 55" xfId="1706" xr:uid="{6F9BCA85-3745-4CF5-A4D1-02CBFAE2E5B3}"/>
    <cellStyle name="Percent 56" xfId="1707" xr:uid="{86CB849A-6AA3-492E-91F3-F0E23D5332BB}"/>
    <cellStyle name="Percent 57" xfId="1708" xr:uid="{76FBC957-768D-4A9A-B95E-9801C47E997F}"/>
    <cellStyle name="Percent 58" xfId="1709" xr:uid="{57A88647-1C04-4B10-A05B-75950718C9DF}"/>
    <cellStyle name="Percent 59" xfId="1710" xr:uid="{56DF8C46-CF3B-4DA4-A965-68F641DC128C}"/>
    <cellStyle name="Percent 6" xfId="1711" xr:uid="{C0317BBA-D10E-47AF-AB6E-3469CB0B5EFD}"/>
    <cellStyle name="Percent 60" xfId="1712" xr:uid="{635275A8-8166-4E5D-96E3-3B60A83E89C9}"/>
    <cellStyle name="Percent 61" xfId="1713" xr:uid="{62CCBA7C-2AD1-48EF-945A-0BE5FC02A171}"/>
    <cellStyle name="Percent 62" xfId="1714" xr:uid="{B586244E-F31A-4195-B35E-C1109155AADB}"/>
    <cellStyle name="Percent 63" xfId="1715" xr:uid="{5F9C7E64-AADA-482C-A31D-A923256E86BE}"/>
    <cellStyle name="Percent 64" xfId="1716" xr:uid="{97EF3508-099B-4232-95C4-51A8C0AFA165}"/>
    <cellStyle name="Percent 65" xfId="1717" xr:uid="{FEDB2FAE-C4C8-404E-B3DE-7209E15DA4B8}"/>
    <cellStyle name="Percent 66" xfId="1718" xr:uid="{0334C869-DCD8-4DF9-AAA9-FEED7F63E037}"/>
    <cellStyle name="Percent 67" xfId="1719" xr:uid="{2D29830B-DA15-4C36-A235-D51EF1B6BAB8}"/>
    <cellStyle name="Percent 68" xfId="1720" xr:uid="{262F12FF-FE54-486A-A9C7-7504700E0B55}"/>
    <cellStyle name="Percent 69" xfId="1721" xr:uid="{B45CC717-D3C9-4396-B173-1AB2065C53BF}"/>
    <cellStyle name="Percent 7" xfId="1722" xr:uid="{82B0B267-C575-48DA-B8AD-5FABE548CAE7}"/>
    <cellStyle name="Percent 7 2" xfId="1723" xr:uid="{9CBC8AEF-5BCE-44C0-B7A5-E31B5F43EA05}"/>
    <cellStyle name="Percent 70" xfId="1724" xr:uid="{DA20AD48-50CA-4FD4-9ADF-B46294A31871}"/>
    <cellStyle name="Percent 71" xfId="1725" xr:uid="{DEEAC7D2-EB5C-4B3C-9DEF-AD35E32272EE}"/>
    <cellStyle name="Percent 72" xfId="1726" xr:uid="{FA2297F5-64A0-42A2-9378-456D13E5001F}"/>
    <cellStyle name="Percent 73" xfId="1727" xr:uid="{D574E650-C534-4F38-AEAF-744B9EBF3332}"/>
    <cellStyle name="Percent 74" xfId="1728" xr:uid="{D7B607D2-5442-4016-BE3D-B1170CCE7FEB}"/>
    <cellStyle name="Percent 74 10" xfId="1729" xr:uid="{8B0FABCC-3D88-45A2-A196-E49D1DE80347}"/>
    <cellStyle name="Percent 74 11" xfId="1730" xr:uid="{3944CE65-2CEB-4024-A0A3-1F908C5C3A3C}"/>
    <cellStyle name="Percent 74 12" xfId="1731" xr:uid="{CEEE6C18-1EDF-4945-9E2D-7995F50D6E69}"/>
    <cellStyle name="Percent 74 13" xfId="1732" xr:uid="{DA1E2ADB-061B-431B-A135-AD850261C1F3}"/>
    <cellStyle name="Percent 74 14" xfId="1733" xr:uid="{D02B6971-77FB-449C-B627-724BA4B91D42}"/>
    <cellStyle name="Percent 74 15" xfId="1734" xr:uid="{06ADAC46-A7E7-492B-AAE6-5B700F876789}"/>
    <cellStyle name="Percent 74 2" xfId="1735" xr:uid="{31107758-1184-4DA0-A3B2-BC9989890915}"/>
    <cellStyle name="Percent 74 3" xfId="1736" xr:uid="{958B71EF-D1C7-4308-AB4E-4A112BE15ADA}"/>
    <cellStyle name="Percent 74 4" xfId="1737" xr:uid="{0C8A4EA6-DC4E-46A2-A531-333965096B7A}"/>
    <cellStyle name="Percent 74 5" xfId="1738" xr:uid="{E9C3041F-8A6D-4620-BFA0-4ECC8EFF3680}"/>
    <cellStyle name="Percent 74 6" xfId="1739" xr:uid="{8FF0ADB2-DEBC-4E4A-BF92-FADAA00C37D2}"/>
    <cellStyle name="Percent 74 7" xfId="1740" xr:uid="{2182A62B-6E9F-4364-B053-5787BA5EB504}"/>
    <cellStyle name="Percent 74 8" xfId="1741" xr:uid="{D6C6C652-59A0-44BE-914B-7EA2508CC9BD}"/>
    <cellStyle name="Percent 74 9" xfId="1742" xr:uid="{89414414-1666-4802-8D61-47837D06259A}"/>
    <cellStyle name="Percent 75" xfId="1743" xr:uid="{482B8FAE-A3F3-4E3E-B0A5-24A2312B7729}"/>
    <cellStyle name="Percent 76" xfId="1744" xr:uid="{65BB1C65-ED25-4965-B1A7-F65E6F0B9F75}"/>
    <cellStyle name="Percent 77" xfId="1745" xr:uid="{2307A44A-AFE2-423B-8EE6-C751E92F834B}"/>
    <cellStyle name="Percent 78" xfId="1746" xr:uid="{99CDD798-A50F-44FD-B383-0A76F195F790}"/>
    <cellStyle name="Percent 79" xfId="1747" xr:uid="{21B0D4F2-0D67-488D-B6CD-E50A239B158D}"/>
    <cellStyle name="Percent 8" xfId="1748" xr:uid="{052F7E29-C531-4DA5-8CC4-2C089D8B5173}"/>
    <cellStyle name="Percent 80" xfId="1749" xr:uid="{F7DA9CC7-04B4-493C-85CD-69E6B0A423EE}"/>
    <cellStyle name="Percent 80 10" xfId="1750" xr:uid="{64C9D4D4-D682-4EC9-972B-20F3800531D0}"/>
    <cellStyle name="Percent 80 11" xfId="1751" xr:uid="{CEEF6F11-8A79-4D10-B963-6CF7F4D40670}"/>
    <cellStyle name="Percent 80 12" xfId="1752" xr:uid="{A0DD02E5-B61A-427D-88AC-1DD2FEF979EE}"/>
    <cellStyle name="Percent 80 13" xfId="1753" xr:uid="{20E5EF9D-85A2-435D-8A12-65155CF43BA0}"/>
    <cellStyle name="Percent 80 14" xfId="1754" xr:uid="{99C07866-9C00-4AB2-B4EA-9F68EC9AC6C9}"/>
    <cellStyle name="Percent 80 15" xfId="1755" xr:uid="{343184D1-FB56-4D55-B902-5EA428559536}"/>
    <cellStyle name="Percent 80 2" xfId="1756" xr:uid="{AB351D31-8DD8-4CFB-8409-F7A422A3A01E}"/>
    <cellStyle name="Percent 80 3" xfId="1757" xr:uid="{6B47FE75-C13D-41CB-95F0-8DABE0814813}"/>
    <cellStyle name="Percent 80 4" xfId="1758" xr:uid="{011F4E97-8AC4-4838-B8D4-71DA8E31BDDA}"/>
    <cellStyle name="Percent 80 5" xfId="1759" xr:uid="{A4E2439D-08CA-4692-9785-3EACEA7C93EF}"/>
    <cellStyle name="Percent 80 6" xfId="1760" xr:uid="{BB003EB7-4C21-4909-8573-D4B9B0E11259}"/>
    <cellStyle name="Percent 80 7" xfId="1761" xr:uid="{6EDC74EC-720C-42A1-8F2A-F68A1056BFF1}"/>
    <cellStyle name="Percent 80 8" xfId="1762" xr:uid="{D0A0F88B-71E6-4892-8496-98BD77BD4BE7}"/>
    <cellStyle name="Percent 80 9" xfId="1763" xr:uid="{E81BE45A-FDDA-49C0-835A-C64624067092}"/>
    <cellStyle name="Percent 81" xfId="1764" xr:uid="{8ED4DBCF-1DCE-488F-8028-9FB00569BDA3}"/>
    <cellStyle name="Percent 81 10" xfId="1765" xr:uid="{FC6337DA-66C4-4956-A749-0783CDA1E0F1}"/>
    <cellStyle name="Percent 81 11" xfId="1766" xr:uid="{CED5574B-8570-4F2F-8443-E2531F1617F3}"/>
    <cellStyle name="Percent 81 12" xfId="1767" xr:uid="{E6EC7042-7192-4C87-B6B2-357719D0263D}"/>
    <cellStyle name="Percent 81 13" xfId="1768" xr:uid="{EB77A09F-237A-446C-A821-4E8B58857B16}"/>
    <cellStyle name="Percent 81 14" xfId="1769" xr:uid="{F978D663-DEF8-482F-B09B-3CDA865537CC}"/>
    <cellStyle name="Percent 81 15" xfId="1770" xr:uid="{A9450A0A-3A2E-4177-AF80-60F60CE78DFA}"/>
    <cellStyle name="Percent 81 2" xfId="1771" xr:uid="{85BDCD21-CE23-4B6C-85FA-962EA1E402A6}"/>
    <cellStyle name="Percent 81 3" xfId="1772" xr:uid="{0217D9D4-45BC-4797-9B0F-E696D7349AF7}"/>
    <cellStyle name="Percent 81 4" xfId="1773" xr:uid="{DA5CE063-829A-4181-BA37-5E0A03270E32}"/>
    <cellStyle name="Percent 81 5" xfId="1774" xr:uid="{F1794ACB-CF14-4809-9E94-4809697D3B3C}"/>
    <cellStyle name="Percent 81 6" xfId="1775" xr:uid="{7033496E-4EF8-4FC1-A1B9-8EC29D7C2D15}"/>
    <cellStyle name="Percent 81 7" xfId="1776" xr:uid="{B0F3E683-D02F-4B8A-8CC5-738BF576F398}"/>
    <cellStyle name="Percent 81 8" xfId="1777" xr:uid="{12DEB60A-49C5-4840-8F10-B2D93B8CDAAC}"/>
    <cellStyle name="Percent 81 9" xfId="1778" xr:uid="{6CE17B82-8E11-4FEB-B635-E74687FF3F84}"/>
    <cellStyle name="Percent 82" xfId="1779" xr:uid="{58837922-949C-4296-A9CE-D62543DA13E8}"/>
    <cellStyle name="Percent 82 10" xfId="1780" xr:uid="{33AB8A24-4E7A-45AB-BE6D-975667DE7F95}"/>
    <cellStyle name="Percent 82 11" xfId="1781" xr:uid="{FDF09F9E-0665-4096-BACC-9D51A7E2DBF2}"/>
    <cellStyle name="Percent 82 12" xfId="1782" xr:uid="{EFF333C1-9773-4BCD-8F2E-F1D6C3A99810}"/>
    <cellStyle name="Percent 82 13" xfId="1783" xr:uid="{1A160E7E-13E2-4EF5-A631-43904D15AF58}"/>
    <cellStyle name="Percent 82 14" xfId="1784" xr:uid="{DF04234D-F3BA-461F-96B1-99B7F0DBF17A}"/>
    <cellStyle name="Percent 82 15" xfId="1785" xr:uid="{4ACCD35E-3822-4AB8-8C3D-538C6EDA46EC}"/>
    <cellStyle name="Percent 82 2" xfId="1786" xr:uid="{F412E54D-FA53-4D92-98EC-5EC488860D65}"/>
    <cellStyle name="Percent 82 3" xfId="1787" xr:uid="{D32D2BC1-51A9-4FF9-A26B-F8E605287A5C}"/>
    <cellStyle name="Percent 82 4" xfId="1788" xr:uid="{CEFE7A58-ADC6-4A1B-8FC0-18C0B10990FC}"/>
    <cellStyle name="Percent 82 5" xfId="1789" xr:uid="{AD6FE8D3-F364-472B-8A44-9B0D9BA87FBC}"/>
    <cellStyle name="Percent 82 6" xfId="1790" xr:uid="{3458113B-0C3F-447F-80D5-B17F84E4E43A}"/>
    <cellStyle name="Percent 82 7" xfId="1791" xr:uid="{591D640B-76FF-42E9-A25D-CB55B1C62617}"/>
    <cellStyle name="Percent 82 8" xfId="1792" xr:uid="{EA5EFC03-B539-48B3-965A-CB118B2629DF}"/>
    <cellStyle name="Percent 82 9" xfId="1793" xr:uid="{6D58436E-F8A0-496C-BC81-14EA3486A9B3}"/>
    <cellStyle name="Percent 83" xfId="1794" xr:uid="{4BB31F13-C7C9-4994-99D2-83C7D714A2B5}"/>
    <cellStyle name="Percent 83 10" xfId="1795" xr:uid="{A39BB77A-EC72-4616-A8F8-A0A96C654684}"/>
    <cellStyle name="Percent 83 11" xfId="1796" xr:uid="{72CBFBFA-222F-43B3-8C29-CF3F24981E4C}"/>
    <cellStyle name="Percent 83 12" xfId="1797" xr:uid="{1E16D914-2915-43F3-8B8F-EDAD95C2BF03}"/>
    <cellStyle name="Percent 83 13" xfId="1798" xr:uid="{70272F4E-1EA4-4A72-93BC-25C5E0AB018B}"/>
    <cellStyle name="Percent 83 14" xfId="1799" xr:uid="{826DA59D-B3A6-401A-84B3-DE61BC87ADF0}"/>
    <cellStyle name="Percent 83 15" xfId="1800" xr:uid="{C9F1296A-2AB4-4FB7-AF16-3721A09EAFA7}"/>
    <cellStyle name="Percent 83 2" xfId="1801" xr:uid="{1347E61E-9925-4E84-A1BC-BF159A8113B8}"/>
    <cellStyle name="Percent 83 3" xfId="1802" xr:uid="{5D28273B-3B5C-4C9C-B545-41FF285DC183}"/>
    <cellStyle name="Percent 83 4" xfId="1803" xr:uid="{A95E056C-06DB-4D3F-AE6B-0A4849C1AE0E}"/>
    <cellStyle name="Percent 83 5" xfId="1804" xr:uid="{32B77E7E-0C95-4AE6-ADE9-61B25152A043}"/>
    <cellStyle name="Percent 83 6" xfId="1805" xr:uid="{D648230D-9DB5-40EE-9EDF-448DB7DC6A57}"/>
    <cellStyle name="Percent 83 7" xfId="1806" xr:uid="{E8AC0764-53E9-461C-905A-E2BEDC48D2D6}"/>
    <cellStyle name="Percent 83 8" xfId="1807" xr:uid="{E59E26CE-761B-488D-A184-FAF937150702}"/>
    <cellStyle name="Percent 83 9" xfId="1808" xr:uid="{2018D07C-A2E5-4435-A1DE-FDF81B217456}"/>
    <cellStyle name="Percent 84" xfId="1809" xr:uid="{8D1DFF01-1DBF-4518-BEC8-8EA97CA62694}"/>
    <cellStyle name="Percent 84 10" xfId="1810" xr:uid="{2546BB38-0D98-442B-BCD8-82E6CC716440}"/>
    <cellStyle name="Percent 84 11" xfId="1811" xr:uid="{6F1DC861-64CB-4457-BC17-ADA932174082}"/>
    <cellStyle name="Percent 84 12" xfId="1812" xr:uid="{E5CDB9F1-5E1C-4A8E-B080-30AD72216569}"/>
    <cellStyle name="Percent 84 13" xfId="1813" xr:uid="{A66D6E4E-D6E6-473D-8F42-F49512CBBF9F}"/>
    <cellStyle name="Percent 84 14" xfId="1814" xr:uid="{7FF994B3-7133-474E-BE77-2171C0B142A6}"/>
    <cellStyle name="Percent 84 15" xfId="1815" xr:uid="{7266FCE6-9FAB-4E5D-83E3-C3E51E8E5785}"/>
    <cellStyle name="Percent 84 2" xfId="1816" xr:uid="{34B2E794-AAC4-4F47-9F6F-B61C582A848C}"/>
    <cellStyle name="Percent 84 3" xfId="1817" xr:uid="{03AA63D2-9EC1-4AE3-8449-E69C7ACD16B5}"/>
    <cellStyle name="Percent 84 4" xfId="1818" xr:uid="{F2300CDB-99FE-4EF2-9548-CE2219DF9157}"/>
    <cellStyle name="Percent 84 5" xfId="1819" xr:uid="{A3F3CB80-B68F-4B11-8EF0-998E7E6D6B96}"/>
    <cellStyle name="Percent 84 6" xfId="1820" xr:uid="{59F5B876-167C-4D39-8529-288A26FA2902}"/>
    <cellStyle name="Percent 84 7" xfId="1821" xr:uid="{32CD063C-3DBA-4733-9881-10D2594AA39F}"/>
    <cellStyle name="Percent 84 8" xfId="1822" xr:uid="{52A9FCE8-CA6F-4404-AD15-06C2B2CA22F1}"/>
    <cellStyle name="Percent 84 9" xfId="1823" xr:uid="{F8407156-E473-48C6-B209-B07DD68A32F6}"/>
    <cellStyle name="Percent 85" xfId="1824" xr:uid="{5CB2842B-10A9-481F-9EA6-4DDF8AE3EF86}"/>
    <cellStyle name="Percent 85 10" xfId="1825" xr:uid="{20EAA5DC-BD61-4555-A592-6FF28AFCFB43}"/>
    <cellStyle name="Percent 85 11" xfId="1826" xr:uid="{034843C0-1972-42D7-A13C-EBB5E8AAC9A6}"/>
    <cellStyle name="Percent 85 12" xfId="1827" xr:uid="{069819CF-7A14-4EA5-A343-8C1665605408}"/>
    <cellStyle name="Percent 85 13" xfId="1828" xr:uid="{E38B3EFC-D762-44A7-A2C8-88DD98E5102C}"/>
    <cellStyle name="Percent 85 14" xfId="1829" xr:uid="{9864498E-55A3-4699-B4D7-58FAEA14D867}"/>
    <cellStyle name="Percent 85 15" xfId="1830" xr:uid="{EEA95586-CED3-4888-8284-20D13E9B637D}"/>
    <cellStyle name="Percent 85 2" xfId="1831" xr:uid="{30198FA7-00A0-4515-9BDC-431EFD12F0B4}"/>
    <cellStyle name="Percent 85 3" xfId="1832" xr:uid="{F70B287D-5C5E-4719-BFB5-EE4C80F5CD57}"/>
    <cellStyle name="Percent 85 4" xfId="1833" xr:uid="{DC887BED-3FF6-4DFC-8C7B-8AEC4339734E}"/>
    <cellStyle name="Percent 85 5" xfId="1834" xr:uid="{74F6DA0A-7162-4086-A617-1BCDB8BC29CE}"/>
    <cellStyle name="Percent 85 6" xfId="1835" xr:uid="{18B3674E-83AA-456B-A97E-43B087CAAE3E}"/>
    <cellStyle name="Percent 85 7" xfId="1836" xr:uid="{DD711BB8-8DA6-462C-95F3-3A8DF8EE5C95}"/>
    <cellStyle name="Percent 85 8" xfId="1837" xr:uid="{86F85143-91E7-4687-BF85-CD5756BBDCF8}"/>
    <cellStyle name="Percent 85 9" xfId="1838" xr:uid="{EE3A0E8C-C97F-42D7-BA1E-8413AC8CB876}"/>
    <cellStyle name="Percent 86" xfId="1839" xr:uid="{D6679591-016F-45E9-9ED3-866ED9457E9E}"/>
    <cellStyle name="Percent 86 10" xfId="1840" xr:uid="{B5FB8948-B5A1-4D84-806E-02394A6A2BA7}"/>
    <cellStyle name="Percent 86 11" xfId="1841" xr:uid="{3AD33213-0C56-472A-BD86-C4441682DFA3}"/>
    <cellStyle name="Percent 86 12" xfId="1842" xr:uid="{3493CD23-B385-46FC-8137-B6AD4F6594F7}"/>
    <cellStyle name="Percent 86 13" xfId="1843" xr:uid="{CF2C8B64-DE2D-4EAE-9193-0403E37064D3}"/>
    <cellStyle name="Percent 86 14" xfId="1844" xr:uid="{FBC34DE7-588C-44C7-8A48-9CDFD2D6C8EB}"/>
    <cellStyle name="Percent 86 15" xfId="1845" xr:uid="{E81C32FC-3D4A-471A-AB69-ADB92B84E931}"/>
    <cellStyle name="Percent 86 2" xfId="1846" xr:uid="{349872CA-C675-4EE3-AD20-E33BD0014B0A}"/>
    <cellStyle name="Percent 86 3" xfId="1847" xr:uid="{39716EA4-8C22-4D1C-AEC5-92DEF70E2CB3}"/>
    <cellStyle name="Percent 86 4" xfId="1848" xr:uid="{9A11ACBA-B928-4C53-95BB-E3D3DB502388}"/>
    <cellStyle name="Percent 86 5" xfId="1849" xr:uid="{CD353320-675D-4A98-9F8E-7A4EBEA2891A}"/>
    <cellStyle name="Percent 86 6" xfId="1850" xr:uid="{87C0D952-9724-4540-956A-076835321EAA}"/>
    <cellStyle name="Percent 86 7" xfId="1851" xr:uid="{BD69C0D0-C915-4F58-B712-DE2EECEF16AD}"/>
    <cellStyle name="Percent 86 8" xfId="1852" xr:uid="{31396E42-97AB-4D5C-8A67-C570A3891949}"/>
    <cellStyle name="Percent 86 9" xfId="1853" xr:uid="{7D8D8E69-CAB7-4B37-8AC7-C40C8ED79E5A}"/>
    <cellStyle name="Percent 87" xfId="1854" xr:uid="{2DADB45F-0515-4B89-AE0F-DB652CB44FEC}"/>
    <cellStyle name="Percent 87 10" xfId="1855" xr:uid="{3DDD30A6-3932-4EED-9121-2AE26372276F}"/>
    <cellStyle name="Percent 87 11" xfId="1856" xr:uid="{4F49FD72-280C-4023-B00E-B901E345D18C}"/>
    <cellStyle name="Percent 87 12" xfId="1857" xr:uid="{DB7687EA-8E2C-4D50-94D7-9A48E596E47E}"/>
    <cellStyle name="Percent 87 13" xfId="1858" xr:uid="{1D6F1241-B961-40FF-B584-C57031734E83}"/>
    <cellStyle name="Percent 87 14" xfId="1859" xr:uid="{1BC91952-171C-4AFA-B394-D63630EE04E3}"/>
    <cellStyle name="Percent 87 15" xfId="1860" xr:uid="{D4EFB9F6-41C5-4BB5-A673-28E5DA440FBA}"/>
    <cellStyle name="Percent 87 2" xfId="1861" xr:uid="{6EA15816-A034-4574-A258-FAD30452A53B}"/>
    <cellStyle name="Percent 87 3" xfId="1862" xr:uid="{2DE683D1-4E09-446E-BF5A-D5788B89FC56}"/>
    <cellStyle name="Percent 87 4" xfId="1863" xr:uid="{B5C17E3F-DF48-4D8F-87DF-AD13793AE901}"/>
    <cellStyle name="Percent 87 5" xfId="1864" xr:uid="{330EF655-6D62-4921-97E9-CDDE9E132E3F}"/>
    <cellStyle name="Percent 87 6" xfId="1865" xr:uid="{8475F724-D054-4D27-B08C-C67A3FE45F7F}"/>
    <cellStyle name="Percent 87 7" xfId="1866" xr:uid="{2242FEB5-BC3E-454F-9B07-2B00241610C6}"/>
    <cellStyle name="Percent 87 8" xfId="1867" xr:uid="{BBD721A7-46CD-4EB6-BF34-E6E06425D9B0}"/>
    <cellStyle name="Percent 87 9" xfId="1868" xr:uid="{FCCE32B2-CA9A-48CD-AC40-3EDC6CCCC459}"/>
    <cellStyle name="Percent 88" xfId="1869" xr:uid="{4F042252-1D8B-46A8-A26B-A2F8E6B6646A}"/>
    <cellStyle name="Percent 88 10" xfId="1870" xr:uid="{B9BF7855-31A2-4573-8216-F766491C9EE1}"/>
    <cellStyle name="Percent 88 11" xfId="1871" xr:uid="{92ED0828-630B-451C-8575-8993EAD7B075}"/>
    <cellStyle name="Percent 88 12" xfId="1872" xr:uid="{D0678214-47C3-4414-8CA8-8A6A90827FF6}"/>
    <cellStyle name="Percent 88 13" xfId="1873" xr:uid="{1A15B803-FE7F-4B5C-AABD-1572F1E637DA}"/>
    <cellStyle name="Percent 88 14" xfId="1874" xr:uid="{70EA0E18-B96F-4E34-9D7C-67129105C33C}"/>
    <cellStyle name="Percent 88 15" xfId="1875" xr:uid="{544185EA-5C88-4733-9F0C-6B4D1A41EB0B}"/>
    <cellStyle name="Percent 88 2" xfId="1876" xr:uid="{3D954F02-6D75-4F2A-BF77-CA73F492D795}"/>
    <cellStyle name="Percent 88 3" xfId="1877" xr:uid="{A69237AB-E1AF-4FCE-B57B-52022E934347}"/>
    <cellStyle name="Percent 88 4" xfId="1878" xr:uid="{B0750961-A7F0-4037-AFEB-DE9D1021B698}"/>
    <cellStyle name="Percent 88 5" xfId="1879" xr:uid="{3EC9D757-450D-486A-93D0-AA293548A9E0}"/>
    <cellStyle name="Percent 88 6" xfId="1880" xr:uid="{F6BB87DD-3F30-4F6C-A688-9FA4BA4BAA80}"/>
    <cellStyle name="Percent 88 7" xfId="1881" xr:uid="{54EF89C6-6604-470E-8F1D-04DDBB436C5E}"/>
    <cellStyle name="Percent 88 8" xfId="1882" xr:uid="{A9F9C198-16EB-4033-8E4C-5378B46E6337}"/>
    <cellStyle name="Percent 88 9" xfId="1883" xr:uid="{88163404-257B-43BA-8FE5-81AE93AA37A5}"/>
    <cellStyle name="Percent 89" xfId="1884" xr:uid="{80F89C24-818B-4415-A398-2F112CC22D27}"/>
    <cellStyle name="Percent 89 10" xfId="1885" xr:uid="{88CF8A3E-84F1-4DCE-AF65-C7B4D554D230}"/>
    <cellStyle name="Percent 89 11" xfId="1886" xr:uid="{CE251344-3266-40E7-A9B4-A1BE81A54223}"/>
    <cellStyle name="Percent 89 12" xfId="1887" xr:uid="{2328CE28-4FD2-4B25-8C69-C2EA7B9C8984}"/>
    <cellStyle name="Percent 89 13" xfId="1888" xr:uid="{116F568B-FD33-4FEE-8AD0-7A69D1FEAB11}"/>
    <cellStyle name="Percent 89 14" xfId="1889" xr:uid="{35C5D0C2-8572-4F74-9D61-E59A7470A17B}"/>
    <cellStyle name="Percent 89 15" xfId="1890" xr:uid="{1BE29EF5-3F22-4BA1-881D-7FE38DBAE2EB}"/>
    <cellStyle name="Percent 89 2" xfId="1891" xr:uid="{22800DA8-BD31-41ED-A720-1C0372224BD9}"/>
    <cellStyle name="Percent 89 3" xfId="1892" xr:uid="{753E8F80-2163-48FF-82EE-DFE3B03C9E18}"/>
    <cellStyle name="Percent 89 4" xfId="1893" xr:uid="{69EB4216-148D-41D9-A700-AA332D69E8F5}"/>
    <cellStyle name="Percent 89 5" xfId="1894" xr:uid="{4897A170-0344-4034-B9C8-137036B5DA6D}"/>
    <cellStyle name="Percent 89 6" xfId="1895" xr:uid="{B25B3CAC-72CA-4576-AD35-6583BB473B99}"/>
    <cellStyle name="Percent 89 7" xfId="1896" xr:uid="{713ABB8A-C2C4-4134-B846-9CFF0F3E2F27}"/>
    <cellStyle name="Percent 89 8" xfId="1897" xr:uid="{4C11FEFB-37A1-4430-B3A4-D0AEF50BE8D5}"/>
    <cellStyle name="Percent 89 9" xfId="1898" xr:uid="{EBDA3C95-B915-495D-975C-F6B446C09AF5}"/>
    <cellStyle name="Percent 9" xfId="1899" xr:uid="{08F1A238-3E62-4F4F-BAE9-9DAE8EA7C357}"/>
    <cellStyle name="Percent 90" xfId="1900" xr:uid="{D7753697-C0B1-4AF6-AEEF-63F425B00B80}"/>
    <cellStyle name="Percent 90 10" xfId="1901" xr:uid="{9F54F973-BC0E-4986-9524-07E52A3E5E48}"/>
    <cellStyle name="Percent 90 11" xfId="1902" xr:uid="{C1E99446-0200-454A-8965-B9C1032D7844}"/>
    <cellStyle name="Percent 90 12" xfId="1903" xr:uid="{D7ECE069-553E-4023-B9F9-7B7794059F41}"/>
    <cellStyle name="Percent 90 13" xfId="1904" xr:uid="{C4946BD5-228C-4345-8A83-097A4D31694F}"/>
    <cellStyle name="Percent 90 14" xfId="1905" xr:uid="{33BC6D1D-31C9-450A-9D0E-FC847B2E2804}"/>
    <cellStyle name="Percent 90 15" xfId="1906" xr:uid="{5A573C61-CE0B-415B-9389-7436CB14EE76}"/>
    <cellStyle name="Percent 90 2" xfId="1907" xr:uid="{21154B05-2480-43DF-AFA1-C15B76B8814F}"/>
    <cellStyle name="Percent 90 3" xfId="1908" xr:uid="{D5596FEE-BECE-4150-BED0-CBCC6CA3D72D}"/>
    <cellStyle name="Percent 90 4" xfId="1909" xr:uid="{14779F8D-5ACF-4E5B-A376-59B04BD624AA}"/>
    <cellStyle name="Percent 90 5" xfId="1910" xr:uid="{6687AB07-BD12-4272-8037-5C4D136F0686}"/>
    <cellStyle name="Percent 90 6" xfId="1911" xr:uid="{C000E40F-1A57-4260-A6F5-35A4718D42DF}"/>
    <cellStyle name="Percent 90 7" xfId="1912" xr:uid="{77006748-2D2B-44FA-87D4-187DB37767D4}"/>
    <cellStyle name="Percent 90 8" xfId="1913" xr:uid="{A3B9BB8B-530F-491A-9D45-62A3701EDB5D}"/>
    <cellStyle name="Percent 90 9" xfId="1914" xr:uid="{087EB7CE-C96E-4270-9CDE-3AB8C9FB7C7F}"/>
    <cellStyle name="Percent 91" xfId="1915" xr:uid="{3B70BE53-8552-4CED-8E3B-4869B4C71C7A}"/>
    <cellStyle name="Percent 91 10" xfId="1916" xr:uid="{5E5498E3-9D4A-487F-B8B0-B34EFD1C979C}"/>
    <cellStyle name="Percent 91 11" xfId="1917" xr:uid="{5D83874C-376A-4336-89D8-C5374312FCD0}"/>
    <cellStyle name="Percent 91 12" xfId="1918" xr:uid="{F908B6D2-5A39-498C-B564-295EF34DA92F}"/>
    <cellStyle name="Percent 91 13" xfId="1919" xr:uid="{196B7DC2-B221-4152-98B2-640DCE8C00AB}"/>
    <cellStyle name="Percent 91 14" xfId="1920" xr:uid="{93D7442A-2DDA-400D-B2EF-1DF7F6F1C47D}"/>
    <cellStyle name="Percent 91 15" xfId="1921" xr:uid="{920139C0-A566-4159-83F1-936DCC190DB8}"/>
    <cellStyle name="Percent 91 2" xfId="1922" xr:uid="{69D2D03D-E681-4170-AB44-77E1165DA6CB}"/>
    <cellStyle name="Percent 91 3" xfId="1923" xr:uid="{F4F2AC4C-19EA-4395-BB43-D870C95EEC89}"/>
    <cellStyle name="Percent 91 4" xfId="1924" xr:uid="{6AD52C5D-FA7E-46D6-8290-1D459B54C579}"/>
    <cellStyle name="Percent 91 5" xfId="1925" xr:uid="{FE440B27-6D6B-4152-AF17-881F29450127}"/>
    <cellStyle name="Percent 91 6" xfId="1926" xr:uid="{287455E5-45DC-4000-8145-2E1807BD8906}"/>
    <cellStyle name="Percent 91 7" xfId="1927" xr:uid="{18DC5548-9194-426F-B48B-97F8B5CE24A4}"/>
    <cellStyle name="Percent 91 8" xfId="1928" xr:uid="{0DBF5FE0-49DB-49A8-8069-D0D4569AB6F8}"/>
    <cellStyle name="Percent 91 9" xfId="1929" xr:uid="{5E0F5103-C4CE-4C5D-9AA3-E13FEC5503D9}"/>
    <cellStyle name="Percent 92" xfId="1930" xr:uid="{E3A94F54-ACCB-4FBF-B061-5A2BAB5BE94B}"/>
    <cellStyle name="Percent 92 10" xfId="1931" xr:uid="{013F0C2C-C45F-4FDD-A520-C6300B361580}"/>
    <cellStyle name="Percent 92 11" xfId="1932" xr:uid="{F0D78093-2921-4E48-97B0-AAF5418D9FAD}"/>
    <cellStyle name="Percent 92 12" xfId="1933" xr:uid="{A5CDCD53-CCE5-4871-86A1-ED758F1A7820}"/>
    <cellStyle name="Percent 92 13" xfId="1934" xr:uid="{EC3DFDF6-5C30-4C12-9DC2-071B4AC83B13}"/>
    <cellStyle name="Percent 92 14" xfId="1935" xr:uid="{F1FCB31D-8CA0-4947-8BB1-02AC3C81E06D}"/>
    <cellStyle name="Percent 92 15" xfId="1936" xr:uid="{21A8B359-6757-43FA-A135-F85CF8D13644}"/>
    <cellStyle name="Percent 92 2" xfId="1937" xr:uid="{ECEC5883-41A4-4D3E-9C03-3FFE61C3FBE3}"/>
    <cellStyle name="Percent 92 3" xfId="1938" xr:uid="{59901EE9-6708-4E6B-81DB-3B60F7AAFE0B}"/>
    <cellStyle name="Percent 92 4" xfId="1939" xr:uid="{6DE0A8E7-B58D-4A69-AE03-154C0FD3AFE3}"/>
    <cellStyle name="Percent 92 5" xfId="1940" xr:uid="{81858C53-1D2B-46AA-A3EE-7B8905C19E56}"/>
    <cellStyle name="Percent 92 6" xfId="1941" xr:uid="{5C909429-08AF-4FA4-94E8-8F8DB2FA0E97}"/>
    <cellStyle name="Percent 92 7" xfId="1942" xr:uid="{B2B1D51B-E001-4A9F-B613-2961A8D97744}"/>
    <cellStyle name="Percent 92 8" xfId="1943" xr:uid="{658D509D-CD9A-464B-9FA4-0C19D04A982A}"/>
    <cellStyle name="Percent 92 9" xfId="1944" xr:uid="{FDC4A809-21F2-4F4F-96F3-D4BC2E2B2AB5}"/>
    <cellStyle name="Percent 93" xfId="1945" xr:uid="{2AABFA49-62B2-4BFB-914E-528CB5EA7AB0}"/>
    <cellStyle name="Percent 94" xfId="1946" xr:uid="{9F6D6A85-C965-482B-8BC3-30D572D27806}"/>
    <cellStyle name="Percent 95" xfId="1947" xr:uid="{9F0965D4-2C29-4AFC-B797-CCBA34F89BCC}"/>
    <cellStyle name="Percent 96" xfId="1948" xr:uid="{ACB67101-CDDF-4130-ACEE-747750CFF78B}"/>
    <cellStyle name="Percent 97" xfId="1949" xr:uid="{07945AA7-22E3-4035-AE82-B1220E5F4BD7}"/>
    <cellStyle name="Percent 98" xfId="1950" xr:uid="{AC35EB57-241B-43D9-A0DB-3BE430EAE98D}"/>
    <cellStyle name="Percent 99" xfId="1598" xr:uid="{95A9EE0F-AB73-4926-AC28-D6B642DF6421}"/>
    <cellStyle name="RevList" xfId="1951" xr:uid="{60DB58D2-4FA4-4F22-8DEB-1E65563A56F3}"/>
    <cellStyle name="Sheet Title" xfId="1952" xr:uid="{432E6A13-EC15-41C5-AC0E-69122D4B3CF3}"/>
    <cellStyle name="Style 1" xfId="1953" xr:uid="{81D3FF36-3F85-452C-924E-CA22FA6D2ED3}"/>
    <cellStyle name="Style 1 2" xfId="1954" xr:uid="{712AFE51-BFBC-4B0F-A615-FDC4C3CF39FB}"/>
    <cellStyle name="Style 1 3" xfId="1955" xr:uid="{D4F3C763-BDB7-48FB-9983-32E968C94784}"/>
    <cellStyle name="Style 1 4" xfId="1956" xr:uid="{F99A57C0-5F42-41F5-B6FB-96DBFA5C3A7D}"/>
    <cellStyle name="Style 1 5" xfId="1957" xr:uid="{B073F5E0-9E73-4BEF-BC72-53B227AD7535}"/>
    <cellStyle name="Style 1 6" xfId="1958" xr:uid="{84191C25-493A-4E9C-804E-8FB3545FE27E}"/>
    <cellStyle name="Style 1_Consolidated depreaciation fy 11-12" xfId="1959" xr:uid="{B0F24E84-4A72-428E-AD29-3C9E6875446F}"/>
    <cellStyle name="Style 2" xfId="1960" xr:uid="{ADC47A69-76A9-43DC-BD70-B592F650A2A9}"/>
    <cellStyle name="Style 2 2" xfId="1961" xr:uid="{093F9776-18A8-4EA0-A8BD-9DF56D709148}"/>
    <cellStyle name="Subtotal" xfId="1962" xr:uid="{DB955EF6-660C-408E-936C-57D1D39A1BF2}"/>
    <cellStyle name="Tickmark" xfId="1963" xr:uid="{ED5D5501-59E5-4A34-8642-41A04CA67150}"/>
    <cellStyle name="Title 2" xfId="1965" xr:uid="{50F4F93E-6075-4994-9EEB-2894E4A5B42E}"/>
    <cellStyle name="Title 2 10" xfId="1966" xr:uid="{33540695-4EDC-4FA0-83E2-A04B493C3EEB}"/>
    <cellStyle name="Title 2 11" xfId="1967" xr:uid="{3874A099-492B-4839-99DA-33F4FAC66CCC}"/>
    <cellStyle name="Title 2 12" xfId="1968" xr:uid="{BF579F6A-4BE3-47F5-968E-F93BF87C61D4}"/>
    <cellStyle name="Title 2 13" xfId="1969" xr:uid="{C7E494F1-FD5A-4CBC-AC79-706C984A0900}"/>
    <cellStyle name="Title 2 14" xfId="1970" xr:uid="{27C521D1-A380-4922-8440-F9403ACDAD03}"/>
    <cellStyle name="Title 2 15" xfId="1971" xr:uid="{2EE45E67-EBF0-4DF1-BE52-227EF6828953}"/>
    <cellStyle name="Title 2 2" xfId="1972" xr:uid="{C7973BF5-1FF3-4736-80BB-322CDD760675}"/>
    <cellStyle name="Title 2 3" xfId="1973" xr:uid="{D0AA124C-A5F8-4482-AF18-EC3AD1FB5F36}"/>
    <cellStyle name="Title 2 4" xfId="1974" xr:uid="{BF3CFEA6-FA47-46CA-84DD-3D6E91E34121}"/>
    <cellStyle name="Title 2 5" xfId="1975" xr:uid="{CCC86C33-F984-4ED7-99DF-F19446CB333A}"/>
    <cellStyle name="Title 2 6" xfId="1976" xr:uid="{1AFD8D29-344C-4D2C-82EF-7DAECA5B1BEE}"/>
    <cellStyle name="Title 2 7" xfId="1977" xr:uid="{4FC170F8-61B8-49AC-9ACE-29E2E49931B6}"/>
    <cellStyle name="Title 2 8" xfId="1978" xr:uid="{B1342400-1B32-4BF0-82C6-8A272CC4D91F}"/>
    <cellStyle name="Title 2 9" xfId="1979" xr:uid="{65CE29EE-BC44-4FBC-BFF5-93951DF5F0E2}"/>
    <cellStyle name="Title 3" xfId="1980" xr:uid="{229AB51A-AC97-4E3C-B096-961A8B0DE434}"/>
    <cellStyle name="Title 3 2" xfId="1981" xr:uid="{46158434-22BD-4D05-B3E7-9F229481154F}"/>
    <cellStyle name="Title 4" xfId="1982" xr:uid="{957D9E49-485E-4080-A2B2-558702037328}"/>
    <cellStyle name="Title 5" xfId="1964" xr:uid="{60386187-3FB5-4255-AFE7-1B55FA24BB62}"/>
    <cellStyle name="Total 2" xfId="1984" xr:uid="{0CE4B255-6FEF-4035-BBAE-BDC5B2910B55}"/>
    <cellStyle name="Total 2 10" xfId="1985" xr:uid="{070C64A5-CC51-4A61-88DE-CB2BBCC26C39}"/>
    <cellStyle name="Total 2 11" xfId="1986" xr:uid="{2CB6466B-2E5E-466C-9F23-070178B07CDE}"/>
    <cellStyle name="Total 2 12" xfId="1987" xr:uid="{2E601BA6-CF3A-41C3-BCAC-D17A663416F1}"/>
    <cellStyle name="Total 2 13" xfId="1988" xr:uid="{7F0F23C0-BE8A-4BA2-807F-08793AF8A8FA}"/>
    <cellStyle name="Total 2 14" xfId="1989" xr:uid="{5F092FE7-0EAB-4FE3-B558-1C2D5D2C2266}"/>
    <cellStyle name="Total 2 15" xfId="1990" xr:uid="{072E5FCE-ACE5-4858-84EF-73A8713B65BC}"/>
    <cellStyle name="Total 2 2" xfId="1991" xr:uid="{93A18D5B-B973-4B12-871B-C70BCDF0C303}"/>
    <cellStyle name="Total 2 3" xfId="1992" xr:uid="{809DDE66-1ACB-4250-9A50-2E8DEC404FE2}"/>
    <cellStyle name="Total 2 4" xfId="1993" xr:uid="{E83CB7E6-3C18-4AA8-B2E5-C26FE98FA7CC}"/>
    <cellStyle name="Total 2 5" xfId="1994" xr:uid="{E5908656-9465-4B84-88B9-0EB1A52E5C53}"/>
    <cellStyle name="Total 2 6" xfId="1995" xr:uid="{85CA45C0-DDEB-4A73-9E78-472B717B5880}"/>
    <cellStyle name="Total 2 7" xfId="1996" xr:uid="{1339A174-3D18-439E-A8B9-8879CD5FA1B3}"/>
    <cellStyle name="Total 2 8" xfId="1997" xr:uid="{FB1B1BD9-8CBF-4F2B-9DC4-96659551161B}"/>
    <cellStyle name="Total 2 9" xfId="1998" xr:uid="{A59C8CF4-63F5-41AE-B272-E1E0255399B1}"/>
    <cellStyle name="Total 3" xfId="1999" xr:uid="{D019E799-F298-4CB7-94DE-6746FB827396}"/>
    <cellStyle name="Total 3 2" xfId="2000" xr:uid="{F96158C1-40B6-4DA0-9AF3-46DD31F825DE}"/>
    <cellStyle name="Total 4" xfId="2001" xr:uid="{B72B90AC-A5B8-4AEA-BE20-0F71D65F5438}"/>
    <cellStyle name="Total 5" xfId="1983" xr:uid="{C80125ED-035C-4BC7-87C5-9EFA548EA61E}"/>
    <cellStyle name="Warning Text 2" xfId="2003" xr:uid="{5AA78912-9C51-4EB2-BF46-ACF9E87205C6}"/>
    <cellStyle name="Warning Text 2 10" xfId="2004" xr:uid="{1040CCA4-91FB-473A-9737-47A44C2F54B9}"/>
    <cellStyle name="Warning Text 2 11" xfId="2005" xr:uid="{3BC029BE-7E00-46B9-BCB2-877954907BCE}"/>
    <cellStyle name="Warning Text 2 12" xfId="2006" xr:uid="{F1BF1B7F-FBE1-4C33-9474-3594E0671698}"/>
    <cellStyle name="Warning Text 2 13" xfId="2007" xr:uid="{96FC72E0-C905-432A-86CF-3AA839D092C7}"/>
    <cellStyle name="Warning Text 2 14" xfId="2008" xr:uid="{E3EA8391-9D33-423A-A6A3-C9E35009D9D2}"/>
    <cellStyle name="Warning Text 2 15" xfId="2009" xr:uid="{AFC38708-A7F7-418C-B904-22C7E07E9FA5}"/>
    <cellStyle name="Warning Text 2 2" xfId="2010" xr:uid="{BC65A78B-A7C1-4830-B1C4-8BCBB796AE53}"/>
    <cellStyle name="Warning Text 2 3" xfId="2011" xr:uid="{52088F87-B9C0-4593-92E2-E37F59707721}"/>
    <cellStyle name="Warning Text 2 4" xfId="2012" xr:uid="{D91E5A9B-C017-46A4-9401-19D0C387E923}"/>
    <cellStyle name="Warning Text 2 5" xfId="2013" xr:uid="{94BBA263-1EAF-475A-AA3B-CC1732BAD379}"/>
    <cellStyle name="Warning Text 2 6" xfId="2014" xr:uid="{76CC1476-7A0B-40B7-8DFD-3E582ADA1335}"/>
    <cellStyle name="Warning Text 2 7" xfId="2015" xr:uid="{E60A04B7-D998-4CA2-8634-EF47733D6396}"/>
    <cellStyle name="Warning Text 2 8" xfId="2016" xr:uid="{E3A8A319-9AE7-4378-A8A6-CF7D9FEF2AEC}"/>
    <cellStyle name="Warning Text 2 9" xfId="2017" xr:uid="{354E553D-3BEF-4441-B5E0-1E125E13DD08}"/>
    <cellStyle name="Warning Text 3" xfId="2018" xr:uid="{CEBB22C4-34B9-4336-B74E-678B83B25D07}"/>
    <cellStyle name="Warning Text 4" xfId="2019" xr:uid="{4C2D2884-24E9-4B0A-8268-D7B05E9B9CD7}"/>
    <cellStyle name="Warning Text 5" xfId="2002" xr:uid="{428CBBAE-5148-48FF-9B00-77FFA9ABD291}"/>
    <cellStyle name="標準_Sheet1" xfId="2020" xr:uid="{E0A9B71D-12B2-4563-A8E5-E18085B5097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143632</xdr:colOff>
      <xdr:row>15</xdr:row>
      <xdr:rowOff>164392</xdr:rowOff>
    </xdr:from>
    <xdr:to>
      <xdr:col>10</xdr:col>
      <xdr:colOff>143632</xdr:colOff>
      <xdr:row>1048576</xdr:row>
      <xdr:rowOff>170325</xdr:rowOff>
    </xdr:to>
    <xdr:pic>
      <xdr:nvPicPr>
        <xdr:cNvPr id="2" name="Picture 1" descr="Image result for pareto capital">
          <a:extLst>
            <a:ext uri="{FF2B5EF4-FFF2-40B4-BE49-F238E27FC236}">
              <a16:creationId xmlns:a16="http://schemas.microsoft.com/office/drawing/2014/main" id="{9DA8E91F-4EE6-4DB1-B34A-74FC7EFEE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1352" y="2804160"/>
          <a:ext cx="0" cy="17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172469</xdr:colOff>
      <xdr:row>15</xdr:row>
      <xdr:rowOff>141111</xdr:rowOff>
    </xdr:from>
    <xdr:to>
      <xdr:col>10</xdr:col>
      <xdr:colOff>172469</xdr:colOff>
      <xdr:row>1048576</xdr:row>
      <xdr:rowOff>165713</xdr:rowOff>
    </xdr:to>
    <xdr:pic>
      <xdr:nvPicPr>
        <xdr:cNvPr id="3" name="Picture 2" descr="Image result for pareto capital">
          <a:extLst>
            <a:ext uri="{FF2B5EF4-FFF2-40B4-BE49-F238E27FC236}">
              <a16:creationId xmlns:a16="http://schemas.microsoft.com/office/drawing/2014/main" id="{A4356547-29F1-4451-A29C-0EB22D0C1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0189" y="2804160"/>
          <a:ext cx="0" cy="16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78395</xdr:colOff>
      <xdr:row>3</xdr:row>
      <xdr:rowOff>70555</xdr:rowOff>
    </xdr:from>
    <xdr:to>
      <xdr:col>7</xdr:col>
      <xdr:colOff>78395</xdr:colOff>
      <xdr:row>7</xdr:row>
      <xdr:rowOff>57206</xdr:rowOff>
    </xdr:to>
    <xdr:pic>
      <xdr:nvPicPr>
        <xdr:cNvPr id="4" name="Picture 3" descr="A picture containing drawing&#10;&#10;Description automatically generated">
          <a:extLst>
            <a:ext uri="{FF2B5EF4-FFF2-40B4-BE49-F238E27FC236}">
              <a16:creationId xmlns:a16="http://schemas.microsoft.com/office/drawing/2014/main" id="{711A62DF-AE94-49CE-ADBF-EAC7F58A8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3075" y="619195"/>
          <a:ext cx="0" cy="718171"/>
        </a:xfrm>
        <a:prstGeom prst="rect">
          <a:avLst/>
        </a:prstGeom>
      </xdr:spPr>
    </xdr:pic>
    <xdr:clientData/>
  </xdr:twoCellAnchor>
  <xdr:twoCellAnchor editAs="oneCell">
    <xdr:from>
      <xdr:col>10</xdr:col>
      <xdr:colOff>27987</xdr:colOff>
      <xdr:row>15</xdr:row>
      <xdr:rowOff>75338</xdr:rowOff>
    </xdr:from>
    <xdr:to>
      <xdr:col>10</xdr:col>
      <xdr:colOff>27987</xdr:colOff>
      <xdr:row>1048576</xdr:row>
      <xdr:rowOff>167939</xdr:rowOff>
    </xdr:to>
    <xdr:pic>
      <xdr:nvPicPr>
        <xdr:cNvPr id="5" name="Picture 4" descr="Image result for pareto capital">
          <a:extLst>
            <a:ext uri="{FF2B5EF4-FFF2-40B4-BE49-F238E27FC236}">
              <a16:creationId xmlns:a16="http://schemas.microsoft.com/office/drawing/2014/main" id="{D812860E-9080-4519-9A7B-B64631788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5707" y="2804160"/>
          <a:ext cx="0" cy="16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342900</xdr:colOff>
      <xdr:row>3</xdr:row>
      <xdr:rowOff>95250</xdr:rowOff>
    </xdr:from>
    <xdr:to>
      <xdr:col>5</xdr:col>
      <xdr:colOff>342900</xdr:colOff>
      <xdr:row>7</xdr:row>
      <xdr:rowOff>66536</xdr:rowOff>
    </xdr:to>
    <xdr:pic>
      <xdr:nvPicPr>
        <xdr:cNvPr id="6" name="Picture 5" descr="A picture containing drawing&#10;&#10;Description automatically generated">
          <a:extLst>
            <a:ext uri="{FF2B5EF4-FFF2-40B4-BE49-F238E27FC236}">
              <a16:creationId xmlns:a16="http://schemas.microsoft.com/office/drawing/2014/main" id="{339D1170-0F6A-4635-A0B2-A38E21116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220" y="643890"/>
          <a:ext cx="0" cy="702806"/>
        </a:xfrm>
        <a:prstGeom prst="rect">
          <a:avLst/>
        </a:prstGeom>
      </xdr:spPr>
    </xdr:pic>
    <xdr:clientData/>
  </xdr:twoCellAnchor>
  <xdr:twoCellAnchor editAs="oneCell">
    <xdr:from>
      <xdr:col>9</xdr:col>
      <xdr:colOff>491537</xdr:colOff>
      <xdr:row>15</xdr:row>
      <xdr:rowOff>37238</xdr:rowOff>
    </xdr:from>
    <xdr:to>
      <xdr:col>9</xdr:col>
      <xdr:colOff>483917</xdr:colOff>
      <xdr:row>1048576</xdr:row>
      <xdr:rowOff>165175</xdr:rowOff>
    </xdr:to>
    <xdr:pic>
      <xdr:nvPicPr>
        <xdr:cNvPr id="7" name="Picture 6" descr="Image result for pareto capital">
          <a:extLst>
            <a:ext uri="{FF2B5EF4-FFF2-40B4-BE49-F238E27FC236}">
              <a16:creationId xmlns:a16="http://schemas.microsoft.com/office/drawing/2014/main" id="{C2CB7864-8322-4CEF-BA9A-26C0565D8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57" y="2804160"/>
          <a:ext cx="0" cy="165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130736</xdr:colOff>
      <xdr:row>2</xdr:row>
      <xdr:rowOff>31128</xdr:rowOff>
    </xdr:from>
    <xdr:to>
      <xdr:col>11</xdr:col>
      <xdr:colOff>305420</xdr:colOff>
      <xdr:row>8</xdr:row>
      <xdr:rowOff>3670</xdr:rowOff>
    </xdr:to>
    <xdr:pic>
      <xdr:nvPicPr>
        <xdr:cNvPr id="9" name="Picture 8" descr="Rings &amp; I Logo">
          <a:extLst>
            <a:ext uri="{FF2B5EF4-FFF2-40B4-BE49-F238E27FC236}">
              <a16:creationId xmlns:a16="http://schemas.microsoft.com/office/drawing/2014/main" id="{15C63C49-7567-4185-8F3D-3918E8CF2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22" y="404657"/>
          <a:ext cx="3660959" cy="1093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Brahmanand%20Data/Atmos%20Data/FY%202024-25/MIS%20Report/6.%20September%202024/QuickShift%20Monthly%20Projections_2024.10.18.xlsx" TargetMode="External"/><Relationship Id="rId2" Type="http://schemas.openxmlformats.org/officeDocument/2006/relationships/externalLinkPath" Target="https://avallp-my.sharepoint.com/C:/Atmos%20Data/FY%202024-25/MIS%20Report/6.%20September%202024/QuickShift%20Monthly%20Projections_2024.10.18.xlsx" TargetMode="External"/><Relationship Id="rId1" Type="http://schemas.openxmlformats.org/officeDocument/2006/relationships/externalLinkPath" Target="/Brahmanand%20Data/Atmos%20Data/FY%202024-25/MIS%20Report/6.%20September%202024/QuickShift%20Monthly%20Projections_2024.10.1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:/C:/Users/Lenovo/Desktop/QuickShift/MIS%20-%20WH-Wise/Quickshift_MIS_WH-Wise_2020.08.22.xlsx" TargetMode="External"/><Relationship Id="rId1" Type="http://schemas.openxmlformats.org/officeDocument/2006/relationships/externalLinkPath" Target="/C:/C:/Users/Lenovo/Desktop/QuickShift/MIS%20-%20WH-Wise/Quickshift_MIS_WH-Wise_2020.08.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Fund Req"/>
      <sheetName val="Annual FS ---&gt;&gt;&gt;"/>
      <sheetName val="PL"/>
      <sheetName val="BS"/>
      <sheetName val="CFS"/>
      <sheetName val="Quarterly Figures ---&gt;&gt;&gt;"/>
      <sheetName val="P&amp;L"/>
      <sheetName val="Revenue"/>
      <sheetName val="Expenses"/>
      <sheetName val="Monthly FS ---&gt;&gt;&gt;"/>
      <sheetName val="P&amp;L (M)"/>
      <sheetName val="BS (M)"/>
      <sheetName val="CFS (M)"/>
      <sheetName val="Sheet1"/>
      <sheetName val="Monthly Figures ---&gt;&gt;&gt;"/>
      <sheetName val="Revenue (M)"/>
      <sheetName val="Expenses (M)"/>
      <sheetName val="Schedules ---&gt;&gt;&gt;"/>
      <sheetName val="WC"/>
      <sheetName val="Dep"/>
      <sheetName val="Tax"/>
      <sheetName val="WH &amp; CAPEX"/>
      <sheetName val="Equipment Rental"/>
      <sheetName val="Debt"/>
      <sheetName val="Monthly Schedules ---&gt;&gt;&gt;"/>
      <sheetName val="WC (M)"/>
      <sheetName val="Non-Curr Assets (M)"/>
      <sheetName val="Depreciation"/>
      <sheetName val="FC &amp; CAPEX (Monthly)"/>
      <sheetName val="Debt (M)"/>
      <sheetName val="Assumptions ---&gt;&gt;&gt;"/>
      <sheetName val="Annual"/>
      <sheetName val="Monthly Assumptions --&gt;&gt;"/>
      <sheetName val="Assum_Revenue Ramp-up (M)"/>
      <sheetName val="Assum_Revenue (M)"/>
      <sheetName val="Assum_Leads (M)"/>
      <sheetName val="Assum_Employees (M)"/>
      <sheetName val="Assum_Expenses (M)"/>
      <sheetName val="Assum_Revenue"/>
      <sheetName val="Assum_Revenue Ramp-up"/>
      <sheetName val="Assum_Employees"/>
      <sheetName val="Assum_Leads"/>
      <sheetName val="Assum_Expen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7">
          <cell r="C17" t="str">
            <v>INR</v>
          </cell>
          <cell r="E17">
            <v>1</v>
          </cell>
        </row>
        <row r="25">
          <cell r="C25" t="str">
            <v>Mn</v>
          </cell>
          <cell r="E25">
            <v>1000000</v>
          </cell>
        </row>
      </sheetData>
      <sheetData sheetId="33"/>
      <sheetData sheetId="34"/>
      <sheetData sheetId="35">
        <row r="8">
          <cell r="F8">
            <v>45412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nthly Bifurcation"/>
      <sheetName val="Cover Page"/>
      <sheetName val="Index"/>
      <sheetName val="Consolidated MIS"/>
      <sheetName val="KPIs"/>
      <sheetName val="Geography-wise Snapshot"/>
      <sheetName val="Capital Infusion"/>
      <sheetName val="WH Area Summary"/>
      <sheetName val="Valuation Summary"/>
      <sheetName val="Employee Salary Breakup"/>
      <sheetName val="WH-Wise MIS --&gt;"/>
      <sheetName val="Pune"/>
      <sheetName val="Mumbai"/>
      <sheetName val="Delhi"/>
      <sheetName val="Bangalore"/>
      <sheetName val="Projections --&gt;"/>
      <sheetName val="Margin &amp; Revenue Summary"/>
      <sheetName val="Quarterly Performance"/>
      <sheetName val="Client Summary"/>
      <sheetName val="WH Requirement &amp; Rental"/>
      <sheetName val="Capex Bifur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>
        <row r="4">
          <cell r="B4" t="str">
            <v>Particulars</v>
          </cell>
          <cell r="C4">
            <v>43556</v>
          </cell>
          <cell r="D4">
            <v>43616</v>
          </cell>
          <cell r="E4">
            <v>43646</v>
          </cell>
          <cell r="F4">
            <v>43677</v>
          </cell>
          <cell r="G4">
            <v>43708</v>
          </cell>
          <cell r="H4">
            <v>43738</v>
          </cell>
          <cell r="I4">
            <v>43769</v>
          </cell>
          <cell r="J4">
            <v>43799</v>
          </cell>
          <cell r="K4">
            <v>43830</v>
          </cell>
          <cell r="L4">
            <v>43861</v>
          </cell>
          <cell r="M4">
            <v>43890</v>
          </cell>
          <cell r="N4">
            <v>43921</v>
          </cell>
          <cell r="O4" t="str">
            <v>FY-20</v>
          </cell>
          <cell r="P4">
            <v>43951</v>
          </cell>
          <cell r="Q4">
            <v>43982</v>
          </cell>
          <cell r="R4">
            <v>44012</v>
          </cell>
          <cell r="S4">
            <v>44043</v>
          </cell>
        </row>
        <row r="5">
          <cell r="B5" t="str">
            <v>Total Area Used (in sq. ft.)</v>
          </cell>
          <cell r="C5">
            <v>5722</v>
          </cell>
          <cell r="D5">
            <v>5922</v>
          </cell>
          <cell r="E5">
            <v>3822</v>
          </cell>
          <cell r="F5">
            <v>4322</v>
          </cell>
          <cell r="G5">
            <v>6222</v>
          </cell>
          <cell r="H5">
            <v>6422</v>
          </cell>
          <cell r="I5">
            <v>6572</v>
          </cell>
          <cell r="J5">
            <v>6672</v>
          </cell>
          <cell r="K5">
            <v>5805</v>
          </cell>
          <cell r="L5">
            <v>5805</v>
          </cell>
          <cell r="M5">
            <v>5855</v>
          </cell>
          <cell r="N5">
            <v>4455</v>
          </cell>
          <cell r="O5">
            <v>5633</v>
          </cell>
          <cell r="P5">
            <v>4455</v>
          </cell>
          <cell r="Q5">
            <v>5555</v>
          </cell>
          <cell r="R5">
            <v>5755</v>
          </cell>
          <cell r="S5">
            <v>5900</v>
          </cell>
        </row>
        <row r="6">
          <cell r="B6" t="str">
            <v>Clients Handled</v>
          </cell>
          <cell r="C6">
            <v>17</v>
          </cell>
          <cell r="D6">
            <v>19</v>
          </cell>
          <cell r="E6">
            <v>17</v>
          </cell>
          <cell r="F6">
            <v>20</v>
          </cell>
          <cell r="G6">
            <v>19</v>
          </cell>
          <cell r="H6">
            <v>18</v>
          </cell>
          <cell r="I6">
            <v>17</v>
          </cell>
          <cell r="J6">
            <v>17</v>
          </cell>
          <cell r="K6">
            <v>14</v>
          </cell>
          <cell r="L6">
            <v>11</v>
          </cell>
          <cell r="M6">
            <v>12</v>
          </cell>
          <cell r="N6">
            <v>10</v>
          </cell>
          <cell r="O6">
            <v>15.916666666666668</v>
          </cell>
          <cell r="P6">
            <v>11</v>
          </cell>
          <cell r="Q6">
            <v>14</v>
          </cell>
          <cell r="R6">
            <v>18</v>
          </cell>
          <cell r="S6">
            <v>14</v>
          </cell>
        </row>
        <row r="7">
          <cell r="B7" t="str">
            <v>Fleet Management</v>
          </cell>
          <cell r="C7">
            <v>11</v>
          </cell>
          <cell r="D7">
            <v>12</v>
          </cell>
          <cell r="E7">
            <v>10</v>
          </cell>
          <cell r="F7">
            <v>12</v>
          </cell>
          <cell r="G7">
            <v>10</v>
          </cell>
          <cell r="H7">
            <v>9</v>
          </cell>
          <cell r="I7">
            <v>8</v>
          </cell>
          <cell r="J7">
            <v>7</v>
          </cell>
          <cell r="K7">
            <v>6</v>
          </cell>
          <cell r="L7">
            <v>6</v>
          </cell>
          <cell r="M7">
            <v>6</v>
          </cell>
          <cell r="N7">
            <v>5</v>
          </cell>
          <cell r="O7">
            <v>8.5</v>
          </cell>
          <cell r="P7">
            <v>5</v>
          </cell>
          <cell r="Q7">
            <v>5</v>
          </cell>
          <cell r="R7">
            <v>8</v>
          </cell>
          <cell r="S7">
            <v>5</v>
          </cell>
        </row>
        <row r="8">
          <cell r="B8" t="str">
            <v>Storage &amp; Fulfillment</v>
          </cell>
          <cell r="C8">
            <v>6</v>
          </cell>
          <cell r="D8">
            <v>7</v>
          </cell>
          <cell r="E8">
            <v>7</v>
          </cell>
          <cell r="F8">
            <v>8</v>
          </cell>
          <cell r="G8">
            <v>9</v>
          </cell>
          <cell r="H8">
            <v>9</v>
          </cell>
          <cell r="I8">
            <v>9</v>
          </cell>
          <cell r="J8">
            <v>10</v>
          </cell>
          <cell r="K8">
            <v>8</v>
          </cell>
          <cell r="L8">
            <v>5</v>
          </cell>
          <cell r="M8">
            <v>6</v>
          </cell>
          <cell r="N8">
            <v>5</v>
          </cell>
          <cell r="O8">
            <v>7.416666666666667</v>
          </cell>
          <cell r="P8">
            <v>6</v>
          </cell>
          <cell r="Q8">
            <v>9</v>
          </cell>
          <cell r="R8">
            <v>10</v>
          </cell>
          <cell r="S8">
            <v>9</v>
          </cell>
        </row>
        <row r="9">
          <cell r="B9" t="str">
            <v>Total Monthly Inward</v>
          </cell>
          <cell r="C9">
            <v>0</v>
          </cell>
          <cell r="D9">
            <v>0</v>
          </cell>
          <cell r="E9">
            <v>0</v>
          </cell>
          <cell r="F9">
            <v>2316</v>
          </cell>
          <cell r="G9">
            <v>2499</v>
          </cell>
          <cell r="H9">
            <v>2740</v>
          </cell>
          <cell r="I9">
            <v>3476</v>
          </cell>
          <cell r="J9">
            <v>4107</v>
          </cell>
          <cell r="K9">
            <v>4651</v>
          </cell>
          <cell r="L9">
            <v>3575</v>
          </cell>
          <cell r="M9">
            <v>4716</v>
          </cell>
          <cell r="N9">
            <v>0</v>
          </cell>
          <cell r="O9">
            <v>3510</v>
          </cell>
          <cell r="P9">
            <v>1684</v>
          </cell>
          <cell r="Q9">
            <v>12271</v>
          </cell>
          <cell r="R9">
            <v>7578</v>
          </cell>
          <cell r="S9">
            <v>32525</v>
          </cell>
        </row>
        <row r="10">
          <cell r="B10" t="str">
            <v>Total Monthly Outward</v>
          </cell>
          <cell r="C10">
            <v>0</v>
          </cell>
          <cell r="D10">
            <v>0</v>
          </cell>
          <cell r="E10">
            <v>0</v>
          </cell>
          <cell r="F10">
            <v>2316</v>
          </cell>
          <cell r="G10">
            <v>2499</v>
          </cell>
          <cell r="H10">
            <v>2740</v>
          </cell>
          <cell r="I10">
            <v>3476</v>
          </cell>
          <cell r="J10">
            <v>4107</v>
          </cell>
          <cell r="K10">
            <v>4651</v>
          </cell>
          <cell r="L10">
            <v>3575</v>
          </cell>
          <cell r="M10">
            <v>4689</v>
          </cell>
          <cell r="N10">
            <v>3</v>
          </cell>
          <cell r="O10">
            <v>3117.3333333333335</v>
          </cell>
          <cell r="P10">
            <v>268</v>
          </cell>
          <cell r="Q10">
            <v>11759</v>
          </cell>
          <cell r="R10">
            <v>19401</v>
          </cell>
          <cell r="S10">
            <v>4473</v>
          </cell>
        </row>
        <row r="11">
          <cell r="B11" t="str">
            <v>Total Orders Handled</v>
          </cell>
          <cell r="C11">
            <v>0</v>
          </cell>
          <cell r="D11">
            <v>0</v>
          </cell>
          <cell r="E11">
            <v>0</v>
          </cell>
          <cell r="F11">
            <v>4632</v>
          </cell>
          <cell r="G11">
            <v>4998</v>
          </cell>
          <cell r="H11">
            <v>5480</v>
          </cell>
          <cell r="I11">
            <v>6952</v>
          </cell>
          <cell r="J11">
            <v>8214</v>
          </cell>
          <cell r="K11">
            <v>9302</v>
          </cell>
          <cell r="L11">
            <v>7150</v>
          </cell>
          <cell r="M11">
            <v>9405</v>
          </cell>
          <cell r="N11">
            <v>3</v>
          </cell>
          <cell r="O11">
            <v>6627.3333333333339</v>
          </cell>
          <cell r="P11">
            <v>1952</v>
          </cell>
          <cell r="Q11">
            <v>24030</v>
          </cell>
          <cell r="R11">
            <v>26979</v>
          </cell>
          <cell r="S11">
            <v>36998</v>
          </cell>
        </row>
        <row r="12">
          <cell r="B12" t="str">
            <v>Monthly Fleet Managed</v>
          </cell>
          <cell r="C12">
            <v>49</v>
          </cell>
          <cell r="D12">
            <v>53</v>
          </cell>
          <cell r="E12">
            <v>54</v>
          </cell>
          <cell r="F12">
            <v>59</v>
          </cell>
          <cell r="G12">
            <v>47</v>
          </cell>
          <cell r="H12">
            <v>52</v>
          </cell>
          <cell r="I12">
            <v>62</v>
          </cell>
          <cell r="J12">
            <v>57</v>
          </cell>
          <cell r="K12">
            <v>41</v>
          </cell>
          <cell r="L12">
            <v>53</v>
          </cell>
          <cell r="M12">
            <v>60</v>
          </cell>
          <cell r="N12">
            <v>64</v>
          </cell>
          <cell r="O12">
            <v>54.25</v>
          </cell>
          <cell r="P12">
            <v>63</v>
          </cell>
          <cell r="Q12">
            <v>71</v>
          </cell>
          <cell r="R12">
            <v>68</v>
          </cell>
          <cell r="S12">
            <v>60</v>
          </cell>
        </row>
        <row r="14">
          <cell r="B14" t="str">
            <v>Revenue</v>
          </cell>
          <cell r="C14">
            <v>1483713.3</v>
          </cell>
          <cell r="D14">
            <v>1689338</v>
          </cell>
          <cell r="E14">
            <v>1728127</v>
          </cell>
          <cell r="F14">
            <v>1773725</v>
          </cell>
          <cell r="G14">
            <v>1967777</v>
          </cell>
          <cell r="H14">
            <v>2002964</v>
          </cell>
          <cell r="I14">
            <v>2388322</v>
          </cell>
          <cell r="J14">
            <v>2518028</v>
          </cell>
          <cell r="K14">
            <v>1858759.9</v>
          </cell>
          <cell r="L14">
            <v>2095665.3</v>
          </cell>
          <cell r="M14">
            <v>2670980.5499999998</v>
          </cell>
          <cell r="N14">
            <v>2340669</v>
          </cell>
          <cell r="O14">
            <v>24518069.050000004</v>
          </cell>
          <cell r="P14">
            <v>2159788</v>
          </cell>
          <cell r="Q14">
            <v>3398768.83</v>
          </cell>
          <cell r="R14">
            <v>3142684</v>
          </cell>
          <cell r="S14">
            <v>2905513</v>
          </cell>
        </row>
        <row r="15">
          <cell r="B15" t="str">
            <v>Fleet Management</v>
          </cell>
          <cell r="C15">
            <v>1283254.3</v>
          </cell>
          <cell r="D15">
            <v>1451363</v>
          </cell>
          <cell r="E15">
            <v>1574902</v>
          </cell>
          <cell r="F15">
            <v>1577914</v>
          </cell>
          <cell r="G15">
            <v>1666679</v>
          </cell>
          <cell r="H15">
            <v>1696038</v>
          </cell>
          <cell r="I15">
            <v>2066671</v>
          </cell>
          <cell r="J15">
            <v>2218742</v>
          </cell>
          <cell r="K15">
            <v>1547284.9</v>
          </cell>
          <cell r="L15">
            <v>1784720</v>
          </cell>
          <cell r="M15">
            <v>2315924</v>
          </cell>
          <cell r="N15">
            <v>2136024</v>
          </cell>
          <cell r="O15">
            <v>21319516.200000003</v>
          </cell>
          <cell r="P15">
            <v>1957452</v>
          </cell>
          <cell r="Q15">
            <v>3063025.83</v>
          </cell>
          <cell r="R15">
            <v>2785079</v>
          </cell>
          <cell r="S15">
            <v>2530337</v>
          </cell>
        </row>
        <row r="16">
          <cell r="B16" t="str">
            <v>Storage &amp; Fulfillment</v>
          </cell>
          <cell r="C16">
            <v>200459</v>
          </cell>
          <cell r="D16">
            <v>237975</v>
          </cell>
          <cell r="E16">
            <v>153225</v>
          </cell>
          <cell r="F16">
            <v>195811</v>
          </cell>
          <cell r="G16">
            <v>301098</v>
          </cell>
          <cell r="H16">
            <v>306926</v>
          </cell>
          <cell r="I16">
            <v>321651</v>
          </cell>
          <cell r="J16">
            <v>299286</v>
          </cell>
          <cell r="K16">
            <v>311475</v>
          </cell>
          <cell r="L16">
            <v>310945.3</v>
          </cell>
          <cell r="M16">
            <v>355056.55</v>
          </cell>
          <cell r="N16">
            <v>204645</v>
          </cell>
          <cell r="O16">
            <v>3198552.85</v>
          </cell>
          <cell r="P16">
            <v>202336</v>
          </cell>
          <cell r="Q16">
            <v>335743</v>
          </cell>
          <cell r="R16">
            <v>357605</v>
          </cell>
          <cell r="S16">
            <v>375176</v>
          </cell>
        </row>
        <row r="17">
          <cell r="B17" t="str">
            <v xml:space="preserve">Storage </v>
          </cell>
          <cell r="C17">
            <v>200459</v>
          </cell>
          <cell r="D17">
            <v>237975</v>
          </cell>
          <cell r="E17">
            <v>153225</v>
          </cell>
          <cell r="F17">
            <v>149475</v>
          </cell>
          <cell r="G17">
            <v>251117</v>
          </cell>
          <cell r="H17">
            <v>252125</v>
          </cell>
          <cell r="I17">
            <v>252125</v>
          </cell>
          <cell r="J17">
            <v>217145</v>
          </cell>
          <cell r="K17">
            <v>218445</v>
          </cell>
          <cell r="L17">
            <v>219445</v>
          </cell>
          <cell r="M17">
            <v>219445</v>
          </cell>
          <cell r="N17">
            <v>189445</v>
          </cell>
          <cell r="O17">
            <v>2560426</v>
          </cell>
          <cell r="P17">
            <v>189445</v>
          </cell>
          <cell r="Q17">
            <v>189245</v>
          </cell>
          <cell r="R17">
            <v>188445</v>
          </cell>
          <cell r="S17">
            <v>143400</v>
          </cell>
        </row>
        <row r="18">
          <cell r="B18" t="str">
            <v>WH Fulfillment</v>
          </cell>
          <cell r="C18">
            <v>0</v>
          </cell>
          <cell r="D18">
            <v>0</v>
          </cell>
          <cell r="E18">
            <v>0</v>
          </cell>
          <cell r="F18">
            <v>46336</v>
          </cell>
          <cell r="G18">
            <v>49981</v>
          </cell>
          <cell r="H18">
            <v>54801</v>
          </cell>
          <cell r="I18">
            <v>69526</v>
          </cell>
          <cell r="J18">
            <v>82141</v>
          </cell>
          <cell r="K18">
            <v>93030</v>
          </cell>
          <cell r="L18">
            <v>91500.3</v>
          </cell>
          <cell r="M18">
            <v>135611.54999999999</v>
          </cell>
          <cell r="N18">
            <v>15200</v>
          </cell>
          <cell r="O18">
            <v>638126.85</v>
          </cell>
          <cell r="P18">
            <v>12891</v>
          </cell>
          <cell r="Q18">
            <v>146498</v>
          </cell>
          <cell r="R18">
            <v>169160</v>
          </cell>
          <cell r="S18">
            <v>231776</v>
          </cell>
        </row>
        <row r="20">
          <cell r="B20" t="str">
            <v>Cost of Service</v>
          </cell>
          <cell r="C20">
            <v>1138240.7200000002</v>
          </cell>
          <cell r="D20">
            <v>1246266.8599999999</v>
          </cell>
          <cell r="E20">
            <v>1438463.8599999999</v>
          </cell>
          <cell r="F20">
            <v>1562076.6249578078</v>
          </cell>
          <cell r="G20">
            <v>1563184.3879652147</v>
          </cell>
          <cell r="H20">
            <v>1584354.4291162987</v>
          </cell>
          <cell r="I20">
            <v>1891644.3873423806</v>
          </cell>
          <cell r="J20">
            <v>1975553.776433859</v>
          </cell>
          <cell r="K20">
            <v>1790510.3638351359</v>
          </cell>
          <cell r="L20">
            <v>2022143.6852577887</v>
          </cell>
          <cell r="M20">
            <v>2506347.5285048345</v>
          </cell>
          <cell r="N20">
            <v>2036933.0830075683</v>
          </cell>
          <cell r="O20">
            <v>20755719.706420891</v>
          </cell>
          <cell r="P20">
            <v>1852054.9488171421</v>
          </cell>
          <cell r="Q20">
            <v>2879798.0432456182</v>
          </cell>
          <cell r="R20">
            <v>2838624</v>
          </cell>
          <cell r="S20">
            <v>2544388</v>
          </cell>
        </row>
        <row r="21">
          <cell r="B21" t="str">
            <v>Fleet Management</v>
          </cell>
          <cell r="C21">
            <v>1088740.7200000002</v>
          </cell>
          <cell r="D21">
            <v>1195895.8599999999</v>
          </cell>
          <cell r="E21">
            <v>1406963.8599999999</v>
          </cell>
          <cell r="F21">
            <v>1484893.74</v>
          </cell>
          <cell r="G21">
            <v>1482407.88</v>
          </cell>
          <cell r="H21">
            <v>1463575.8599999999</v>
          </cell>
          <cell r="I21">
            <v>1756348.37</v>
          </cell>
          <cell r="J21">
            <v>1835320.57</v>
          </cell>
          <cell r="K21">
            <v>1667291.64</v>
          </cell>
          <cell r="L21">
            <v>1900433.1</v>
          </cell>
          <cell r="M21">
            <v>2341147.4500000002</v>
          </cell>
          <cell r="N21">
            <v>1990447.33</v>
          </cell>
          <cell r="O21">
            <v>19613466.380000003</v>
          </cell>
          <cell r="P21">
            <v>1807845.65</v>
          </cell>
          <cell r="Q21">
            <v>2689253.52</v>
          </cell>
          <cell r="R21">
            <v>2621273</v>
          </cell>
          <cell r="S21">
            <v>2387724</v>
          </cell>
        </row>
        <row r="22">
          <cell r="B22" t="str">
            <v>Storage &amp; Fulfillment</v>
          </cell>
          <cell r="C22">
            <v>49500</v>
          </cell>
          <cell r="D22">
            <v>50371</v>
          </cell>
          <cell r="E22">
            <v>31500</v>
          </cell>
          <cell r="F22">
            <v>77182.884957807793</v>
          </cell>
          <cell r="G22">
            <v>80776.507965214769</v>
          </cell>
          <cell r="H22">
            <v>120778.56911629888</v>
          </cell>
          <cell r="I22">
            <v>135296.01734238054</v>
          </cell>
          <cell r="J22">
            <v>140233.20643385898</v>
          </cell>
          <cell r="K22">
            <v>123218.72383513596</v>
          </cell>
          <cell r="L22">
            <v>121710.58525778877</v>
          </cell>
          <cell r="M22">
            <v>165200.07850483424</v>
          </cell>
          <cell r="N22">
            <v>46485.753007568164</v>
          </cell>
          <cell r="O22">
            <v>1142253.3264208881</v>
          </cell>
          <cell r="P22">
            <v>44209.298817142182</v>
          </cell>
          <cell r="Q22">
            <v>190544.52324561801</v>
          </cell>
          <cell r="R22">
            <v>217351</v>
          </cell>
          <cell r="S22">
            <v>156664</v>
          </cell>
        </row>
        <row r="23">
          <cell r="B23" t="str">
            <v xml:space="preserve">Storage </v>
          </cell>
          <cell r="C23">
            <v>49500</v>
          </cell>
          <cell r="D23">
            <v>50371</v>
          </cell>
          <cell r="E23">
            <v>31500</v>
          </cell>
          <cell r="F23">
            <v>31500</v>
          </cell>
          <cell r="G23">
            <v>31500</v>
          </cell>
          <cell r="H23">
            <v>66750</v>
          </cell>
          <cell r="I23">
            <v>66750</v>
          </cell>
          <cell r="J23">
            <v>59250</v>
          </cell>
          <cell r="K23">
            <v>31500</v>
          </cell>
          <cell r="L23">
            <v>31500</v>
          </cell>
          <cell r="M23">
            <v>31500</v>
          </cell>
          <cell r="N23">
            <v>31500</v>
          </cell>
          <cell r="O23">
            <v>513121</v>
          </cell>
          <cell r="P23">
            <v>31500</v>
          </cell>
          <cell r="Q23">
            <v>31500</v>
          </cell>
          <cell r="R23">
            <v>31500</v>
          </cell>
          <cell r="S23">
            <v>31500</v>
          </cell>
        </row>
        <row r="24">
          <cell r="B24" t="str">
            <v>WH Fulfillment</v>
          </cell>
          <cell r="C24">
            <v>0</v>
          </cell>
          <cell r="D24">
            <v>0</v>
          </cell>
          <cell r="E24">
            <v>0</v>
          </cell>
          <cell r="F24">
            <v>45682.884957807793</v>
          </cell>
          <cell r="G24">
            <v>49276.507965214769</v>
          </cell>
          <cell r="H24">
            <v>54028.569116298881</v>
          </cell>
          <cell r="I24">
            <v>68546.017342380539</v>
          </cell>
          <cell r="J24">
            <v>80983.206433858984</v>
          </cell>
          <cell r="K24">
            <v>91718.723835135956</v>
          </cell>
          <cell r="L24">
            <v>90210.585257788771</v>
          </cell>
          <cell r="M24">
            <v>133700.07850483424</v>
          </cell>
          <cell r="N24">
            <v>14985.753007568166</v>
          </cell>
          <cell r="O24">
            <v>629132.32642088807</v>
          </cell>
          <cell r="P24">
            <v>12709.298817142184</v>
          </cell>
          <cell r="Q24">
            <v>159044.52324561801</v>
          </cell>
          <cell r="R24">
            <v>185851</v>
          </cell>
          <cell r="S24">
            <v>125164</v>
          </cell>
        </row>
        <row r="26">
          <cell r="B26" t="str">
            <v>Gross Profit</v>
          </cell>
          <cell r="C26">
            <v>345472.57999999984</v>
          </cell>
          <cell r="D26">
            <v>443071.14000000013</v>
          </cell>
          <cell r="E26">
            <v>289663.14000000013</v>
          </cell>
          <cell r="F26">
            <v>211648.37504219217</v>
          </cell>
          <cell r="G26">
            <v>404592.61203478533</v>
          </cell>
          <cell r="H26">
            <v>418609.57088370132</v>
          </cell>
          <cell r="I26">
            <v>496677.61265761941</v>
          </cell>
          <cell r="J26">
            <v>542474.22356614098</v>
          </cell>
          <cell r="K26">
            <v>68249.536164863966</v>
          </cell>
          <cell r="L26">
            <v>73521.614742211299</v>
          </cell>
          <cell r="M26">
            <v>164633.0214951653</v>
          </cell>
          <cell r="N26">
            <v>303735.91699243174</v>
          </cell>
          <cell r="O26">
            <v>3762349.3435791135</v>
          </cell>
          <cell r="P26">
            <v>307733.05118285795</v>
          </cell>
          <cell r="Q26">
            <v>518970.78675438184</v>
          </cell>
          <cell r="R26">
            <v>304060</v>
          </cell>
          <cell r="S26">
            <v>361125</v>
          </cell>
        </row>
        <row r="27">
          <cell r="B27" t="str">
            <v>Fleet Management</v>
          </cell>
          <cell r="C27">
            <v>194513.57999999984</v>
          </cell>
          <cell r="D27">
            <v>255467.14000000013</v>
          </cell>
          <cell r="E27">
            <v>167938.14000000013</v>
          </cell>
          <cell r="F27">
            <v>93020.260000000009</v>
          </cell>
          <cell r="G27">
            <v>184271.12000000011</v>
          </cell>
          <cell r="H27">
            <v>232462.14000000013</v>
          </cell>
          <cell r="I27">
            <v>310322.62999999989</v>
          </cell>
          <cell r="J27">
            <v>383421.42999999993</v>
          </cell>
          <cell r="K27">
            <v>-120006.73999999999</v>
          </cell>
          <cell r="L27">
            <v>-115713.10000000009</v>
          </cell>
          <cell r="M27">
            <v>-25223.450000000186</v>
          </cell>
          <cell r="N27">
            <v>145576.66999999993</v>
          </cell>
          <cell r="O27">
            <v>1706049.8200000003</v>
          </cell>
          <cell r="P27">
            <v>149606.35000000009</v>
          </cell>
          <cell r="Q27">
            <v>373772.31000000006</v>
          </cell>
          <cell r="R27">
            <v>163806</v>
          </cell>
          <cell r="S27">
            <v>142613</v>
          </cell>
        </row>
        <row r="28">
          <cell r="B28" t="str">
            <v>Storage &amp; Fulfillment</v>
          </cell>
          <cell r="C28">
            <v>150959</v>
          </cell>
          <cell r="D28">
            <v>187604</v>
          </cell>
          <cell r="E28">
            <v>121725</v>
          </cell>
          <cell r="F28">
            <v>118628.11504219221</v>
          </cell>
          <cell r="G28">
            <v>220321.49203478522</v>
          </cell>
          <cell r="H28">
            <v>186147.43088370113</v>
          </cell>
          <cell r="I28">
            <v>186354.98265761946</v>
          </cell>
          <cell r="J28">
            <v>159052.79356614102</v>
          </cell>
          <cell r="K28">
            <v>188256.27616486404</v>
          </cell>
          <cell r="L28">
            <v>189234.71474221122</v>
          </cell>
          <cell r="M28">
            <v>189856.47149516575</v>
          </cell>
          <cell r="N28">
            <v>158159.24699243184</v>
          </cell>
          <cell r="O28">
            <v>2056299.523579112</v>
          </cell>
          <cell r="P28">
            <v>158126.70118285783</v>
          </cell>
          <cell r="Q28">
            <v>145198.47675438199</v>
          </cell>
          <cell r="R28">
            <v>140254</v>
          </cell>
          <cell r="S28">
            <v>218512</v>
          </cell>
        </row>
        <row r="29">
          <cell r="B29" t="str">
            <v xml:space="preserve">Storage </v>
          </cell>
          <cell r="C29">
            <v>150959</v>
          </cell>
          <cell r="D29">
            <v>187604</v>
          </cell>
          <cell r="E29">
            <v>121725</v>
          </cell>
          <cell r="F29">
            <v>117975</v>
          </cell>
          <cell r="G29">
            <v>219617</v>
          </cell>
          <cell r="H29">
            <v>185375</v>
          </cell>
          <cell r="I29">
            <v>185375</v>
          </cell>
          <cell r="J29">
            <v>157895</v>
          </cell>
          <cell r="K29">
            <v>186945</v>
          </cell>
          <cell r="L29">
            <v>187945</v>
          </cell>
          <cell r="M29">
            <v>187945</v>
          </cell>
          <cell r="N29">
            <v>157945</v>
          </cell>
          <cell r="O29">
            <v>2047305</v>
          </cell>
          <cell r="P29">
            <v>157945</v>
          </cell>
          <cell r="Q29">
            <v>157745</v>
          </cell>
          <cell r="R29">
            <v>156945</v>
          </cell>
          <cell r="S29">
            <v>111900</v>
          </cell>
        </row>
        <row r="30">
          <cell r="B30" t="str">
            <v>WH Fulfillment</v>
          </cell>
          <cell r="C30">
            <v>0</v>
          </cell>
          <cell r="D30">
            <v>0</v>
          </cell>
          <cell r="E30">
            <v>0</v>
          </cell>
          <cell r="F30">
            <v>653.1150421922066</v>
          </cell>
          <cell r="G30">
            <v>704.49203478523123</v>
          </cell>
          <cell r="H30">
            <v>772.43088370111946</v>
          </cell>
          <cell r="I30">
            <v>979.98265761946095</v>
          </cell>
          <cell r="J30">
            <v>1157.7935661410156</v>
          </cell>
          <cell r="K30">
            <v>1311.2761648640444</v>
          </cell>
          <cell r="L30">
            <v>1289.7147422112321</v>
          </cell>
          <cell r="M30">
            <v>1911.4714951657515</v>
          </cell>
          <cell r="N30">
            <v>214.24699243183386</v>
          </cell>
          <cell r="O30">
            <v>8994.5235791119048</v>
          </cell>
          <cell r="P30">
            <v>181.70118285781609</v>
          </cell>
          <cell r="Q30">
            <v>-12546.523245618009</v>
          </cell>
          <cell r="R30">
            <v>-16691</v>
          </cell>
          <cell r="S30">
            <v>106612</v>
          </cell>
        </row>
        <row r="32">
          <cell r="B32" t="str">
            <v>Gross Margin</v>
          </cell>
          <cell r="C32">
            <v>0.2328432184304069</v>
          </cell>
          <cell r="D32">
            <v>0.2622750095007631</v>
          </cell>
          <cell r="E32">
            <v>0.16761681288470126</v>
          </cell>
          <cell r="F32">
            <v>0.11932423292347584</v>
          </cell>
          <cell r="G32">
            <v>0.20560897501840164</v>
          </cell>
          <cell r="H32">
            <v>0.20899505477068051</v>
          </cell>
          <cell r="I32">
            <v>0.20796090839410239</v>
          </cell>
          <cell r="J32">
            <v>0.21543613635993761</v>
          </cell>
          <cell r="K32">
            <v>3.6717779507113302E-2</v>
          </cell>
          <cell r="L32">
            <v>3.5082708456455954E-2</v>
          </cell>
          <cell r="M32">
            <v>6.1637671414404467E-2</v>
          </cell>
          <cell r="N32">
            <v>0.12976457456924997</v>
          </cell>
          <cell r="O32">
            <v>0.15345210652219421</v>
          </cell>
          <cell r="P32">
            <v>0.14248298961882275</v>
          </cell>
          <cell r="Q32">
            <v>0.15269375844969774</v>
          </cell>
          <cell r="R32">
            <v>9.6751693775129793E-2</v>
          </cell>
          <cell r="S32">
            <v>0.12428958328529248</v>
          </cell>
        </row>
        <row r="33">
          <cell r="B33" t="str">
            <v>Fleet Management</v>
          </cell>
          <cell r="C33">
            <v>0.15157835824123078</v>
          </cell>
          <cell r="D33">
            <v>0.17601877683253614</v>
          </cell>
          <cell r="E33">
            <v>0.10663402548222056</v>
          </cell>
          <cell r="F33">
            <v>5.8951413068139336E-2</v>
          </cell>
          <cell r="G33">
            <v>0.11056185384228163</v>
          </cell>
          <cell r="H33">
            <v>0.13706187007602433</v>
          </cell>
          <cell r="I33">
            <v>0.15015579644752353</v>
          </cell>
          <cell r="J33">
            <v>0.17281028168214238</v>
          </cell>
          <cell r="K33">
            <v>-7.7559562560198192E-2</v>
          </cell>
          <cell r="L33">
            <v>-6.4835436370971403E-2</v>
          </cell>
          <cell r="M33">
            <v>-1.0891311631988004E-2</v>
          </cell>
          <cell r="N33">
            <v>6.8153105957610927E-2</v>
          </cell>
          <cell r="O33">
            <v>8.0022914403657996E-2</v>
          </cell>
          <cell r="P33">
            <v>7.642912827492071E-2</v>
          </cell>
          <cell r="Q33">
            <v>0.12202714921277698</v>
          </cell>
          <cell r="R33">
            <v>5.8815566811569797E-2</v>
          </cell>
          <cell r="S33">
            <v>5.6361267293645073E-2</v>
          </cell>
        </row>
        <row r="34">
          <cell r="B34" t="str">
            <v>Storage &amp; Fulfillment</v>
          </cell>
          <cell r="C34">
            <v>0.75306671189619823</v>
          </cell>
          <cell r="D34">
            <v>0.7883349091291102</v>
          </cell>
          <cell r="E34">
            <v>0.79441997063142433</v>
          </cell>
          <cell r="F34">
            <v>0.6058296778127491</v>
          </cell>
          <cell r="G34">
            <v>0.73172685316669395</v>
          </cell>
          <cell r="H34">
            <v>0.60648961275258906</v>
          </cell>
          <cell r="I34">
            <v>0.57937013302498508</v>
          </cell>
          <cell r="J34">
            <v>0.53144080767607249</v>
          </cell>
          <cell r="K34">
            <v>0.60440252400630567</v>
          </cell>
          <cell r="L34">
            <v>0.60857879100346979</v>
          </cell>
          <cell r="M34">
            <v>0.53472178303756335</v>
          </cell>
          <cell r="N34">
            <v>0.77284686648797596</v>
          </cell>
          <cell r="O34">
            <v>0.64288433551414104</v>
          </cell>
          <cell r="P34">
            <v>0.78150552142405616</v>
          </cell>
          <cell r="Q34">
            <v>0.43246911105929831</v>
          </cell>
          <cell r="R34">
            <v>0.39220368842717523</v>
          </cell>
          <cell r="S34">
            <v>0.58242531505213557</v>
          </cell>
        </row>
        <row r="35">
          <cell r="B35" t="str">
            <v xml:space="preserve">Storage </v>
          </cell>
          <cell r="C35">
            <v>0.75306671189619823</v>
          </cell>
          <cell r="D35">
            <v>0.7883349091291102</v>
          </cell>
          <cell r="E35">
            <v>0.79441997063142433</v>
          </cell>
          <cell r="F35">
            <v>0.78926241846462619</v>
          </cell>
          <cell r="G35">
            <v>0.87456046384752928</v>
          </cell>
          <cell r="H35">
            <v>0.73525037183936537</v>
          </cell>
          <cell r="I35">
            <v>0.73525037183936537</v>
          </cell>
          <cell r="J35">
            <v>0.72714085058371136</v>
          </cell>
          <cell r="K35">
            <v>0.85579894252557853</v>
          </cell>
          <cell r="L35">
            <v>0.85645605960491245</v>
          </cell>
          <cell r="M35">
            <v>0.85645605960491245</v>
          </cell>
          <cell r="N35">
            <v>0.83372482778642876</v>
          </cell>
          <cell r="O35">
            <v>0.79959545794332665</v>
          </cell>
          <cell r="P35">
            <v>0.83372482778642876</v>
          </cell>
          <cell r="Q35">
            <v>0.83354910301461071</v>
          </cell>
          <cell r="R35">
            <v>0.83284247393138577</v>
          </cell>
          <cell r="S35">
            <v>0.78033472803347281</v>
          </cell>
        </row>
        <row r="36">
          <cell r="B36" t="str">
            <v>WH Fulfillment</v>
          </cell>
          <cell r="C36" t="str">
            <v>NA</v>
          </cell>
          <cell r="D36" t="str">
            <v>NA</v>
          </cell>
          <cell r="E36" t="str">
            <v>NA</v>
          </cell>
          <cell r="F36">
            <v>1.4095196870515508E-2</v>
          </cell>
          <cell r="G36">
            <v>1.4095196870515421E-2</v>
          </cell>
          <cell r="H36">
            <v>1.4095196870515492E-2</v>
          </cell>
          <cell r="I36">
            <v>1.4095196870515504E-2</v>
          </cell>
          <cell r="J36">
            <v>1.4095196870515523E-2</v>
          </cell>
          <cell r="K36">
            <v>1.4095196870515365E-2</v>
          </cell>
          <cell r="L36">
            <v>1.4095196870515529E-2</v>
          </cell>
          <cell r="M36">
            <v>1.4095196870515466E-2</v>
          </cell>
          <cell r="N36">
            <v>1.4095196870515386E-2</v>
          </cell>
          <cell r="O36">
            <v>1.4095196870515487E-2</v>
          </cell>
          <cell r="P36">
            <v>1.4095196870515561E-2</v>
          </cell>
          <cell r="Q36">
            <v>-8.5642966085666766E-2</v>
          </cell>
          <cell r="R36">
            <v>-9.8669898321116098E-2</v>
          </cell>
          <cell r="S36">
            <v>0.45997860002761287</v>
          </cell>
        </row>
        <row r="38">
          <cell r="B38" t="str">
            <v>Please Note: For FY20 annual operational data, we have considered the Average for the operational months</v>
          </cell>
        </row>
      </sheetData>
      <sheetData sheetId="12">
        <row r="4">
          <cell r="B4" t="str">
            <v>Particulars</v>
          </cell>
        </row>
      </sheetData>
      <sheetData sheetId="13">
        <row r="4">
          <cell r="B4" t="str">
            <v>Particulars</v>
          </cell>
        </row>
      </sheetData>
      <sheetData sheetId="14">
        <row r="4">
          <cell r="B4" t="str">
            <v>Particulars</v>
          </cell>
          <cell r="C4">
            <v>43556</v>
          </cell>
          <cell r="D4">
            <v>43616</v>
          </cell>
          <cell r="E4">
            <v>43646</v>
          </cell>
          <cell r="F4">
            <v>43677</v>
          </cell>
          <cell r="G4">
            <v>43708</v>
          </cell>
          <cell r="H4">
            <v>43738</v>
          </cell>
          <cell r="I4">
            <v>43769</v>
          </cell>
          <cell r="J4">
            <v>43799</v>
          </cell>
          <cell r="K4">
            <v>43830</v>
          </cell>
          <cell r="L4">
            <v>43861</v>
          </cell>
          <cell r="M4">
            <v>43890</v>
          </cell>
          <cell r="N4">
            <v>43921</v>
          </cell>
          <cell r="O4" t="str">
            <v>FY-20</v>
          </cell>
          <cell r="P4">
            <v>43951</v>
          </cell>
          <cell r="Q4">
            <v>43982</v>
          </cell>
          <cell r="R4">
            <v>44012</v>
          </cell>
          <cell r="S4">
            <v>44043</v>
          </cell>
        </row>
        <row r="5">
          <cell r="B5" t="str">
            <v>Total Area Used (in sq. ft.)</v>
          </cell>
        </row>
        <row r="6">
          <cell r="B6" t="str">
            <v>Clients Handled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B7" t="str">
            <v>Fleet Management</v>
          </cell>
        </row>
        <row r="8">
          <cell r="B8" t="str">
            <v>Storage &amp; Fulfillment</v>
          </cell>
        </row>
        <row r="9">
          <cell r="B9" t="str">
            <v>Total Monthly Inward</v>
          </cell>
        </row>
        <row r="10">
          <cell r="B10" t="str">
            <v>Total Monthly Outward</v>
          </cell>
        </row>
        <row r="11">
          <cell r="B11" t="str">
            <v>Total Orders Handled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Monthly Fleet Managed</v>
          </cell>
        </row>
        <row r="14">
          <cell r="B14" t="str">
            <v>Revenue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B15" t="str">
            <v>Fleet Management</v>
          </cell>
          <cell r="O15">
            <v>0</v>
          </cell>
        </row>
        <row r="16">
          <cell r="B16" t="str">
            <v>Storage &amp; Fulfillment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B17" t="str">
            <v xml:space="preserve">Storage </v>
          </cell>
          <cell r="O17">
            <v>0</v>
          </cell>
        </row>
        <row r="18">
          <cell r="B18" t="str">
            <v>WH Fulfillment</v>
          </cell>
          <cell r="O18">
            <v>0</v>
          </cell>
        </row>
        <row r="20">
          <cell r="B20" t="str">
            <v>Cost of Service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25566</v>
          </cell>
        </row>
        <row r="21">
          <cell r="B21" t="str">
            <v>Fleet Management</v>
          </cell>
          <cell r="O21">
            <v>0</v>
          </cell>
        </row>
        <row r="22">
          <cell r="B22" t="str">
            <v>Storage &amp; Fulfillment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25566</v>
          </cell>
        </row>
        <row r="23">
          <cell r="B23" t="str">
            <v xml:space="preserve">Storage </v>
          </cell>
          <cell r="O23">
            <v>0</v>
          </cell>
        </row>
        <row r="24">
          <cell r="B24" t="str">
            <v>WH Fulfillment</v>
          </cell>
          <cell r="O24">
            <v>0</v>
          </cell>
          <cell r="S24">
            <v>25566</v>
          </cell>
        </row>
        <row r="26">
          <cell r="B26" t="str">
            <v>Gross Profit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-25566</v>
          </cell>
        </row>
        <row r="27">
          <cell r="B27" t="str">
            <v>Fleet Management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Storage &amp; Fulfillment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-25566</v>
          </cell>
        </row>
        <row r="29">
          <cell r="B29" t="str">
            <v xml:space="preserve">Storage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B30" t="str">
            <v>WH Fulfillment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-25566</v>
          </cell>
        </row>
        <row r="32">
          <cell r="B32" t="str">
            <v>Gross Margin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 t="str">
            <v>NA</v>
          </cell>
          <cell r="M32" t="str">
            <v>NA</v>
          </cell>
          <cell r="N32" t="str">
            <v>NA</v>
          </cell>
          <cell r="O32" t="str">
            <v>NA</v>
          </cell>
          <cell r="P32" t="str">
            <v>NA</v>
          </cell>
          <cell r="Q32" t="str">
            <v>NA</v>
          </cell>
          <cell r="R32" t="str">
            <v>NA</v>
          </cell>
          <cell r="S32" t="str">
            <v>NA</v>
          </cell>
        </row>
        <row r="33">
          <cell r="B33" t="str">
            <v>Fleet Management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 t="str">
            <v>NA</v>
          </cell>
          <cell r="M33" t="str">
            <v>NA</v>
          </cell>
          <cell r="N33" t="str">
            <v>NA</v>
          </cell>
          <cell r="O33" t="str">
            <v>NA</v>
          </cell>
          <cell r="P33" t="str">
            <v>NA</v>
          </cell>
          <cell r="Q33" t="str">
            <v>NA</v>
          </cell>
          <cell r="R33" t="str">
            <v>NA</v>
          </cell>
          <cell r="S33" t="str">
            <v>NA</v>
          </cell>
        </row>
        <row r="34">
          <cell r="B34" t="str">
            <v>Storage &amp; Fulfillment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 t="str">
            <v>NA</v>
          </cell>
          <cell r="M34" t="str">
            <v>NA</v>
          </cell>
          <cell r="N34" t="str">
            <v>NA</v>
          </cell>
          <cell r="O34" t="str">
            <v>NA</v>
          </cell>
          <cell r="P34" t="str">
            <v>NA</v>
          </cell>
          <cell r="Q34" t="str">
            <v>NA</v>
          </cell>
          <cell r="R34" t="str">
            <v>NA</v>
          </cell>
          <cell r="S34" t="str">
            <v>NA</v>
          </cell>
        </row>
        <row r="35">
          <cell r="B35" t="str">
            <v xml:space="preserve">Storage 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 t="str">
            <v>NA</v>
          </cell>
          <cell r="M35" t="str">
            <v>NA</v>
          </cell>
          <cell r="N35" t="str">
            <v>NA</v>
          </cell>
          <cell r="O35" t="str">
            <v>NA</v>
          </cell>
          <cell r="P35" t="str">
            <v>NA</v>
          </cell>
          <cell r="Q35" t="str">
            <v>NA</v>
          </cell>
          <cell r="R35" t="str">
            <v>NA</v>
          </cell>
          <cell r="S35" t="str">
            <v>NA</v>
          </cell>
        </row>
        <row r="36">
          <cell r="B36" t="str">
            <v>WH Fulfillment</v>
          </cell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 t="str">
            <v>NA</v>
          </cell>
          <cell r="M36" t="str">
            <v>NA</v>
          </cell>
          <cell r="N36" t="str">
            <v>NA</v>
          </cell>
          <cell r="O36" t="str">
            <v>NA</v>
          </cell>
          <cell r="P36" t="str">
            <v>NA</v>
          </cell>
          <cell r="Q36" t="str">
            <v>NA</v>
          </cell>
          <cell r="R36" t="str">
            <v>NA</v>
          </cell>
          <cell r="S36" t="str">
            <v>NA</v>
          </cell>
        </row>
        <row r="38">
          <cell r="B38" t="str">
            <v>Please Note: Bangalore Warehouse has been operational from July 26, 2020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D28A08E-4693-44A2-81CC-B7037C5F8143}">
  <we:reference id="wa200010725" version="1.0.0.1" store="en-US" storeType="OMEX"/>
  <we:alternateReferences>
    <we:reference id="WA200010725" version="1.0.0.1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075C2D2-C476-45C5-B1C9-8DFBF3F9283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093cd4b-40b0-44fd-86e9-1b8418f3f6d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9B98-458A-4AEB-BECC-78F038DB54BC}">
  <dimension ref="A1:AA15"/>
  <sheetViews>
    <sheetView showGridLines="0" zoomScale="102" workbookViewId="0"/>
  </sheetViews>
  <sheetFormatPr defaultColWidth="0" defaultRowHeight="14.65" customHeight="1" zeroHeight="1"/>
  <cols>
    <col min="1" max="1" width="3.36328125" customWidth="1"/>
    <col min="2" max="11" width="7.08984375" customWidth="1"/>
    <col min="12" max="12" width="8.6328125" customWidth="1"/>
    <col min="13" max="22" width="7.08984375" customWidth="1"/>
    <col min="23" max="26" width="8.6328125" customWidth="1"/>
    <col min="27" max="27" width="4.81640625" customWidth="1"/>
    <col min="28" max="16384" width="8.6328125" hidden="1"/>
  </cols>
  <sheetData>
    <row r="1" spans="2:26" ht="14.65" customHeight="1"/>
    <row r="2" spans="2:26" ht="14.65" customHeight="1">
      <c r="B2" s="333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562" t="s">
        <v>174</v>
      </c>
      <c r="N2" s="563"/>
      <c r="O2" s="563"/>
      <c r="P2" s="563"/>
      <c r="Q2" s="563"/>
      <c r="R2" s="563"/>
      <c r="S2" s="563"/>
      <c r="T2" s="563"/>
      <c r="U2" s="563"/>
      <c r="V2" s="563"/>
      <c r="W2" s="563"/>
      <c r="X2" s="563"/>
      <c r="Y2" s="563"/>
      <c r="Z2" s="563"/>
    </row>
    <row r="3" spans="2:26" ht="14.65" customHeight="1"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563"/>
      <c r="N3" s="563"/>
      <c r="O3" s="563"/>
      <c r="P3" s="563"/>
      <c r="Q3" s="563"/>
      <c r="R3" s="563"/>
      <c r="S3" s="563"/>
      <c r="T3" s="563"/>
      <c r="U3" s="563"/>
      <c r="V3" s="563"/>
      <c r="W3" s="563"/>
      <c r="X3" s="563"/>
      <c r="Y3" s="563"/>
      <c r="Z3" s="563"/>
    </row>
    <row r="4" spans="2:26" ht="14.65" customHeight="1"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563"/>
      <c r="N4" s="563"/>
      <c r="O4" s="563"/>
      <c r="P4" s="563"/>
      <c r="Q4" s="563"/>
      <c r="R4" s="563"/>
      <c r="S4" s="563"/>
      <c r="T4" s="563"/>
      <c r="U4" s="563"/>
      <c r="V4" s="563"/>
      <c r="W4" s="563"/>
      <c r="X4" s="563"/>
      <c r="Y4" s="563"/>
      <c r="Z4" s="563"/>
    </row>
    <row r="5" spans="2:26" ht="14.65" customHeight="1">
      <c r="B5" s="334"/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563"/>
      <c r="N5" s="563"/>
      <c r="O5" s="563"/>
      <c r="P5" s="563"/>
      <c r="Q5" s="563"/>
      <c r="R5" s="563"/>
      <c r="S5" s="563"/>
      <c r="T5" s="563"/>
      <c r="U5" s="563"/>
      <c r="V5" s="563"/>
      <c r="W5" s="563"/>
      <c r="X5" s="563"/>
      <c r="Y5" s="563"/>
      <c r="Z5" s="563"/>
    </row>
    <row r="6" spans="2:26" ht="14.65" customHeight="1">
      <c r="B6" s="334"/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563"/>
      <c r="N6" s="563"/>
      <c r="O6" s="563"/>
      <c r="P6" s="563"/>
      <c r="Q6" s="563"/>
      <c r="R6" s="563"/>
      <c r="S6" s="563"/>
      <c r="T6" s="563"/>
      <c r="U6" s="563"/>
      <c r="V6" s="563"/>
      <c r="W6" s="563"/>
      <c r="X6" s="563"/>
      <c r="Y6" s="563"/>
      <c r="Z6" s="563"/>
    </row>
    <row r="7" spans="2:26" ht="14.65" customHeight="1">
      <c r="B7" s="334"/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563"/>
      <c r="N7" s="563"/>
      <c r="O7" s="563"/>
      <c r="P7" s="563"/>
      <c r="Q7" s="563"/>
      <c r="R7" s="563"/>
      <c r="S7" s="563"/>
      <c r="T7" s="563"/>
      <c r="U7" s="563"/>
      <c r="V7" s="563"/>
      <c r="W7" s="563"/>
      <c r="X7" s="563"/>
      <c r="Y7" s="563"/>
      <c r="Z7" s="563"/>
    </row>
    <row r="8" spans="2:26" ht="14.65" customHeight="1"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563"/>
      <c r="N8" s="563"/>
      <c r="O8" s="563"/>
      <c r="P8" s="563"/>
      <c r="Q8" s="563"/>
      <c r="R8" s="563"/>
      <c r="S8" s="563"/>
      <c r="T8" s="563"/>
      <c r="U8" s="563"/>
      <c r="V8" s="563"/>
      <c r="W8" s="563"/>
      <c r="X8" s="563"/>
      <c r="Y8" s="563"/>
      <c r="Z8" s="563"/>
    </row>
    <row r="9" spans="2:26" ht="14.65" customHeight="1">
      <c r="B9" s="334"/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563"/>
      <c r="N9" s="563"/>
      <c r="O9" s="563"/>
      <c r="P9" s="563"/>
      <c r="Q9" s="563"/>
      <c r="R9" s="563"/>
      <c r="S9" s="563"/>
      <c r="T9" s="563"/>
      <c r="U9" s="563"/>
      <c r="V9" s="563"/>
      <c r="W9" s="563"/>
      <c r="X9" s="563"/>
      <c r="Y9" s="563"/>
      <c r="Z9" s="563"/>
    </row>
    <row r="10" spans="2:26" ht="15" customHeight="1"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563"/>
      <c r="N10" s="563"/>
      <c r="O10" s="563"/>
      <c r="P10" s="563"/>
      <c r="Q10" s="563"/>
      <c r="R10" s="563"/>
      <c r="S10" s="563"/>
      <c r="T10" s="563"/>
      <c r="U10" s="563"/>
      <c r="V10" s="563"/>
      <c r="W10" s="563"/>
      <c r="X10" s="563"/>
      <c r="Y10" s="563"/>
      <c r="Z10" s="563"/>
    </row>
    <row r="11" spans="2:26" s="3" customFormat="1" ht="18" customHeight="1">
      <c r="B11" s="561" t="s">
        <v>262</v>
      </c>
      <c r="C11" s="561"/>
      <c r="D11" s="561"/>
      <c r="E11" s="561"/>
      <c r="F11" s="561"/>
      <c r="G11" s="561"/>
      <c r="H11" s="561"/>
      <c r="I11" s="561"/>
      <c r="J11" s="561"/>
      <c r="K11" s="561"/>
      <c r="L11" s="561"/>
      <c r="M11" s="561"/>
      <c r="N11" s="561"/>
      <c r="O11" s="561"/>
      <c r="P11" s="561"/>
      <c r="Q11" s="561"/>
      <c r="R11" s="561"/>
      <c r="S11" s="561"/>
      <c r="T11" s="561"/>
      <c r="U11" s="561"/>
      <c r="V11" s="561"/>
      <c r="W11" s="561"/>
      <c r="X11" s="561"/>
      <c r="Y11" s="561"/>
      <c r="Z11" s="561"/>
    </row>
    <row r="12" spans="2:26" s="3" customFormat="1" ht="15" customHeight="1">
      <c r="B12" s="4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2:26" ht="14.65" customHeight="1"/>
    <row r="14" spans="2:26" ht="14.65" customHeight="1"/>
    <row r="15" spans="2:26" ht="14.65" customHeight="1"/>
  </sheetData>
  <mergeCells count="2">
    <mergeCell ref="B11:Z11"/>
    <mergeCell ref="M2:Z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31AD-D5F6-4809-BC9A-5C5B0583666E}">
  <dimension ref="B2:D15"/>
  <sheetViews>
    <sheetView showGridLines="0" workbookViewId="0"/>
  </sheetViews>
  <sheetFormatPr defaultRowHeight="14.5"/>
  <cols>
    <col min="1" max="1" width="3.36328125" customWidth="1"/>
    <col min="2" max="2" width="5.81640625" customWidth="1"/>
    <col min="3" max="3" width="49.36328125" bestFit="1" customWidth="1"/>
    <col min="4" max="4" width="25.81640625" customWidth="1"/>
  </cols>
  <sheetData>
    <row r="2" spans="2:4">
      <c r="B2" s="34" t="s">
        <v>74</v>
      </c>
      <c r="C2" s="42"/>
      <c r="D2" s="42"/>
    </row>
    <row r="4" spans="2:4">
      <c r="B4" s="288" t="s">
        <v>75</v>
      </c>
      <c r="C4" s="288" t="s">
        <v>1</v>
      </c>
      <c r="D4" s="288" t="s">
        <v>76</v>
      </c>
    </row>
    <row r="5" spans="2:4">
      <c r="B5" s="286" t="s">
        <v>77</v>
      </c>
      <c r="C5" s="286"/>
      <c r="D5" s="286"/>
    </row>
    <row r="6" spans="2:4">
      <c r="B6" s="86">
        <v>1</v>
      </c>
      <c r="C6" s="84" t="s">
        <v>181</v>
      </c>
      <c r="D6" s="160" t="s">
        <v>234</v>
      </c>
    </row>
    <row r="7" spans="2:4">
      <c r="B7" s="85">
        <v>2</v>
      </c>
      <c r="C7" s="43" t="s">
        <v>78</v>
      </c>
      <c r="D7" s="161" t="s">
        <v>78</v>
      </c>
    </row>
    <row r="8" spans="2:4">
      <c r="B8" s="85">
        <v>3</v>
      </c>
      <c r="C8" s="43" t="s">
        <v>79</v>
      </c>
      <c r="D8" s="161" t="s">
        <v>79</v>
      </c>
    </row>
    <row r="9" spans="2:4">
      <c r="B9" s="85">
        <v>3</v>
      </c>
      <c r="C9" s="287" t="s">
        <v>230</v>
      </c>
      <c r="D9" s="290" t="s">
        <v>232</v>
      </c>
    </row>
    <row r="10" spans="2:4">
      <c r="B10" s="85">
        <v>3</v>
      </c>
      <c r="C10" s="287" t="s">
        <v>231</v>
      </c>
      <c r="D10" s="290" t="s">
        <v>233</v>
      </c>
    </row>
    <row r="11" spans="2:4">
      <c r="B11" s="289">
        <v>4</v>
      </c>
      <c r="C11" s="287" t="s">
        <v>271</v>
      </c>
      <c r="D11" s="290" t="s">
        <v>271</v>
      </c>
    </row>
    <row r="12" spans="2:4">
      <c r="B12" s="286" t="s">
        <v>114</v>
      </c>
      <c r="C12" s="286"/>
      <c r="D12" s="286"/>
    </row>
    <row r="13" spans="2:4">
      <c r="B13" s="86">
        <v>1</v>
      </c>
      <c r="C13" t="s">
        <v>137</v>
      </c>
      <c r="D13" s="285" t="s">
        <v>137</v>
      </c>
    </row>
    <row r="14" spans="2:4">
      <c r="B14" s="86">
        <v>2</v>
      </c>
      <c r="C14" s="84" t="s">
        <v>104</v>
      </c>
      <c r="D14" s="160" t="s">
        <v>104</v>
      </c>
    </row>
    <row r="15" spans="2:4">
      <c r="B15" s="86">
        <v>3</v>
      </c>
      <c r="C15" s="84" t="s">
        <v>138</v>
      </c>
      <c r="D15" s="160" t="s">
        <v>235</v>
      </c>
    </row>
  </sheetData>
  <hyperlinks>
    <hyperlink ref="D6" location="'P&amp;L'!A1" display="P&amp;L" xr:uid="{C018646B-7F29-4D03-A423-B863C5E46F5D}"/>
    <hyperlink ref="D7" location="'Online P&amp;L'!A1" display="Online P&amp;L" xr:uid="{A9A15B59-5312-40A2-B3FC-6723BFCD2081}"/>
    <hyperlink ref="D8" location="'Store P&amp;L'!A1" display="Store P&amp;L" xr:uid="{63424633-35F2-41B0-9BBD-0BBE9D3A4911}"/>
    <hyperlink ref="D11" location="'Additional KPIs'!A1" display="Additional KPIs" xr:uid="{C2D70D61-157A-43DA-8D8A-D423867AA480}"/>
    <hyperlink ref="D14" location="'CAC &amp; ROAS'!A1" display="ROAS" xr:uid="{0BBE71D2-C04B-47B9-824F-9D76E125166A}"/>
    <hyperlink ref="D15" location="'SKU Spread'!A1" display="SKU Spread" xr:uid="{62EE1EC2-8D68-47AB-8802-E7A21C11F28D}"/>
    <hyperlink ref="D13" location="'Repeat Rate'!A1" display="Repeat Rate" xr:uid="{D5B4B75A-6158-45EC-B026-49CC20B5A3EB}"/>
    <hyperlink ref="D9" location="BS!A1" display="BS" xr:uid="{9ACDD01E-AD2D-431F-87E5-5BF731463588}"/>
    <hyperlink ref="D10" location="CFS!A1" display="CFS" xr:uid="{53D94A93-E5E0-4B2C-B06F-7B3B1E0E876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40BB-525F-4A61-BE0A-8504C9C442A1}">
  <sheetPr>
    <tabColor theme="4"/>
  </sheetPr>
  <dimension ref="B4"/>
  <sheetViews>
    <sheetView showGridLines="0" workbookViewId="0"/>
  </sheetViews>
  <sheetFormatPr defaultColWidth="8.90625" defaultRowHeight="14.5"/>
  <cols>
    <col min="1" max="16384" width="8.90625" style="94"/>
  </cols>
  <sheetData>
    <row r="4" spans="2:2" ht="47.5">
      <c r="B4" s="95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CDFE-4478-4074-882B-02F690F89527}">
  <dimension ref="A1:BF28"/>
  <sheetViews>
    <sheetView showGridLines="0" zoomScale="75" zoomScaleNormal="85" workbookViewId="0">
      <pane xSplit="4" ySplit="4" topLeftCell="AN10" activePane="bottomRight" state="frozen"/>
      <selection pane="topRight" activeCell="D1" sqref="D1"/>
      <selection pane="bottomLeft" activeCell="A4" sqref="A4"/>
      <selection pane="bottomRight" activeCell="AN25" sqref="AN25"/>
    </sheetView>
  </sheetViews>
  <sheetFormatPr defaultRowHeight="14.5" outlineLevelCol="1"/>
  <cols>
    <col min="1" max="1" width="3.36328125" customWidth="1"/>
    <col min="2" max="2" width="4.81640625" customWidth="1"/>
    <col min="3" max="3" width="3.7265625" customWidth="1"/>
    <col min="4" max="4" width="50.7265625" customWidth="1"/>
    <col min="5" max="5" width="13.7265625" style="18" customWidth="1"/>
    <col min="6" max="17" width="13.7265625" style="18" customWidth="1" outlineLevel="1"/>
    <col min="18" max="18" width="13.7265625" style="18" customWidth="1"/>
    <col min="19" max="30" width="13.7265625" style="18" customWidth="1" outlineLevel="1"/>
    <col min="31" max="31" width="13.7265625" customWidth="1"/>
    <col min="32" max="41" width="13.7265625" customWidth="1" outlineLevel="1"/>
    <col min="42" max="42" width="15.1796875" bestFit="1" customWidth="1" outlineLevel="1"/>
    <col min="43" max="43" width="13.7265625" customWidth="1" outlineLevel="1"/>
    <col min="44" max="44" width="15.1796875" bestFit="1" customWidth="1"/>
    <col min="45" max="49" width="13.7265625" customWidth="1" outlineLevel="1"/>
    <col min="50" max="50" width="14.81640625" bestFit="1" customWidth="1"/>
    <col min="51" max="51" width="13.1796875" bestFit="1" customWidth="1"/>
    <col min="52" max="52" width="11.7265625" bestFit="1" customWidth="1"/>
    <col min="54" max="54" width="13.7265625" bestFit="1" customWidth="1"/>
    <col min="57" max="57" width="13.7265625" bestFit="1" customWidth="1"/>
    <col min="59" max="59" width="13.7265625" bestFit="1" customWidth="1"/>
  </cols>
  <sheetData>
    <row r="1" spans="1:58" ht="15" thickBot="1"/>
    <row r="2" spans="1:58" ht="18.5">
      <c r="B2" s="38" t="s">
        <v>163</v>
      </c>
      <c r="C2" s="39"/>
      <c r="D2" s="39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41"/>
      <c r="AS2" s="39"/>
      <c r="AT2" s="39"/>
      <c r="AU2" s="39"/>
      <c r="AV2" s="39"/>
      <c r="AW2" s="39"/>
      <c r="AX2" s="41"/>
    </row>
    <row r="3" spans="1:58" ht="4.9000000000000004" customHeight="1" thickBot="1">
      <c r="B3" s="44"/>
      <c r="C3" s="44"/>
      <c r="D3" s="44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</row>
    <row r="4" spans="1:58" ht="13.9" customHeight="1">
      <c r="B4" s="146" t="s">
        <v>0</v>
      </c>
      <c r="C4" s="147"/>
      <c r="D4" s="125" t="s">
        <v>1</v>
      </c>
      <c r="E4" s="421" t="s">
        <v>180</v>
      </c>
      <c r="F4" s="394" t="s">
        <v>175</v>
      </c>
      <c r="G4" s="395" t="s">
        <v>176</v>
      </c>
      <c r="H4" s="395" t="s">
        <v>177</v>
      </c>
      <c r="I4" s="395" t="s">
        <v>178</v>
      </c>
      <c r="J4" s="395" t="s">
        <v>179</v>
      </c>
      <c r="K4" s="395" t="s">
        <v>41</v>
      </c>
      <c r="L4" s="395" t="s">
        <v>42</v>
      </c>
      <c r="M4" s="395" t="s">
        <v>43</v>
      </c>
      <c r="N4" s="395" t="s">
        <v>44</v>
      </c>
      <c r="O4" s="395" t="s">
        <v>45</v>
      </c>
      <c r="P4" s="395" t="s">
        <v>46</v>
      </c>
      <c r="Q4" s="396" t="s">
        <v>47</v>
      </c>
      <c r="R4" s="421" t="s">
        <v>21</v>
      </c>
      <c r="S4" s="394" t="s">
        <v>48</v>
      </c>
      <c r="T4" s="395" t="s">
        <v>49</v>
      </c>
      <c r="U4" s="395" t="s">
        <v>50</v>
      </c>
      <c r="V4" s="395" t="s">
        <v>51</v>
      </c>
      <c r="W4" s="395" t="s">
        <v>52</v>
      </c>
      <c r="X4" s="395" t="s">
        <v>53</v>
      </c>
      <c r="Y4" s="395" t="s">
        <v>54</v>
      </c>
      <c r="Z4" s="395" t="s">
        <v>55</v>
      </c>
      <c r="AA4" s="395" t="s">
        <v>56</v>
      </c>
      <c r="AB4" s="395" t="s">
        <v>57</v>
      </c>
      <c r="AC4" s="395" t="s">
        <v>58</v>
      </c>
      <c r="AD4" s="396" t="s">
        <v>59</v>
      </c>
      <c r="AE4" s="338" t="s">
        <v>22</v>
      </c>
      <c r="AF4" s="394" t="s">
        <v>14</v>
      </c>
      <c r="AG4" s="395" t="s">
        <v>15</v>
      </c>
      <c r="AH4" s="395" t="s">
        <v>16</v>
      </c>
      <c r="AI4" s="395" t="s">
        <v>17</v>
      </c>
      <c r="AJ4" s="395" t="s">
        <v>18</v>
      </c>
      <c r="AK4" s="395" t="s">
        <v>19</v>
      </c>
      <c r="AL4" s="395" t="s">
        <v>20</v>
      </c>
      <c r="AM4" s="395" t="s">
        <v>36</v>
      </c>
      <c r="AN4" s="395" t="s">
        <v>37</v>
      </c>
      <c r="AO4" s="395" t="s">
        <v>38</v>
      </c>
      <c r="AP4" s="395" t="s">
        <v>39</v>
      </c>
      <c r="AQ4" s="396" t="s">
        <v>40</v>
      </c>
      <c r="AR4" s="397" t="s">
        <v>147</v>
      </c>
      <c r="AS4" s="391" t="s">
        <v>148</v>
      </c>
      <c r="AT4" s="391" t="s">
        <v>149</v>
      </c>
      <c r="AU4" s="391" t="s">
        <v>150</v>
      </c>
      <c r="AV4" s="391" t="s">
        <v>151</v>
      </c>
      <c r="AW4" s="391" t="s">
        <v>152</v>
      </c>
      <c r="AX4" s="397" t="s">
        <v>162</v>
      </c>
    </row>
    <row r="5" spans="1:58">
      <c r="B5" s="131"/>
      <c r="C5" s="134"/>
      <c r="D5" s="114"/>
      <c r="E5" s="22"/>
      <c r="F5" s="115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22"/>
      <c r="S5" s="115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339"/>
      <c r="AF5" s="115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398"/>
      <c r="AS5" s="50"/>
      <c r="AT5" s="50"/>
      <c r="AU5" s="50"/>
      <c r="AV5" s="50"/>
      <c r="AW5" s="50"/>
      <c r="AX5" s="398"/>
    </row>
    <row r="6" spans="1:58" s="120" customFormat="1">
      <c r="A6"/>
      <c r="B6" s="299" t="s">
        <v>2</v>
      </c>
      <c r="C6" s="300"/>
      <c r="D6" s="301" t="s">
        <v>141</v>
      </c>
      <c r="E6" s="302"/>
      <c r="F6" s="303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2"/>
      <c r="S6" s="303"/>
      <c r="T6" s="304"/>
      <c r="U6" s="304"/>
      <c r="V6" s="304"/>
      <c r="W6" s="304"/>
      <c r="X6" s="304"/>
      <c r="Y6" s="304"/>
      <c r="Z6" s="304"/>
      <c r="AA6" s="304"/>
      <c r="AB6" s="304">
        <v>2</v>
      </c>
      <c r="AC6" s="304">
        <v>2</v>
      </c>
      <c r="AD6" s="304">
        <v>2</v>
      </c>
      <c r="AE6" s="340"/>
      <c r="AF6" s="303">
        <v>2</v>
      </c>
      <c r="AG6" s="304">
        <v>2</v>
      </c>
      <c r="AH6" s="304">
        <v>2</v>
      </c>
      <c r="AI6" s="304">
        <v>2</v>
      </c>
      <c r="AJ6" s="304">
        <v>2</v>
      </c>
      <c r="AK6" s="304">
        <v>2</v>
      </c>
      <c r="AL6" s="304">
        <v>2</v>
      </c>
      <c r="AM6" s="304">
        <v>2</v>
      </c>
      <c r="AN6" s="304">
        <v>2</v>
      </c>
      <c r="AO6" s="304">
        <v>3</v>
      </c>
      <c r="AP6" s="304">
        <v>3</v>
      </c>
      <c r="AQ6" s="304">
        <v>3</v>
      </c>
      <c r="AR6" s="399"/>
      <c r="AS6" s="304">
        <v>3</v>
      </c>
      <c r="AT6" s="304">
        <v>3</v>
      </c>
      <c r="AU6" s="304">
        <v>3</v>
      </c>
      <c r="AV6" s="304">
        <v>3</v>
      </c>
      <c r="AW6" s="304">
        <v>3</v>
      </c>
      <c r="AX6" s="399"/>
    </row>
    <row r="7" spans="1:58">
      <c r="B7" s="51"/>
      <c r="C7" s="296"/>
      <c r="D7" s="297"/>
      <c r="E7" s="298"/>
      <c r="F7" s="1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298"/>
      <c r="S7" s="15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341"/>
      <c r="AF7" s="15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372"/>
      <c r="AS7" s="10"/>
      <c r="AT7" s="10"/>
      <c r="AU7" s="10"/>
      <c r="AV7" s="10"/>
      <c r="AW7" s="10"/>
      <c r="AX7" s="372"/>
    </row>
    <row r="8" spans="1:58" s="120" customFormat="1">
      <c r="A8"/>
      <c r="B8" s="162" t="s">
        <v>3</v>
      </c>
      <c r="C8" s="163" t="s">
        <v>90</v>
      </c>
      <c r="D8" s="164" t="s">
        <v>65</v>
      </c>
      <c r="E8" s="165">
        <f t="shared" ref="E8" si="0">SUM(E9:E10)</f>
        <v>0</v>
      </c>
      <c r="F8" s="166">
        <f t="shared" ref="F8:Q8" si="1">SUM(F9:F10)</f>
        <v>0</v>
      </c>
      <c r="G8" s="167">
        <f t="shared" si="1"/>
        <v>0</v>
      </c>
      <c r="H8" s="167">
        <f t="shared" si="1"/>
        <v>0</v>
      </c>
      <c r="I8" s="167">
        <f t="shared" si="1"/>
        <v>0</v>
      </c>
      <c r="J8" s="167">
        <f t="shared" si="1"/>
        <v>0</v>
      </c>
      <c r="K8" s="167">
        <f t="shared" si="1"/>
        <v>0</v>
      </c>
      <c r="L8" s="167">
        <f t="shared" si="1"/>
        <v>0</v>
      </c>
      <c r="M8" s="167">
        <f t="shared" si="1"/>
        <v>0</v>
      </c>
      <c r="N8" s="167">
        <f t="shared" si="1"/>
        <v>0</v>
      </c>
      <c r="O8" s="167">
        <f t="shared" si="1"/>
        <v>0</v>
      </c>
      <c r="P8" s="167">
        <f t="shared" si="1"/>
        <v>0</v>
      </c>
      <c r="Q8" s="167">
        <f t="shared" si="1"/>
        <v>0</v>
      </c>
      <c r="R8" s="342">
        <f>SUM(R9:R10)</f>
        <v>0</v>
      </c>
      <c r="S8" s="166">
        <f t="shared" ref="S8:AD8" si="2">SUM(S9:S10)</f>
        <v>0</v>
      </c>
      <c r="T8" s="167">
        <f t="shared" si="2"/>
        <v>0</v>
      </c>
      <c r="U8" s="167">
        <f t="shared" si="2"/>
        <v>0</v>
      </c>
      <c r="V8" s="167">
        <f t="shared" si="2"/>
        <v>0</v>
      </c>
      <c r="W8" s="167">
        <f t="shared" si="2"/>
        <v>0</v>
      </c>
      <c r="X8" s="167">
        <f t="shared" si="2"/>
        <v>0</v>
      </c>
      <c r="Y8" s="167">
        <f t="shared" si="2"/>
        <v>0</v>
      </c>
      <c r="Z8" s="167">
        <f t="shared" si="2"/>
        <v>0</v>
      </c>
      <c r="AA8" s="167">
        <f t="shared" si="2"/>
        <v>0</v>
      </c>
      <c r="AB8" s="167">
        <f t="shared" si="2"/>
        <v>0</v>
      </c>
      <c r="AC8" s="167">
        <f t="shared" si="2"/>
        <v>0</v>
      </c>
      <c r="AD8" s="167">
        <f t="shared" si="2"/>
        <v>0</v>
      </c>
      <c r="AE8" s="342">
        <f>SUM(AE9:AE10)</f>
        <v>0</v>
      </c>
      <c r="AF8" s="166">
        <f t="shared" ref="AF8:AR8" si="3">SUM(AF9:AF10)</f>
        <v>0</v>
      </c>
      <c r="AG8" s="167">
        <f t="shared" si="3"/>
        <v>0</v>
      </c>
      <c r="AH8" s="167">
        <f t="shared" si="3"/>
        <v>0</v>
      </c>
      <c r="AI8" s="167">
        <f t="shared" si="3"/>
        <v>0</v>
      </c>
      <c r="AJ8" s="167">
        <f t="shared" si="3"/>
        <v>0</v>
      </c>
      <c r="AK8" s="167">
        <f t="shared" si="3"/>
        <v>0</v>
      </c>
      <c r="AL8" s="167">
        <f t="shared" si="3"/>
        <v>0</v>
      </c>
      <c r="AM8" s="167">
        <f t="shared" si="3"/>
        <v>0</v>
      </c>
      <c r="AN8" s="167">
        <f t="shared" si="3"/>
        <v>0</v>
      </c>
      <c r="AO8" s="167">
        <f t="shared" si="3"/>
        <v>0</v>
      </c>
      <c r="AP8" s="167">
        <f t="shared" si="3"/>
        <v>0</v>
      </c>
      <c r="AQ8" s="167">
        <f t="shared" si="3"/>
        <v>0</v>
      </c>
      <c r="AR8" s="400">
        <f t="shared" si="3"/>
        <v>0</v>
      </c>
      <c r="AS8" s="167">
        <f t="shared" ref="AS8:AX8" si="4">SUM(AS9:AS10)</f>
        <v>0</v>
      </c>
      <c r="AT8" s="167">
        <f t="shared" ref="AT8:AW8" si="5">SUM(AT9:AT10)</f>
        <v>0</v>
      </c>
      <c r="AU8" s="167">
        <f t="shared" si="5"/>
        <v>0</v>
      </c>
      <c r="AV8" s="167">
        <f t="shared" si="5"/>
        <v>0</v>
      </c>
      <c r="AW8" s="167">
        <f t="shared" si="5"/>
        <v>0</v>
      </c>
      <c r="AX8" s="400">
        <f t="shared" si="4"/>
        <v>0</v>
      </c>
    </row>
    <row r="9" spans="1:58" s="120" customFormat="1">
      <c r="A9"/>
      <c r="B9" s="132"/>
      <c r="C9" s="136"/>
      <c r="D9" s="19" t="s">
        <v>61</v>
      </c>
      <c r="E9" s="138"/>
      <c r="F9" s="139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343">
        <f>SUM(F9:Q9)</f>
        <v>0</v>
      </c>
      <c r="S9" s="139"/>
      <c r="T9" s="140"/>
      <c r="U9" s="140"/>
      <c r="V9" s="140"/>
      <c r="W9" s="140"/>
      <c r="X9" s="140"/>
      <c r="Y9" s="140"/>
      <c r="Z9" s="140"/>
      <c r="AA9" s="140"/>
      <c r="AB9" s="140">
        <v>68.0</v>
      </c>
      <c r="AC9" s="140">
        <v>52.0</v>
      </c>
      <c r="AD9" s="140">
        <v>78.0</v>
      </c>
      <c r="AE9" s="343">
        <f>SUM(S9:AD9)</f>
        <v>0</v>
      </c>
      <c r="AF9" s="139">
        <v>59.0</v>
      </c>
      <c r="AG9" s="140">
        <v>41.0</v>
      </c>
      <c r="AH9" s="140">
        <v>41.0</v>
      </c>
      <c r="AI9" s="140">
        <v>31.0</v>
      </c>
      <c r="AJ9" s="140">
        <v>61.0</v>
      </c>
      <c r="AK9" s="140">
        <v>52.0</v>
      </c>
      <c r="AL9" s="140">
        <v>39.0</v>
      </c>
      <c r="AM9" s="140">
        <v>73.0</v>
      </c>
      <c r="AN9" s="140">
        <v>69.0</v>
      </c>
      <c r="AO9" s="140">
        <v>107.0</v>
      </c>
      <c r="AP9" s="140">
        <v>92.0</v>
      </c>
      <c r="AQ9" s="140">
        <v>105.0</v>
      </c>
      <c r="AR9" s="401">
        <f>SUM(AF9:AQ9)</f>
        <v>0</v>
      </c>
      <c r="AS9" s="140">
        <v>70.0</v>
      </c>
      <c r="AT9" s="140">
        <v>101.0</v>
      </c>
      <c r="AU9" s="140">
        <v>96.0</v>
      </c>
      <c r="AV9" s="140">
        <v>105.0</v>
      </c>
      <c r="AW9" s="140">
        <v>170.0</v>
      </c>
      <c r="AX9" s="401">
        <f>SUM(AS9:AW9)</f>
        <v>0</v>
      </c>
      <c r="BF9" s="522"/>
    </row>
    <row r="10" spans="1:58" s="120" customFormat="1">
      <c r="A10"/>
      <c r="B10" s="132"/>
      <c r="C10" s="136"/>
      <c r="D10" s="19" t="s">
        <v>85</v>
      </c>
      <c r="E10" s="138"/>
      <c r="F10" s="139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343">
        <f>SUM(F10:Q10)</f>
        <v>0</v>
      </c>
      <c r="S10" s="139"/>
      <c r="T10" s="140"/>
      <c r="U10" s="140"/>
      <c r="V10" s="140"/>
      <c r="W10" s="140"/>
      <c r="X10" s="140"/>
      <c r="Y10" s="140"/>
      <c r="Z10" s="140"/>
      <c r="AA10" s="140"/>
      <c r="AB10" s="140">
        <v>0.0</v>
      </c>
      <c r="AC10" s="140">
        <v>0.0</v>
      </c>
      <c r="AD10" s="140">
        <v>0.0</v>
      </c>
      <c r="AE10" s="343">
        <f>SUM(S10:AD10)</f>
        <v>0</v>
      </c>
      <c r="AF10" s="139">
        <v>0.0</v>
      </c>
      <c r="AG10" s="140">
        <v>0.0</v>
      </c>
      <c r="AH10" s="140">
        <v>0.0</v>
      </c>
      <c r="AI10" s="140">
        <v>0.0</v>
      </c>
      <c r="AJ10" s="140">
        <v>0.0</v>
      </c>
      <c r="AK10" s="140">
        <v>0.0</v>
      </c>
      <c r="AL10" s="140">
        <v>0.0</v>
      </c>
      <c r="AM10" s="140">
        <v>0.0</v>
      </c>
      <c r="AN10" s="140">
        <v>0.0</v>
      </c>
      <c r="AO10" s="140">
        <v>0.0</v>
      </c>
      <c r="AP10" s="140">
        <v>0.0</v>
      </c>
      <c r="AQ10" s="140">
        <v>4.0</v>
      </c>
      <c r="AR10" s="401">
        <f>SUM(AF10:AQ10)</f>
        <v>0</v>
      </c>
      <c r="AS10" s="140">
        <v>4.0</v>
      </c>
      <c r="AT10" s="140">
        <v>8.0</v>
      </c>
      <c r="AU10" s="140">
        <v>8.0</v>
      </c>
      <c r="AV10" s="140">
        <v>9.0</v>
      </c>
      <c r="AW10" s="140">
        <v>7.0</v>
      </c>
      <c r="AX10" s="401">
        <f>SUM(AS10:AW10)</f>
        <v>0</v>
      </c>
      <c r="BF10" s="521"/>
    </row>
    <row r="11" spans="1:58" s="120" customFormat="1">
      <c r="A11"/>
      <c r="B11" s="132"/>
      <c r="C11" s="136"/>
      <c r="D11" s="126"/>
      <c r="E11" s="138"/>
      <c r="F11" s="139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343"/>
      <c r="S11" s="139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343"/>
      <c r="AF11" s="139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401"/>
      <c r="AS11" s="140"/>
      <c r="AT11" s="140"/>
      <c r="AU11" s="140"/>
      <c r="AV11" s="140"/>
      <c r="AW11" s="140"/>
      <c r="AX11" s="401"/>
      <c r="BF11" s="521"/>
    </row>
    <row r="12" spans="1:58" s="121" customFormat="1">
      <c r="A12" s="21"/>
      <c r="B12" s="133"/>
      <c r="C12" s="135" t="s">
        <v>91</v>
      </c>
      <c r="D12" s="127" t="s">
        <v>86</v>
      </c>
      <c r="E12" s="130" t="str">
        <f>IFERROR(#REF!/E8,"-")</f>
        <v>-</v>
      </c>
      <c r="F12" s="128" t="str">
        <f>IFERROR(#REF!/F8,"-")</f>
        <v>-</v>
      </c>
      <c r="G12" s="129" t="str">
        <f>IFERROR(#REF!/G8,"-")</f>
        <v>-</v>
      </c>
      <c r="H12" s="129" t="str">
        <f>IFERROR(#REF!/H8,"-")</f>
        <v>-</v>
      </c>
      <c r="I12" s="129" t="str">
        <f>IFERROR(#REF!/I8,"-")</f>
        <v>-</v>
      </c>
      <c r="J12" s="129" t="str">
        <f>IFERROR(#REF!/J8,"-")</f>
        <v>-</v>
      </c>
      <c r="K12" s="129" t="str">
        <f>IFERROR(#REF!/K8,"-")</f>
        <v>-</v>
      </c>
      <c r="L12" s="129" t="str">
        <f>IFERROR(#REF!/L8,"-")</f>
        <v>-</v>
      </c>
      <c r="M12" s="129" t="str">
        <f>IFERROR(#REF!/M8,"-")</f>
        <v>-</v>
      </c>
      <c r="N12" s="129" t="str">
        <f>IFERROR(#REF!/N8,"-")</f>
        <v>-</v>
      </c>
      <c r="O12" s="129" t="str">
        <f>IFERROR(#REF!/O8,"-")</f>
        <v>-</v>
      </c>
      <c r="P12" s="129" t="str">
        <f>IFERROR(#REF!/P8,"-")</f>
        <v>-</v>
      </c>
      <c r="Q12" s="129" t="str">
        <f>IFERROR(#REF!/Q8,"-")</f>
        <v>-</v>
      </c>
      <c r="R12" s="344" t="str">
        <f>IFERROR(#REF!/R8,"-")</f>
        <v>-</v>
      </c>
      <c r="S12" s="128" t="str">
        <f>IFERROR(#REF!/S8,"-")</f>
        <v>-</v>
      </c>
      <c r="T12" s="129" t="str">
        <f>IFERROR(#REF!/T8,"-")</f>
        <v>-</v>
      </c>
      <c r="U12" s="129" t="str">
        <f>IFERROR(#REF!/U8,"-")</f>
        <v>-</v>
      </c>
      <c r="V12" s="129" t="str">
        <f>IFERROR(#REF!/V8,"-")</f>
        <v>-</v>
      </c>
      <c r="W12" s="129" t="str">
        <f>IFERROR(#REF!/W8,"-")</f>
        <v>-</v>
      </c>
      <c r="X12" s="129" t="str">
        <f>IFERROR(#REF!/X8,"-")</f>
        <v>-</v>
      </c>
      <c r="Y12" s="129" t="str">
        <f>IFERROR(#REF!/Y8,"-")</f>
        <v>-</v>
      </c>
      <c r="Z12" s="129" t="str">
        <f>IFERROR(#REF!/Z8,"-")</f>
        <v>-</v>
      </c>
      <c r="AA12" s="129" t="str">
        <f>IFERROR(#REF!/AA8,"-")</f>
        <v>-</v>
      </c>
      <c r="AB12" s="129" t="str">
        <f>IFERROR(#REF!/AB8,"-")</f>
        <v>-</v>
      </c>
      <c r="AC12" s="129" t="str">
        <f>IFERROR(#REF!/AC8,"-")</f>
        <v>-</v>
      </c>
      <c r="AD12" s="129" t="str">
        <f>IFERROR(#REF!/AD8,"-")</f>
        <v>-</v>
      </c>
      <c r="AE12" s="344" t="str">
        <f>IFERROR(#REF!/AE8,"-")</f>
        <v>-</v>
      </c>
      <c r="AF12" s="128" t="str">
        <f>IFERROR(#REF!/AF8,"-")</f>
        <v>-</v>
      </c>
      <c r="AG12" s="129" t="str">
        <f>IFERROR(#REF!/AG8,"-")</f>
        <v>-</v>
      </c>
      <c r="AH12" s="129" t="str">
        <f>IFERROR(#REF!/AH8,"-")</f>
        <v>-</v>
      </c>
      <c r="AI12" s="129" t="str">
        <f>IFERROR(#REF!/AI8,"-")</f>
        <v>-</v>
      </c>
      <c r="AJ12" s="129" t="str">
        <f>IFERROR(#REF!/AJ8,"-")</f>
        <v>-</v>
      </c>
      <c r="AK12" s="129" t="str">
        <f>IFERROR(#REF!/AK8,"-")</f>
        <v>-</v>
      </c>
      <c r="AL12" s="129" t="str">
        <f>IFERROR(#REF!/AL8,"-")</f>
        <v>-</v>
      </c>
      <c r="AM12" s="129" t="str">
        <f>IFERROR(#REF!/AM8,"-")</f>
        <v>-</v>
      </c>
      <c r="AN12" s="129" t="str">
        <f>IFERROR(#REF!/AN8,"-")</f>
        <v>-</v>
      </c>
      <c r="AO12" s="129" t="str">
        <f>IFERROR(#REF!/AO8,"-")</f>
        <v>-</v>
      </c>
      <c r="AP12" s="129" t="str">
        <f>IFERROR(#REF!/AP8,"-")</f>
        <v>-</v>
      </c>
      <c r="AQ12" s="129" t="str">
        <f>IFERROR(#REF!/AQ8,"-")</f>
        <v>-</v>
      </c>
      <c r="AR12" s="402" t="str">
        <f>IFERROR(#REF!/AR8,"-")</f>
        <v>-</v>
      </c>
      <c r="AS12" s="129" t="str">
        <f>IFERROR(#REF!/AS8,"-")</f>
        <v>-</v>
      </c>
      <c r="AT12" s="129" t="str">
        <f>IFERROR(#REF!/AT8,"-")</f>
        <v>-</v>
      </c>
      <c r="AU12" s="129" t="str">
        <f>IFERROR(#REF!/AU8,"-")</f>
        <v>-</v>
      </c>
      <c r="AV12" s="129" t="str">
        <f>IFERROR(#REF!/AV8,"-")</f>
        <v>-</v>
      </c>
      <c r="AW12" s="129" t="str">
        <f>IFERROR(#REF!/AW8,"-")</f>
        <v>-</v>
      </c>
      <c r="AX12" s="402" t="str">
        <f>IFERROR(#REF!/AX8,"-")</f>
        <v>-</v>
      </c>
      <c r="BF12"/>
    </row>
    <row r="13" spans="1:58" s="120" customFormat="1">
      <c r="A13"/>
      <c r="B13" s="76"/>
      <c r="C13" s="137"/>
      <c r="D13" s="19" t="s">
        <v>87</v>
      </c>
      <c r="E13" s="122" t="str">
        <f>IFERROR(#REF!/E9,"-")</f>
        <v>-</v>
      </c>
      <c r="F13" s="123" t="str">
        <f>IFERROR(#REF!/F9,"-")</f>
        <v>-</v>
      </c>
      <c r="G13" s="124" t="str">
        <f>IFERROR(#REF!/G9,"-")</f>
        <v>-</v>
      </c>
      <c r="H13" s="124" t="str">
        <f>IFERROR(#REF!/H9,"-")</f>
        <v>-</v>
      </c>
      <c r="I13" s="124" t="str">
        <f>IFERROR(#REF!/I9,"-")</f>
        <v>-</v>
      </c>
      <c r="J13" s="124" t="str">
        <f>IFERROR(#REF!/J9,"-")</f>
        <v>-</v>
      </c>
      <c r="K13" s="124" t="str">
        <f>IFERROR(#REF!/K9,"-")</f>
        <v>-</v>
      </c>
      <c r="L13" s="124" t="str">
        <f>IFERROR(#REF!/L9,"-")</f>
        <v>-</v>
      </c>
      <c r="M13" s="124" t="str">
        <f>IFERROR(#REF!/M9,"-")</f>
        <v>-</v>
      </c>
      <c r="N13" s="124" t="str">
        <f>IFERROR(#REF!/N9,"-")</f>
        <v>-</v>
      </c>
      <c r="O13" s="124" t="str">
        <f>IFERROR(#REF!/O9,"-")</f>
        <v>-</v>
      </c>
      <c r="P13" s="124" t="str">
        <f>IFERROR(#REF!/P9,"-")</f>
        <v>-</v>
      </c>
      <c r="Q13" s="124" t="str">
        <f>IFERROR(#REF!/Q9,"-")</f>
        <v>-</v>
      </c>
      <c r="R13" s="345" t="str">
        <f>IFERROR(#REF!/R9,"-")</f>
        <v>-</v>
      </c>
      <c r="S13" s="123" t="str">
        <f>IFERROR(#REF!/S9,"-")</f>
        <v>-</v>
      </c>
      <c r="T13" s="124" t="str">
        <f>IFERROR(#REF!/T9,"-")</f>
        <v>-</v>
      </c>
      <c r="U13" s="124" t="str">
        <f>IFERROR(#REF!/U9,"-")</f>
        <v>-</v>
      </c>
      <c r="V13" s="124" t="str">
        <f>IFERROR(#REF!/V9,"-")</f>
        <v>-</v>
      </c>
      <c r="W13" s="124" t="str">
        <f>IFERROR(#REF!/W9,"-")</f>
        <v>-</v>
      </c>
      <c r="X13" s="124" t="str">
        <f>IFERROR(#REF!/X9,"-")</f>
        <v>-</v>
      </c>
      <c r="Y13" s="124" t="str">
        <f>IFERROR(#REF!/Y9,"-")</f>
        <v>-</v>
      </c>
      <c r="Z13" s="124" t="str">
        <f>IFERROR(#REF!/Z9,"-")</f>
        <v>-</v>
      </c>
      <c r="AA13" s="124" t="str">
        <f>IFERROR(#REF!/AA9,"-")</f>
        <v>-</v>
      </c>
      <c r="AB13" s="124" t="str">
        <f>IFERROR(#REF!/AB9,"-")</f>
        <v>-</v>
      </c>
      <c r="AC13" s="124" t="str">
        <f>IFERROR(#REF!/AC9,"-")</f>
        <v>-</v>
      </c>
      <c r="AD13" s="124" t="str">
        <f>IFERROR(#REF!/AD9,"-")</f>
        <v>-</v>
      </c>
      <c r="AE13" s="345" t="str">
        <f>IFERROR(#REF!/AE9,"-")</f>
        <v>-</v>
      </c>
      <c r="AF13" s="123" t="str">
        <f>IFERROR(#REF!/AF9,"-")</f>
        <v>-</v>
      </c>
      <c r="AG13" s="124" t="str">
        <f>IFERROR(#REF!/AG9,"-")</f>
        <v>-</v>
      </c>
      <c r="AH13" s="124" t="str">
        <f>IFERROR(#REF!/AH9,"-")</f>
        <v>-</v>
      </c>
      <c r="AI13" s="124" t="str">
        <f>IFERROR(#REF!/AI9,"-")</f>
        <v>-</v>
      </c>
      <c r="AJ13" s="124" t="str">
        <f>IFERROR(#REF!/AJ9,"-")</f>
        <v>-</v>
      </c>
      <c r="AK13" s="124" t="str">
        <f>IFERROR(#REF!/AK9,"-")</f>
        <v>-</v>
      </c>
      <c r="AL13" s="124" t="str">
        <f>IFERROR(#REF!/AL9,"-")</f>
        <v>-</v>
      </c>
      <c r="AM13" s="124" t="str">
        <f>IFERROR(#REF!/AM9,"-")</f>
        <v>-</v>
      </c>
      <c r="AN13" s="124" t="str">
        <f>IFERROR(#REF!/AN9,"-")</f>
        <v>-</v>
      </c>
      <c r="AO13" s="124" t="str">
        <f>IFERROR(#REF!/AO9,"-")</f>
        <v>-</v>
      </c>
      <c r="AP13" s="124" t="str">
        <f>IFERROR(#REF!/AP9,"-")</f>
        <v>-</v>
      </c>
      <c r="AQ13" s="124" t="str">
        <f>IFERROR(#REF!/AQ9,"-")</f>
        <v>-</v>
      </c>
      <c r="AR13" s="393" t="str">
        <f>IFERROR(#REF!/AR9,"-")</f>
        <v>-</v>
      </c>
      <c r="AS13" s="124" t="str">
        <f>IFERROR(#REF!/AS9,"-")</f>
        <v>-</v>
      </c>
      <c r="AT13" s="124" t="str">
        <f>IFERROR(#REF!/AT9,"-")</f>
        <v>-</v>
      </c>
      <c r="AU13" s="124" t="str">
        <f>IFERROR(#REF!/AU9,"-")</f>
        <v>-</v>
      </c>
      <c r="AV13" s="124" t="str">
        <f>IFERROR(#REF!/AV9,"-")</f>
        <v>-</v>
      </c>
      <c r="AW13" s="124" t="str">
        <f>IFERROR(#REF!/AW9,"-")</f>
        <v>-</v>
      </c>
      <c r="AX13" s="393" t="str">
        <f>IFERROR(#REF!/AX9,"-")</f>
        <v>-</v>
      </c>
      <c r="BF13"/>
    </row>
    <row r="14" spans="1:58" s="120" customFormat="1">
      <c r="A14"/>
      <c r="B14" s="76"/>
      <c r="C14" s="137"/>
      <c r="D14" s="19" t="s">
        <v>164</v>
      </c>
      <c r="E14" s="141" t="str">
        <f>IFERROR(#REF!/E10,"-")</f>
        <v>-</v>
      </c>
      <c r="F14" s="123" t="str">
        <f>IFERROR(#REF!/F10,"-")</f>
        <v>-</v>
      </c>
      <c r="G14" s="124" t="str">
        <f>IFERROR(#REF!/G10,"-")</f>
        <v>-</v>
      </c>
      <c r="H14" s="124" t="str">
        <f>IFERROR(#REF!/H10,"-")</f>
        <v>-</v>
      </c>
      <c r="I14" s="124" t="str">
        <f>IFERROR(#REF!/I10,"-")</f>
        <v>-</v>
      </c>
      <c r="J14" s="124" t="str">
        <f>IFERROR(#REF!/J10,"-")</f>
        <v>-</v>
      </c>
      <c r="K14" s="124" t="str">
        <f>IFERROR(#REF!/K10,"-")</f>
        <v>-</v>
      </c>
      <c r="L14" s="124" t="str">
        <f>IFERROR(#REF!/L10,"-")</f>
        <v>-</v>
      </c>
      <c r="M14" s="124" t="str">
        <f>IFERROR(#REF!/M10,"-")</f>
        <v>-</v>
      </c>
      <c r="N14" s="124" t="str">
        <f>IFERROR(#REF!/N10,"-")</f>
        <v>-</v>
      </c>
      <c r="O14" s="124" t="str">
        <f>IFERROR(#REF!/O10,"-")</f>
        <v>-</v>
      </c>
      <c r="P14" s="124" t="str">
        <f>IFERROR(#REF!/P10,"-")</f>
        <v>-</v>
      </c>
      <c r="Q14" s="124" t="str">
        <f>IFERROR(#REF!/Q10,"-")</f>
        <v>-</v>
      </c>
      <c r="R14" s="345" t="str">
        <f>IFERROR(#REF!/R10,"-")</f>
        <v>-</v>
      </c>
      <c r="S14" s="123" t="str">
        <f>IFERROR(#REF!/S10,"-")</f>
        <v>-</v>
      </c>
      <c r="T14" s="124" t="str">
        <f>IFERROR(#REF!/T10,"-")</f>
        <v>-</v>
      </c>
      <c r="U14" s="124" t="str">
        <f>IFERROR(#REF!/U10,"-")</f>
        <v>-</v>
      </c>
      <c r="V14" s="124" t="str">
        <f>IFERROR(#REF!/V10,"-")</f>
        <v>-</v>
      </c>
      <c r="W14" s="124" t="str">
        <f>IFERROR(#REF!/W10,"-")</f>
        <v>-</v>
      </c>
      <c r="X14" s="124" t="str">
        <f>IFERROR(#REF!/X10,"-")</f>
        <v>-</v>
      </c>
      <c r="Y14" s="124" t="str">
        <f>IFERROR(#REF!/Y10,"-")</f>
        <v>-</v>
      </c>
      <c r="Z14" s="124" t="str">
        <f>IFERROR(#REF!/Z10,"-")</f>
        <v>-</v>
      </c>
      <c r="AA14" s="124" t="str">
        <f>IFERROR(#REF!/AA10,"-")</f>
        <v>-</v>
      </c>
      <c r="AB14" s="124" t="str">
        <f>IFERROR(#REF!/AB10,"-")</f>
        <v>-</v>
      </c>
      <c r="AC14" s="124" t="str">
        <f>IFERROR(#REF!/AC10,"-")</f>
        <v>-</v>
      </c>
      <c r="AD14" s="124" t="str">
        <f>IFERROR(#REF!/AD10,"-")</f>
        <v>-</v>
      </c>
      <c r="AE14" s="345" t="str">
        <f>IFERROR(#REF!/AE10,"-")</f>
        <v>-</v>
      </c>
      <c r="AF14" s="123" t="str">
        <f>IFERROR(#REF!/AF10,"-")</f>
        <v>-</v>
      </c>
      <c r="AG14" s="124" t="str">
        <f>IFERROR(#REF!/AG10,"-")</f>
        <v>-</v>
      </c>
      <c r="AH14" s="124" t="str">
        <f>IFERROR(#REF!/AH10,"-")</f>
        <v>-</v>
      </c>
      <c r="AI14" s="124" t="str">
        <f>IFERROR(#REF!/AI10,"-")</f>
        <v>-</v>
      </c>
      <c r="AJ14" s="124" t="str">
        <f>IFERROR(#REF!/AJ10,"-")</f>
        <v>-</v>
      </c>
      <c r="AK14" s="124" t="str">
        <f>IFERROR(#REF!/AK10,"-")</f>
        <v>-</v>
      </c>
      <c r="AL14" s="124" t="str">
        <f>IFERROR(#REF!/AL10,"-")</f>
        <v>-</v>
      </c>
      <c r="AM14" s="124" t="str">
        <f>IFERROR(#REF!/AM10,"-")</f>
        <v>-</v>
      </c>
      <c r="AN14" s="124" t="str">
        <f>IFERROR(#REF!/AN10,"-")</f>
        <v>-</v>
      </c>
      <c r="AO14" s="124" t="str">
        <f>IFERROR(#REF!/AO10,"-")</f>
        <v>-</v>
      </c>
      <c r="AP14" s="124" t="str">
        <f>IFERROR(#REF!/AP10,"-")</f>
        <v>-</v>
      </c>
      <c r="AQ14" s="124" t="str">
        <f>IFERROR(#REF!/AQ10,"-")</f>
        <v>-</v>
      </c>
      <c r="AR14" s="393" t="str">
        <f>IFERROR(#REF!/AR10,"-")</f>
        <v>-</v>
      </c>
      <c r="AS14" s="124" t="str">
        <f>IFERROR(#REF!/AS10,"-")</f>
        <v>-</v>
      </c>
      <c r="AT14" s="124" t="str">
        <f>IFERROR(#REF!/AT10,"-")</f>
        <v>-</v>
      </c>
      <c r="AU14" s="124" t="str">
        <f>IFERROR(#REF!/AU10,"-")</f>
        <v>-</v>
      </c>
      <c r="AV14" s="124" t="str">
        <f>IFERROR(#REF!/AV10,"-")</f>
        <v>-</v>
      </c>
      <c r="AW14" s="124" t="str">
        <f>IFERROR(#REF!/AW10,"-")</f>
        <v>-</v>
      </c>
      <c r="AX14" s="393" t="str">
        <f>IFERROR(#REF!/AX10,"-")</f>
        <v>-</v>
      </c>
      <c r="BF14"/>
    </row>
    <row r="15" spans="1:58" s="120" customFormat="1">
      <c r="A15"/>
      <c r="B15" s="76"/>
      <c r="C15" s="135"/>
      <c r="D15" s="116"/>
      <c r="E15" s="141"/>
      <c r="F15" s="123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345"/>
      <c r="S15" s="123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345"/>
      <c r="AF15" s="123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393"/>
      <c r="AS15" s="124"/>
      <c r="AT15" s="124"/>
      <c r="AU15" s="124"/>
      <c r="AV15" s="124"/>
      <c r="AW15" s="124"/>
      <c r="AX15" s="393"/>
      <c r="BF15"/>
    </row>
    <row r="16" spans="1:58" s="120" customFormat="1">
      <c r="A16"/>
      <c r="B16" s="162" t="s">
        <v>4</v>
      </c>
      <c r="C16" s="163" t="s">
        <v>90</v>
      </c>
      <c r="D16" s="164" t="s">
        <v>146</v>
      </c>
      <c r="E16" s="165">
        <f t="shared" ref="E16" si="6">SUM(E17:E18)</f>
        <v>0</v>
      </c>
      <c r="F16" s="166">
        <f t="shared" ref="F16:Q16" si="7">SUM(F17:F18)</f>
        <v>0</v>
      </c>
      <c r="G16" s="167">
        <f t="shared" si="7"/>
        <v>0</v>
      </c>
      <c r="H16" s="167">
        <f t="shared" si="7"/>
        <v>0</v>
      </c>
      <c r="I16" s="167">
        <f t="shared" si="7"/>
        <v>0</v>
      </c>
      <c r="J16" s="167">
        <f t="shared" si="7"/>
        <v>0</v>
      </c>
      <c r="K16" s="167">
        <f t="shared" si="7"/>
        <v>0</v>
      </c>
      <c r="L16" s="167">
        <f t="shared" si="7"/>
        <v>0</v>
      </c>
      <c r="M16" s="167">
        <f t="shared" si="7"/>
        <v>0</v>
      </c>
      <c r="N16" s="167">
        <f t="shared" si="7"/>
        <v>0</v>
      </c>
      <c r="O16" s="167">
        <f t="shared" si="7"/>
        <v>0</v>
      </c>
      <c r="P16" s="167">
        <f t="shared" si="7"/>
        <v>0</v>
      </c>
      <c r="Q16" s="167">
        <f t="shared" si="7"/>
        <v>0</v>
      </c>
      <c r="R16" s="342">
        <f>SUM(R17:R18)</f>
        <v>0</v>
      </c>
      <c r="S16" s="166">
        <f t="shared" ref="S16:AD16" si="8">SUM(S17:S18)</f>
        <v>0</v>
      </c>
      <c r="T16" s="167">
        <f t="shared" si="8"/>
        <v>0</v>
      </c>
      <c r="U16" s="167">
        <f t="shared" si="8"/>
        <v>0</v>
      </c>
      <c r="V16" s="167">
        <f t="shared" si="8"/>
        <v>0</v>
      </c>
      <c r="W16" s="167">
        <f t="shared" si="8"/>
        <v>0</v>
      </c>
      <c r="X16" s="167">
        <f t="shared" si="8"/>
        <v>0</v>
      </c>
      <c r="Y16" s="167">
        <f t="shared" si="8"/>
        <v>0</v>
      </c>
      <c r="Z16" s="167">
        <f t="shared" si="8"/>
        <v>0</v>
      </c>
      <c r="AA16" s="167">
        <f t="shared" si="8"/>
        <v>0</v>
      </c>
      <c r="AB16" s="167">
        <f t="shared" si="8"/>
        <v>0</v>
      </c>
      <c r="AC16" s="167">
        <f t="shared" si="8"/>
        <v>0</v>
      </c>
      <c r="AD16" s="167">
        <f t="shared" si="8"/>
        <v>0</v>
      </c>
      <c r="AE16" s="342">
        <f>SUM(AE17:AE18)</f>
        <v>0</v>
      </c>
      <c r="AF16" s="166">
        <f t="shared" ref="AF16" si="9">SUM(AF17:AF18)</f>
        <v>0</v>
      </c>
      <c r="AG16" s="167">
        <f t="shared" ref="AG16" si="10">SUM(AG17:AG18)</f>
        <v>0</v>
      </c>
      <c r="AH16" s="167">
        <f t="shared" ref="AH16" si="11">SUM(AH17:AH18)</f>
        <v>0</v>
      </c>
      <c r="AI16" s="167">
        <f t="shared" ref="AI16" si="12">SUM(AI17:AI18)</f>
        <v>0</v>
      </c>
      <c r="AJ16" s="167">
        <f t="shared" ref="AJ16" si="13">SUM(AJ17:AJ18)</f>
        <v>0</v>
      </c>
      <c r="AK16" s="167">
        <f t="shared" ref="AK16" si="14">SUM(AK17:AK18)</f>
        <v>0</v>
      </c>
      <c r="AL16" s="167">
        <f t="shared" ref="AL16" si="15">SUM(AL17:AL18)</f>
        <v>0</v>
      </c>
      <c r="AM16" s="167">
        <f t="shared" ref="AM16" si="16">SUM(AM17:AM18)</f>
        <v>0</v>
      </c>
      <c r="AN16" s="167">
        <f t="shared" ref="AN16" si="17">SUM(AN17:AN18)</f>
        <v>0</v>
      </c>
      <c r="AO16" s="167">
        <f t="shared" ref="AO16" si="18">SUM(AO17:AO18)</f>
        <v>0</v>
      </c>
      <c r="AP16" s="167">
        <f t="shared" ref="AP16" si="19">SUM(AP17:AP18)</f>
        <v>0</v>
      </c>
      <c r="AQ16" s="167">
        <f t="shared" ref="AQ16:AS16" si="20">SUM(AQ17:AQ18)</f>
        <v>0</v>
      </c>
      <c r="AR16" s="400">
        <f t="shared" ref="AR16:AX16" si="21">SUM(AR17:AR18)</f>
        <v>0</v>
      </c>
      <c r="AS16" s="167">
        <f t="shared" si="20"/>
        <v>0</v>
      </c>
      <c r="AT16" s="167">
        <f t="shared" ref="AT16:AW16" si="22">SUM(AT17:AT18)</f>
        <v>0</v>
      </c>
      <c r="AU16" s="167">
        <f t="shared" si="22"/>
        <v>0</v>
      </c>
      <c r="AV16" s="167">
        <f t="shared" si="22"/>
        <v>0</v>
      </c>
      <c r="AW16" s="167">
        <f t="shared" si="22"/>
        <v>0</v>
      </c>
      <c r="AX16" s="400">
        <f t="shared" si="21"/>
        <v>0</v>
      </c>
      <c r="BF16"/>
    </row>
    <row r="17" spans="1:58" s="120" customFormat="1">
      <c r="A17"/>
      <c r="B17" s="133"/>
      <c r="C17" s="136"/>
      <c r="D17" s="19" t="s">
        <v>61</v>
      </c>
      <c r="E17" s="138"/>
      <c r="F17" s="139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343">
        <f>SUM(F17:Q17)</f>
        <v>0</v>
      </c>
      <c r="S17" s="139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343">
        <f>SUM(S17:AD17)</f>
        <v>0</v>
      </c>
      <c r="AF17" s="139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401">
        <f>SUM(AF17:AQ17)</f>
        <v>0</v>
      </c>
      <c r="AS17" s="140"/>
      <c r="AT17" s="140"/>
      <c r="AU17" s="140"/>
      <c r="AV17" s="140"/>
      <c r="AW17" s="140"/>
      <c r="AX17" s="401">
        <f>SUM(AS17:AW17)</f>
        <v>0</v>
      </c>
      <c r="BF17"/>
    </row>
    <row r="18" spans="1:58" s="120" customFormat="1">
      <c r="A18"/>
      <c r="B18" s="133"/>
      <c r="C18" s="136"/>
      <c r="D18" s="19" t="s">
        <v>85</v>
      </c>
      <c r="E18" s="138"/>
      <c r="F18" s="139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343">
        <f>SUM(F18:Q18)</f>
        <v>0</v>
      </c>
      <c r="S18" s="139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343">
        <f>SUM(S18:AD18)</f>
        <v>0</v>
      </c>
      <c r="AF18" s="139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401">
        <f>SUM(AF18:AQ18)</f>
        <v>0</v>
      </c>
      <c r="AS18" s="140"/>
      <c r="AT18" s="140"/>
      <c r="AU18" s="140"/>
      <c r="AV18" s="140"/>
      <c r="AW18" s="140"/>
      <c r="AX18" s="401">
        <f>SUM(AS18:AW18)</f>
        <v>0</v>
      </c>
      <c r="BF18"/>
    </row>
    <row r="19" spans="1:58" s="120" customFormat="1">
      <c r="A19"/>
      <c r="B19" s="133"/>
      <c r="C19" s="136"/>
      <c r="D19" s="126"/>
      <c r="E19" s="138"/>
      <c r="F19" s="139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343"/>
      <c r="S19" s="139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343"/>
      <c r="AF19" s="139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401"/>
      <c r="AS19" s="140"/>
      <c r="AT19" s="140"/>
      <c r="AU19" s="140"/>
      <c r="AV19" s="140"/>
      <c r="AW19" s="140"/>
      <c r="AX19" s="401"/>
      <c r="BF19"/>
    </row>
    <row r="20" spans="1:58" s="120" customFormat="1">
      <c r="A20"/>
      <c r="B20" s="133"/>
      <c r="C20" s="135" t="s">
        <v>91</v>
      </c>
      <c r="D20" s="127" t="s">
        <v>88</v>
      </c>
      <c r="E20" s="130" t="str">
        <f>IFERROR(#REF!/E16,"-")</f>
        <v>-</v>
      </c>
      <c r="F20" s="128" t="str">
        <f>IFERROR(#REF!/F16,"-")</f>
        <v>-</v>
      </c>
      <c r="G20" s="129" t="str">
        <f>IFERROR(#REF!/G16,"-")</f>
        <v>-</v>
      </c>
      <c r="H20" s="129" t="str">
        <f>IFERROR(#REF!/H16,"-")</f>
        <v>-</v>
      </c>
      <c r="I20" s="129" t="str">
        <f>IFERROR(#REF!/I16,"-")</f>
        <v>-</v>
      </c>
      <c r="J20" s="129" t="str">
        <f>IFERROR(#REF!/J16,"-")</f>
        <v>-</v>
      </c>
      <c r="K20" s="129" t="str">
        <f>IFERROR(#REF!/K16,"-")</f>
        <v>-</v>
      </c>
      <c r="L20" s="129" t="str">
        <f>IFERROR(#REF!/L16,"-")</f>
        <v>-</v>
      </c>
      <c r="M20" s="129" t="str">
        <f>IFERROR(#REF!/M16,"-")</f>
        <v>-</v>
      </c>
      <c r="N20" s="129" t="str">
        <f>IFERROR(#REF!/N16,"-")</f>
        <v>-</v>
      </c>
      <c r="O20" s="129" t="str">
        <f>IFERROR(#REF!/O16,"-")</f>
        <v>-</v>
      </c>
      <c r="P20" s="129" t="str">
        <f>IFERROR(#REF!/P16,"-")</f>
        <v>-</v>
      </c>
      <c r="Q20" s="129" t="str">
        <f>IFERROR(#REF!/Q16,"-")</f>
        <v>-</v>
      </c>
      <c r="R20" s="344" t="str">
        <f>IFERROR(#REF!/R16,"-")</f>
        <v>-</v>
      </c>
      <c r="S20" s="128" t="str">
        <f>IFERROR(#REF!/S16,"-")</f>
        <v>-</v>
      </c>
      <c r="T20" s="129" t="str">
        <f>IFERROR(#REF!/T16,"-")</f>
        <v>-</v>
      </c>
      <c r="U20" s="129" t="str">
        <f>IFERROR(#REF!/U16,"-")</f>
        <v>-</v>
      </c>
      <c r="V20" s="129" t="str">
        <f>IFERROR(#REF!/V16,"-")</f>
        <v>-</v>
      </c>
      <c r="W20" s="129" t="str">
        <f>IFERROR(#REF!/W16,"-")</f>
        <v>-</v>
      </c>
      <c r="X20" s="129" t="str">
        <f>IFERROR(#REF!/X16,"-")</f>
        <v>-</v>
      </c>
      <c r="Y20" s="129" t="str">
        <f>IFERROR(#REF!/Y16,"-")</f>
        <v>-</v>
      </c>
      <c r="Z20" s="129" t="str">
        <f>IFERROR(#REF!/Z16,"-")</f>
        <v>-</v>
      </c>
      <c r="AA20" s="129" t="str">
        <f>IFERROR(#REF!/AA16,"-")</f>
        <v>-</v>
      </c>
      <c r="AB20" s="129" t="str">
        <f>IFERROR(#REF!/AB16,"-")</f>
        <v>-</v>
      </c>
      <c r="AC20" s="129" t="str">
        <f>IFERROR(#REF!/AC16,"-")</f>
        <v>-</v>
      </c>
      <c r="AD20" s="129" t="str">
        <f>IFERROR(#REF!/AD16,"-")</f>
        <v>-</v>
      </c>
      <c r="AE20" s="344" t="str">
        <f>IFERROR(#REF!/AE16,"-")</f>
        <v>-</v>
      </c>
      <c r="AF20" s="128" t="str">
        <f>IFERROR(#REF!/AF16,"-")</f>
        <v>-</v>
      </c>
      <c r="AG20" s="129" t="str">
        <f>IFERROR(#REF!/AG16,"-")</f>
        <v>-</v>
      </c>
      <c r="AH20" s="129" t="str">
        <f>IFERROR(#REF!/AH16,"-")</f>
        <v>-</v>
      </c>
      <c r="AI20" s="129" t="str">
        <f>IFERROR(#REF!/AI16,"-")</f>
        <v>-</v>
      </c>
      <c r="AJ20" s="129" t="str">
        <f>IFERROR(#REF!/AJ16,"-")</f>
        <v>-</v>
      </c>
      <c r="AK20" s="129" t="str">
        <f>IFERROR(#REF!/AK16,"-")</f>
        <v>-</v>
      </c>
      <c r="AL20" s="129" t="str">
        <f>IFERROR(#REF!/AL16,"-")</f>
        <v>-</v>
      </c>
      <c r="AM20" s="129" t="str">
        <f>IFERROR(#REF!/AM16,"-")</f>
        <v>-</v>
      </c>
      <c r="AN20" s="129" t="str">
        <f>IFERROR(#REF!/AN16,"-")</f>
        <v>-</v>
      </c>
      <c r="AO20" s="129" t="str">
        <f>IFERROR(#REF!/AO16,"-")</f>
        <v>-</v>
      </c>
      <c r="AP20" s="129" t="str">
        <f>IFERROR(#REF!/AP16,"-")</f>
        <v>-</v>
      </c>
      <c r="AQ20" s="129" t="str">
        <f>IFERROR(#REF!/AQ16,"-")</f>
        <v>-</v>
      </c>
      <c r="AR20" s="402" t="str">
        <f>IFERROR(#REF!/AR16,"-")</f>
        <v>-</v>
      </c>
      <c r="AS20" s="129" t="str">
        <f>IFERROR(#REF!/AS16,"-")</f>
        <v>-</v>
      </c>
      <c r="AT20" s="129" t="str">
        <f>IFERROR(#REF!/AT16,"-")</f>
        <v>-</v>
      </c>
      <c r="AU20" s="129" t="str">
        <f>IFERROR(#REF!/AU16,"-")</f>
        <v>-</v>
      </c>
      <c r="AV20" s="129" t="str">
        <f>IFERROR(#REF!/AV16,"-")</f>
        <v>-</v>
      </c>
      <c r="AW20" s="129" t="str">
        <f>IFERROR(#REF!/AW16,"-")</f>
        <v>-</v>
      </c>
      <c r="AX20" s="402" t="str">
        <f>IFERROR(#REF!/AX16,"-")</f>
        <v>-</v>
      </c>
      <c r="BF20"/>
    </row>
    <row r="21" spans="1:58">
      <c r="B21" s="133"/>
      <c r="C21" s="135"/>
      <c r="D21" s="19" t="s">
        <v>89</v>
      </c>
      <c r="E21" s="142" t="str">
        <f>IFERROR(#REF!/E17,"-")</f>
        <v>-</v>
      </c>
      <c r="F21" s="143" t="str">
        <f>IFERROR(#REF!/F17,"-")</f>
        <v>-</v>
      </c>
      <c r="G21" s="144" t="str">
        <f>IFERROR(#REF!/G17,"-")</f>
        <v>-</v>
      </c>
      <c r="H21" s="144" t="str">
        <f>IFERROR(#REF!/H17,"-")</f>
        <v>-</v>
      </c>
      <c r="I21" s="144" t="str">
        <f>IFERROR(#REF!/I17,"-")</f>
        <v>-</v>
      </c>
      <c r="J21" s="144" t="str">
        <f>IFERROR(#REF!/J17,"-")</f>
        <v>-</v>
      </c>
      <c r="K21" s="144" t="str">
        <f>IFERROR(#REF!/K17,"-")</f>
        <v>-</v>
      </c>
      <c r="L21" s="144" t="str">
        <f>IFERROR(#REF!/L17,"-")</f>
        <v>-</v>
      </c>
      <c r="M21" s="144" t="str">
        <f>IFERROR(#REF!/M17,"-")</f>
        <v>-</v>
      </c>
      <c r="N21" s="144" t="str">
        <f>IFERROR(#REF!/N17,"-")</f>
        <v>-</v>
      </c>
      <c r="O21" s="144" t="str">
        <f>IFERROR(#REF!/O17,"-")</f>
        <v>-</v>
      </c>
      <c r="P21" s="144" t="str">
        <f>IFERROR(#REF!/P17,"-")</f>
        <v>-</v>
      </c>
      <c r="Q21" s="144" t="str">
        <f>IFERROR(#REF!/Q17,"-")</f>
        <v>-</v>
      </c>
      <c r="R21" s="346" t="str">
        <f>IFERROR(#REF!/R17,"-")</f>
        <v>-</v>
      </c>
      <c r="S21" s="143" t="str">
        <f>IFERROR(#REF!/S17,"-")</f>
        <v>-</v>
      </c>
      <c r="T21" s="144" t="str">
        <f>IFERROR(#REF!/T17,"-")</f>
        <v>-</v>
      </c>
      <c r="U21" s="144" t="str">
        <f>IFERROR(#REF!/U17,"-")</f>
        <v>-</v>
      </c>
      <c r="V21" s="144" t="str">
        <f>IFERROR(#REF!/V17,"-")</f>
        <v>-</v>
      </c>
      <c r="W21" s="144" t="str">
        <f>IFERROR(#REF!/W17,"-")</f>
        <v>-</v>
      </c>
      <c r="X21" s="144" t="str">
        <f>IFERROR(#REF!/X17,"-")</f>
        <v>-</v>
      </c>
      <c r="Y21" s="144" t="str">
        <f>IFERROR(#REF!/Y17,"-")</f>
        <v>-</v>
      </c>
      <c r="Z21" s="144" t="str">
        <f>IFERROR(#REF!/Z17,"-")</f>
        <v>-</v>
      </c>
      <c r="AA21" s="144" t="str">
        <f>IFERROR(#REF!/AA17,"-")</f>
        <v>-</v>
      </c>
      <c r="AB21" s="144" t="str">
        <f>IFERROR(#REF!/AB17,"-")</f>
        <v>-</v>
      </c>
      <c r="AC21" s="144" t="str">
        <f>IFERROR(#REF!/AC17,"-")</f>
        <v>-</v>
      </c>
      <c r="AD21" s="144" t="str">
        <f>IFERROR(#REF!/AD17,"-")</f>
        <v>-</v>
      </c>
      <c r="AE21" s="346" t="str">
        <f>IFERROR(#REF!/AE17,"-")</f>
        <v>-</v>
      </c>
      <c r="AF21" s="143" t="str">
        <f>IFERROR(#REF!/AF17,"-")</f>
        <v>-</v>
      </c>
      <c r="AG21" s="144" t="str">
        <f>IFERROR(#REF!/AG17,"-")</f>
        <v>-</v>
      </c>
      <c r="AH21" s="144" t="str">
        <f>IFERROR(#REF!/AH17,"-")</f>
        <v>-</v>
      </c>
      <c r="AI21" s="144" t="str">
        <f>IFERROR(#REF!/AI17,"-")</f>
        <v>-</v>
      </c>
      <c r="AJ21" s="144" t="str">
        <f>IFERROR(#REF!/AJ17,"-")</f>
        <v>-</v>
      </c>
      <c r="AK21" s="144" t="str">
        <f>IFERROR(#REF!/AK17,"-")</f>
        <v>-</v>
      </c>
      <c r="AL21" s="144" t="str">
        <f>IFERROR(#REF!/AL17,"-")</f>
        <v>-</v>
      </c>
      <c r="AM21" s="144" t="str">
        <f>IFERROR(#REF!/AM17,"-")</f>
        <v>-</v>
      </c>
      <c r="AN21" s="144" t="str">
        <f>IFERROR(#REF!/AN17,"-")</f>
        <v>-</v>
      </c>
      <c r="AO21" s="144" t="str">
        <f>IFERROR(#REF!/AO17,"-")</f>
        <v>-</v>
      </c>
      <c r="AP21" s="144" t="str">
        <f>IFERROR(#REF!/AP17,"-")</f>
        <v>-</v>
      </c>
      <c r="AQ21" s="144" t="str">
        <f>IFERROR(#REF!/AQ17,"-")</f>
        <v>-</v>
      </c>
      <c r="AR21" s="403" t="str">
        <f>IFERROR(#REF!/AR17,"-")</f>
        <v>-</v>
      </c>
      <c r="AS21" s="144" t="str">
        <f>IFERROR(#REF!/AS17,"-")</f>
        <v>-</v>
      </c>
      <c r="AT21" s="144" t="str">
        <f>IFERROR(#REF!/AT17,"-")</f>
        <v>-</v>
      </c>
      <c r="AU21" s="144" t="str">
        <f>IFERROR(#REF!/AU17,"-")</f>
        <v>-</v>
      </c>
      <c r="AV21" s="144" t="str">
        <f>IFERROR(#REF!/AV17,"-")</f>
        <v>-</v>
      </c>
      <c r="AW21" s="144" t="str">
        <f>IFERROR(#REF!/AW17,"-")</f>
        <v>-</v>
      </c>
      <c r="AX21" s="403" t="str">
        <f>IFERROR(#REF!/AX17,"-")</f>
        <v>-</v>
      </c>
    </row>
    <row r="22" spans="1:58">
      <c r="B22" s="133"/>
      <c r="C22" s="135"/>
      <c r="D22" s="19" t="s">
        <v>165</v>
      </c>
      <c r="E22" s="142" t="str">
        <f>IFERROR(#REF!/E18,"-")</f>
        <v>-</v>
      </c>
      <c r="F22" s="143" t="str">
        <f>IFERROR(#REF!/F18,"-")</f>
        <v>-</v>
      </c>
      <c r="G22" s="144" t="str">
        <f>IFERROR(#REF!/G18,"-")</f>
        <v>-</v>
      </c>
      <c r="H22" s="144" t="str">
        <f>IFERROR(#REF!/H18,"-")</f>
        <v>-</v>
      </c>
      <c r="I22" s="144" t="str">
        <f>IFERROR(#REF!/I18,"-")</f>
        <v>-</v>
      </c>
      <c r="J22" s="144" t="str">
        <f>IFERROR(#REF!/J18,"-")</f>
        <v>-</v>
      </c>
      <c r="K22" s="144" t="str">
        <f>IFERROR(#REF!/K18,"-")</f>
        <v>-</v>
      </c>
      <c r="L22" s="144" t="str">
        <f>IFERROR(#REF!/L18,"-")</f>
        <v>-</v>
      </c>
      <c r="M22" s="144" t="str">
        <f>IFERROR(#REF!/M18,"-")</f>
        <v>-</v>
      </c>
      <c r="N22" s="144" t="str">
        <f>IFERROR(#REF!/N18,"-")</f>
        <v>-</v>
      </c>
      <c r="O22" s="144" t="str">
        <f>IFERROR(#REF!/O18,"-")</f>
        <v>-</v>
      </c>
      <c r="P22" s="144" t="str">
        <f>IFERROR(#REF!/P18,"-")</f>
        <v>-</v>
      </c>
      <c r="Q22" s="144" t="str">
        <f>IFERROR(#REF!/Q18,"-")</f>
        <v>-</v>
      </c>
      <c r="R22" s="346" t="str">
        <f>IFERROR(#REF!/R18,"-")</f>
        <v>-</v>
      </c>
      <c r="S22" s="143" t="str">
        <f>IFERROR(#REF!/S18,"-")</f>
        <v>-</v>
      </c>
      <c r="T22" s="144" t="str">
        <f>IFERROR(#REF!/T18,"-")</f>
        <v>-</v>
      </c>
      <c r="U22" s="144" t="str">
        <f>IFERROR(#REF!/U18,"-")</f>
        <v>-</v>
      </c>
      <c r="V22" s="144" t="str">
        <f>IFERROR(#REF!/V18,"-")</f>
        <v>-</v>
      </c>
      <c r="W22" s="144" t="str">
        <f>IFERROR(#REF!/W18,"-")</f>
        <v>-</v>
      </c>
      <c r="X22" s="144" t="str">
        <f>IFERROR(#REF!/X18,"-")</f>
        <v>-</v>
      </c>
      <c r="Y22" s="144" t="str">
        <f>IFERROR(#REF!/Y18,"-")</f>
        <v>-</v>
      </c>
      <c r="Z22" s="144" t="str">
        <f>IFERROR(#REF!/Z18,"-")</f>
        <v>-</v>
      </c>
      <c r="AA22" s="144" t="str">
        <f>IFERROR(#REF!/AA18,"-")</f>
        <v>-</v>
      </c>
      <c r="AB22" s="144" t="str">
        <f>IFERROR(#REF!/AB18,"-")</f>
        <v>-</v>
      </c>
      <c r="AC22" s="144" t="str">
        <f>IFERROR(#REF!/AC18,"-")</f>
        <v>-</v>
      </c>
      <c r="AD22" s="144" t="str">
        <f>IFERROR(#REF!/AD18,"-")</f>
        <v>-</v>
      </c>
      <c r="AE22" s="346" t="str">
        <f>IFERROR(#REF!/AE18,"-")</f>
        <v>-</v>
      </c>
      <c r="AF22" s="143" t="str">
        <f>IFERROR(#REF!/AF18,"-")</f>
        <v>-</v>
      </c>
      <c r="AG22" s="144" t="str">
        <f>IFERROR(#REF!/AG18,"-")</f>
        <v>-</v>
      </c>
      <c r="AH22" s="144" t="str">
        <f>IFERROR(#REF!/AH18,"-")</f>
        <v>-</v>
      </c>
      <c r="AI22" s="144" t="str">
        <f>IFERROR(#REF!/AI18,"-")</f>
        <v>-</v>
      </c>
      <c r="AJ22" s="144" t="str">
        <f>IFERROR(#REF!/AJ18,"-")</f>
        <v>-</v>
      </c>
      <c r="AK22" s="144" t="str">
        <f>IFERROR(#REF!/AK18,"-")</f>
        <v>-</v>
      </c>
      <c r="AL22" s="144" t="str">
        <f>IFERROR(#REF!/AL18,"-")</f>
        <v>-</v>
      </c>
      <c r="AM22" s="144" t="str">
        <f>IFERROR(#REF!/AM18,"-")</f>
        <v>-</v>
      </c>
      <c r="AN22" s="144" t="str">
        <f>IFERROR(#REF!/AN18,"-")</f>
        <v>-</v>
      </c>
      <c r="AO22" s="144" t="str">
        <f>IFERROR(#REF!/AO18,"-")</f>
        <v>-</v>
      </c>
      <c r="AP22" s="144" t="str">
        <f>IFERROR(#REF!/AP18,"-")</f>
        <v>-</v>
      </c>
      <c r="AQ22" s="144" t="str">
        <f>IFERROR(#REF!/AQ18,"-")</f>
        <v>-</v>
      </c>
      <c r="AR22" s="403" t="str">
        <f>IFERROR(#REF!/AR18,"-")</f>
        <v>-</v>
      </c>
      <c r="AS22" s="144" t="str">
        <f>IFERROR(#REF!/AS18,"-")</f>
        <v>-</v>
      </c>
      <c r="AT22" s="144" t="str">
        <f>IFERROR(#REF!/AT18,"-")</f>
        <v>-</v>
      </c>
      <c r="AU22" s="144" t="str">
        <f>IFERROR(#REF!/AU18,"-")</f>
        <v>-</v>
      </c>
      <c r="AV22" s="144" t="str">
        <f>IFERROR(#REF!/AV18,"-")</f>
        <v>-</v>
      </c>
      <c r="AW22" s="144" t="str">
        <f>IFERROR(#REF!/AW18,"-")</f>
        <v>-</v>
      </c>
      <c r="AX22" s="403" t="str">
        <f>IFERROR(#REF!/AX18,"-")</f>
        <v>-</v>
      </c>
    </row>
    <row r="23" spans="1:58">
      <c r="B23" s="133"/>
      <c r="C23" s="135"/>
      <c r="D23" s="116"/>
      <c r="E23" s="117"/>
      <c r="F23" s="118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347"/>
      <c r="S23" s="118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347"/>
      <c r="AF23" s="518"/>
      <c r="AG23" s="519"/>
      <c r="AH23" s="519"/>
      <c r="AI23" s="519"/>
      <c r="AJ23" s="519"/>
      <c r="AK23" s="519"/>
      <c r="AL23" s="519"/>
      <c r="AM23" s="519"/>
      <c r="AN23" s="519"/>
      <c r="AO23" s="519"/>
      <c r="AP23" s="519"/>
      <c r="AQ23" s="519"/>
      <c r="AR23" s="404"/>
      <c r="AS23" s="119"/>
      <c r="AT23" s="119"/>
      <c r="AU23" s="119"/>
      <c r="AV23" s="119"/>
      <c r="AW23" s="119"/>
      <c r="AX23" s="404"/>
      <c r="AZ23" s="520"/>
    </row>
    <row r="24" spans="1:58">
      <c r="B24" s="148" t="s">
        <v>5</v>
      </c>
      <c r="C24" s="149" t="s">
        <v>90</v>
      </c>
      <c r="D24" s="145" t="s">
        <v>185</v>
      </c>
      <c r="E24" s="150">
        <v>0</v>
      </c>
      <c r="F24" s="151" t="e">
        <f>#REF!+#REF!</f>
        <v>#REF!</v>
      </c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348" t="e">
        <f>SUM(F24:Q24)</f>
        <v>#REF!</v>
      </c>
      <c r="S24" s="151"/>
      <c r="T24" s="152"/>
      <c r="U24" s="152"/>
      <c r="V24" s="152"/>
      <c r="W24" s="152"/>
      <c r="X24" s="152"/>
      <c r="Y24" s="152"/>
      <c r="Z24" s="152"/>
      <c r="AA24" s="152"/>
      <c r="AB24" s="152">
        <v>4600609.0</v>
      </c>
      <c r="AC24" s="152">
        <v>3580571.0</v>
      </c>
      <c r="AD24" s="152">
        <v>7589801.0</v>
      </c>
      <c r="AE24" s="348">
        <f>SUM(S24:AD24)</f>
        <v>0</v>
      </c>
      <c r="AF24" s="151">
        <v>3829150</v>
      </c>
      <c r="AG24" s="152">
        <v>3693189</v>
      </c>
      <c r="AH24" s="152">
        <v>3300684</v>
      </c>
      <c r="AI24" s="152">
        <v>2754875</v>
      </c>
      <c r="AJ24" s="152">
        <v>5209139</v>
      </c>
      <c r="AK24" s="152">
        <v>4183848</v>
      </c>
      <c r="AL24" s="152">
        <v>4135702</v>
      </c>
      <c r="AM24" s="152">
        <v>7124940</v>
      </c>
      <c r="AN24" s="152">
        <v>8245742</v>
      </c>
      <c r="AO24" s="152">
        <v>10996371.370000001</v>
      </c>
      <c r="AP24" s="152">
        <v>10796377</v>
      </c>
      <c r="AQ24" s="152">
        <v>11979976</v>
      </c>
      <c r="AR24" s="405">
        <f>SUM(AF24:AQ24)</f>
        <v>76249993.370000005</v>
      </c>
      <c r="AS24" s="152">
        <v>8129328</v>
      </c>
      <c r="AT24" s="152">
        <v>12813596.0</v>
      </c>
      <c r="AU24" s="152">
        <v>10522989.0</v>
      </c>
      <c r="AV24" s="152">
        <v>14491927.0</v>
      </c>
      <c r="AW24" s="152">
        <v>20145386.0</v>
      </c>
      <c r="AX24" s="405">
        <f>SUM(AS24:AW24)</f>
        <v>8129328</v>
      </c>
      <c r="AZ24" s="520"/>
    </row>
    <row r="25" spans="1:58">
      <c r="B25" s="133"/>
      <c r="C25" s="135"/>
      <c r="D25" s="116"/>
      <c r="E25" s="117"/>
      <c r="F25" s="118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347"/>
      <c r="S25" s="118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347"/>
      <c r="AF25" s="118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523"/>
      <c r="AR25" s="404"/>
      <c r="AS25" s="119"/>
      <c r="AT25" s="119"/>
      <c r="AU25" s="119"/>
      <c r="AV25" s="119"/>
      <c r="AW25" s="119"/>
      <c r="AX25" s="404"/>
      <c r="AZ25" s="520"/>
    </row>
    <row r="26" spans="1:58">
      <c r="B26" s="154"/>
    </row>
    <row r="27" spans="1:58">
      <c r="B27" s="153"/>
    </row>
    <row r="28" spans="1:58">
      <c r="B28" s="153"/>
    </row>
  </sheetData>
  <phoneticPr fontId="8" type="noConversion"/>
  <pageMargins left="0.7" right="0.7" top="0.75" bottom="0.75" header="0.3" footer="0.3"/>
  <ignoredErrors>
    <ignoredError sqref="AR1:AR3 AR5 AR29:AR1048576 AR26:AR27 AR8:AR19 AR21:AR2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9B6E-7BC7-4EB1-88EB-51386244E011}">
  <dimension ref="A1:FG38"/>
  <sheetViews>
    <sheetView showGridLines="0" zoomScale="71" zoomScaleNormal="100" workbookViewId="0">
      <pane xSplit="3" ySplit="5" topLeftCell="D6" activePane="bottomRight" state="frozen"/>
      <selection pane="topRight" activeCell="D1" sqref="D1"/>
      <selection pane="bottomLeft" activeCell="A22" sqref="A22"/>
      <selection pane="bottomRight" activeCell="E22" sqref="A22:XFD69"/>
    </sheetView>
  </sheetViews>
  <sheetFormatPr defaultRowHeight="14.5" outlineLevelRow="1"/>
  <cols>
    <col min="1" max="1" width="3.36328125" customWidth="1"/>
    <col min="2" max="2" width="5.36328125" bestFit="1" customWidth="1"/>
    <col min="3" max="3" width="33.36328125" customWidth="1"/>
    <col min="4" max="7" width="13.7265625" customWidth="1"/>
    <col min="8" max="8" width="14.36328125" bestFit="1" customWidth="1"/>
    <col min="9" max="72" width="13.7265625" customWidth="1"/>
    <col min="73" max="73" width="14.36328125" bestFit="1" customWidth="1"/>
    <col min="74" max="135" width="13.7265625" customWidth="1"/>
    <col min="136" max="136" width="14.36328125" bestFit="1" customWidth="1"/>
    <col min="137" max="137" width="13.7265625" customWidth="1"/>
    <col min="138" max="138" width="14.36328125" bestFit="1" customWidth="1"/>
    <col min="139" max="163" width="13.7265625" customWidth="1"/>
  </cols>
  <sheetData>
    <row r="1" spans="1:163" ht="15" thickBot="1"/>
    <row r="2" spans="1:163" ht="18.5">
      <c r="B2" s="38" t="s">
        <v>173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</row>
    <row r="3" spans="1:163" ht="4.9000000000000004" customHeight="1" thickBot="1">
      <c r="B3" s="44"/>
      <c r="C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</row>
    <row r="4" spans="1:163" ht="15" thickBot="1">
      <c r="B4" s="238" t="s">
        <v>0</v>
      </c>
      <c r="C4" s="221" t="s">
        <v>1</v>
      </c>
      <c r="D4" s="350" t="s">
        <v>21</v>
      </c>
      <c r="E4" s="351"/>
      <c r="F4" s="351"/>
      <c r="G4" s="351"/>
      <c r="H4" s="352"/>
      <c r="I4" s="235" t="s">
        <v>48</v>
      </c>
      <c r="J4" s="236"/>
      <c r="K4" s="236"/>
      <c r="L4" s="236"/>
      <c r="M4" s="237"/>
      <c r="N4" s="235" t="s">
        <v>49</v>
      </c>
      <c r="O4" s="236"/>
      <c r="P4" s="236"/>
      <c r="Q4" s="236"/>
      <c r="R4" s="237"/>
      <c r="S4" s="235" t="s">
        <v>50</v>
      </c>
      <c r="T4" s="236"/>
      <c r="U4" s="236"/>
      <c r="V4" s="236"/>
      <c r="W4" s="237"/>
      <c r="X4" s="235" t="s">
        <v>51</v>
      </c>
      <c r="Y4" s="236"/>
      <c r="Z4" s="236"/>
      <c r="AA4" s="236"/>
      <c r="AB4" s="237"/>
      <c r="AC4" s="235" t="s">
        <v>52</v>
      </c>
      <c r="AD4" s="236"/>
      <c r="AE4" s="236"/>
      <c r="AF4" s="236"/>
      <c r="AG4" s="237"/>
      <c r="AH4" s="235" t="s">
        <v>53</v>
      </c>
      <c r="AI4" s="236"/>
      <c r="AJ4" s="236"/>
      <c r="AK4" s="236"/>
      <c r="AL4" s="237"/>
      <c r="AM4" s="235" t="s">
        <v>54</v>
      </c>
      <c r="AN4" s="236"/>
      <c r="AO4" s="236"/>
      <c r="AP4" s="236"/>
      <c r="AQ4" s="237"/>
      <c r="AR4" s="235" t="s">
        <v>55</v>
      </c>
      <c r="AS4" s="236"/>
      <c r="AT4" s="236"/>
      <c r="AU4" s="236"/>
      <c r="AV4" s="237"/>
      <c r="AW4" s="235" t="s">
        <v>56</v>
      </c>
      <c r="AX4" s="236"/>
      <c r="AY4" s="236"/>
      <c r="AZ4" s="236"/>
      <c r="BA4" s="237"/>
      <c r="BB4" s="235" t="s">
        <v>57</v>
      </c>
      <c r="BC4" s="236"/>
      <c r="BD4" s="236"/>
      <c r="BE4" s="236"/>
      <c r="BF4" s="237"/>
      <c r="BG4" s="235" t="s">
        <v>58</v>
      </c>
      <c r="BH4" s="236"/>
      <c r="BI4" s="236"/>
      <c r="BJ4" s="236"/>
      <c r="BK4" s="237"/>
      <c r="BL4" s="235" t="s">
        <v>59</v>
      </c>
      <c r="BM4" s="236"/>
      <c r="BN4" s="236"/>
      <c r="BO4" s="236"/>
      <c r="BP4" s="237"/>
      <c r="BQ4" s="350" t="s">
        <v>22</v>
      </c>
      <c r="BR4" s="351"/>
      <c r="BS4" s="351"/>
      <c r="BT4" s="351"/>
      <c r="BU4" s="352"/>
      <c r="BV4" s="235" t="s">
        <v>14</v>
      </c>
      <c r="BW4" s="236"/>
      <c r="BX4" s="236"/>
      <c r="BY4" s="236"/>
      <c r="BZ4" s="237"/>
      <c r="CA4" s="235" t="s">
        <v>15</v>
      </c>
      <c r="CB4" s="236"/>
      <c r="CC4" s="236"/>
      <c r="CD4" s="236"/>
      <c r="CE4" s="237"/>
      <c r="CF4" s="235" t="s">
        <v>16</v>
      </c>
      <c r="CG4" s="236"/>
      <c r="CH4" s="236"/>
      <c r="CI4" s="236"/>
      <c r="CJ4" s="237"/>
      <c r="CK4" s="235" t="s">
        <v>17</v>
      </c>
      <c r="CL4" s="236"/>
      <c r="CM4" s="236"/>
      <c r="CN4" s="236"/>
      <c r="CO4" s="237"/>
      <c r="CP4" s="235" t="s">
        <v>18</v>
      </c>
      <c r="CQ4" s="236"/>
      <c r="CR4" s="236"/>
      <c r="CS4" s="236"/>
      <c r="CT4" s="237"/>
      <c r="CU4" s="235" t="s">
        <v>19</v>
      </c>
      <c r="CV4" s="236"/>
      <c r="CW4" s="236"/>
      <c r="CX4" s="236"/>
      <c r="CY4" s="237"/>
      <c r="CZ4" s="235" t="s">
        <v>20</v>
      </c>
      <c r="DA4" s="236"/>
      <c r="DB4" s="236"/>
      <c r="DC4" s="236"/>
      <c r="DD4" s="237"/>
      <c r="DE4" s="235" t="s">
        <v>36</v>
      </c>
      <c r="DF4" s="236"/>
      <c r="DG4" s="236"/>
      <c r="DH4" s="236"/>
      <c r="DI4" s="237"/>
      <c r="DJ4" s="235" t="s">
        <v>37</v>
      </c>
      <c r="DK4" s="236"/>
      <c r="DL4" s="236"/>
      <c r="DM4" s="236"/>
      <c r="DN4" s="237"/>
      <c r="DO4" s="235" t="s">
        <v>38</v>
      </c>
      <c r="DP4" s="236"/>
      <c r="DQ4" s="236"/>
      <c r="DR4" s="236"/>
      <c r="DS4" s="237"/>
      <c r="DT4" s="235" t="s">
        <v>39</v>
      </c>
      <c r="DU4" s="236"/>
      <c r="DV4" s="236"/>
      <c r="DW4" s="236"/>
      <c r="DX4" s="237"/>
      <c r="DY4" s="235" t="s">
        <v>40</v>
      </c>
      <c r="DZ4" s="236"/>
      <c r="EA4" s="236"/>
      <c r="EB4" s="236"/>
      <c r="EC4" s="237"/>
      <c r="ED4" s="350" t="s">
        <v>147</v>
      </c>
      <c r="EE4" s="351"/>
      <c r="EF4" s="351"/>
      <c r="EG4" s="351"/>
      <c r="EH4" s="352"/>
      <c r="EI4" s="235" t="s">
        <v>148</v>
      </c>
      <c r="EJ4" s="236"/>
      <c r="EK4" s="236"/>
      <c r="EL4" s="236"/>
      <c r="EM4" s="237"/>
      <c r="EN4" s="235" t="s">
        <v>149</v>
      </c>
      <c r="EO4" s="236"/>
      <c r="EP4" s="236"/>
      <c r="EQ4" s="236"/>
      <c r="ER4" s="237"/>
      <c r="ES4" s="235" t="s">
        <v>150</v>
      </c>
      <c r="ET4" s="236"/>
      <c r="EU4" s="236"/>
      <c r="EV4" s="236"/>
      <c r="EW4" s="237"/>
      <c r="EX4" s="235" t="s">
        <v>151</v>
      </c>
      <c r="EY4" s="236"/>
      <c r="EZ4" s="236"/>
      <c r="FA4" s="236"/>
      <c r="FB4" s="237"/>
      <c r="FC4" s="235" t="s">
        <v>152</v>
      </c>
      <c r="FD4" s="236"/>
      <c r="FE4" s="236"/>
      <c r="FF4" s="236"/>
      <c r="FG4" s="237"/>
    </row>
    <row r="5" spans="1:163" s="417" customFormat="1" ht="29">
      <c r="B5" s="418"/>
      <c r="C5" s="419"/>
      <c r="D5" s="420" t="s">
        <v>168</v>
      </c>
      <c r="E5" s="513" t="s">
        <v>169</v>
      </c>
      <c r="F5" s="420" t="s">
        <v>166</v>
      </c>
      <c r="G5" s="420" t="s">
        <v>167</v>
      </c>
      <c r="H5" s="422" t="s">
        <v>62</v>
      </c>
      <c r="I5" s="420" t="s">
        <v>168</v>
      </c>
      <c r="J5" s="513" t="s">
        <v>169</v>
      </c>
      <c r="K5" s="420" t="s">
        <v>166</v>
      </c>
      <c r="L5" s="420" t="s">
        <v>167</v>
      </c>
      <c r="M5" s="422" t="s">
        <v>62</v>
      </c>
      <c r="N5" s="420" t="s">
        <v>168</v>
      </c>
      <c r="O5" s="513" t="s">
        <v>169</v>
      </c>
      <c r="P5" s="420" t="s">
        <v>166</v>
      </c>
      <c r="Q5" s="420" t="s">
        <v>167</v>
      </c>
      <c r="R5" s="422" t="s">
        <v>62</v>
      </c>
      <c r="S5" s="420" t="s">
        <v>168</v>
      </c>
      <c r="T5" s="513" t="s">
        <v>169</v>
      </c>
      <c r="U5" s="420" t="s">
        <v>166</v>
      </c>
      <c r="V5" s="420" t="s">
        <v>167</v>
      </c>
      <c r="W5" s="422" t="s">
        <v>62</v>
      </c>
      <c r="X5" s="420" t="s">
        <v>168</v>
      </c>
      <c r="Y5" s="513" t="s">
        <v>169</v>
      </c>
      <c r="Z5" s="420" t="s">
        <v>166</v>
      </c>
      <c r="AA5" s="420" t="s">
        <v>167</v>
      </c>
      <c r="AB5" s="422" t="s">
        <v>62</v>
      </c>
      <c r="AC5" s="420" t="s">
        <v>168</v>
      </c>
      <c r="AD5" s="513" t="s">
        <v>169</v>
      </c>
      <c r="AE5" s="420" t="s">
        <v>166</v>
      </c>
      <c r="AF5" s="420" t="s">
        <v>167</v>
      </c>
      <c r="AG5" s="422" t="s">
        <v>62</v>
      </c>
      <c r="AH5" s="420" t="s">
        <v>168</v>
      </c>
      <c r="AI5" s="513" t="s">
        <v>169</v>
      </c>
      <c r="AJ5" s="420" t="s">
        <v>166</v>
      </c>
      <c r="AK5" s="420" t="s">
        <v>167</v>
      </c>
      <c r="AL5" s="422" t="s">
        <v>62</v>
      </c>
      <c r="AM5" s="420" t="s">
        <v>168</v>
      </c>
      <c r="AN5" s="513" t="s">
        <v>169</v>
      </c>
      <c r="AO5" s="420" t="s">
        <v>166</v>
      </c>
      <c r="AP5" s="420" t="s">
        <v>167</v>
      </c>
      <c r="AQ5" s="422" t="s">
        <v>62</v>
      </c>
      <c r="AR5" s="420" t="s">
        <v>168</v>
      </c>
      <c r="AS5" s="513" t="s">
        <v>169</v>
      </c>
      <c r="AT5" s="420" t="s">
        <v>166</v>
      </c>
      <c r="AU5" s="420" t="s">
        <v>167</v>
      </c>
      <c r="AV5" s="422" t="s">
        <v>62</v>
      </c>
      <c r="AW5" s="420" t="s">
        <v>168</v>
      </c>
      <c r="AX5" s="513" t="s">
        <v>169</v>
      </c>
      <c r="AY5" s="420" t="s">
        <v>166</v>
      </c>
      <c r="AZ5" s="420" t="s">
        <v>167</v>
      </c>
      <c r="BA5" s="422" t="s">
        <v>62</v>
      </c>
      <c r="BB5" s="420" t="s">
        <v>168</v>
      </c>
      <c r="BC5" s="513" t="s">
        <v>169</v>
      </c>
      <c r="BD5" s="420" t="s">
        <v>166</v>
      </c>
      <c r="BE5" s="420" t="s">
        <v>167</v>
      </c>
      <c r="BF5" s="422" t="s">
        <v>62</v>
      </c>
      <c r="BG5" s="420" t="s">
        <v>168</v>
      </c>
      <c r="BH5" s="513" t="s">
        <v>169</v>
      </c>
      <c r="BI5" s="420" t="s">
        <v>166</v>
      </c>
      <c r="BJ5" s="420" t="s">
        <v>167</v>
      </c>
      <c r="BK5" s="422" t="s">
        <v>62</v>
      </c>
      <c r="BL5" s="420" t="s">
        <v>168</v>
      </c>
      <c r="BM5" s="513" t="s">
        <v>169</v>
      </c>
      <c r="BN5" s="420" t="s">
        <v>166</v>
      </c>
      <c r="BO5" s="420" t="s">
        <v>167</v>
      </c>
      <c r="BP5" s="422" t="s">
        <v>62</v>
      </c>
      <c r="BQ5" s="420" t="s">
        <v>168</v>
      </c>
      <c r="BR5" s="513" t="s">
        <v>169</v>
      </c>
      <c r="BS5" s="420" t="s">
        <v>166</v>
      </c>
      <c r="BT5" s="420" t="s">
        <v>167</v>
      </c>
      <c r="BU5" s="422" t="s">
        <v>62</v>
      </c>
      <c r="BV5" s="420" t="s">
        <v>168</v>
      </c>
      <c r="BW5" s="513" t="s">
        <v>169</v>
      </c>
      <c r="BX5" s="420" t="s">
        <v>166</v>
      </c>
      <c r="BY5" s="420" t="s">
        <v>167</v>
      </c>
      <c r="BZ5" s="422" t="s">
        <v>62</v>
      </c>
      <c r="CA5" s="420" t="s">
        <v>168</v>
      </c>
      <c r="CB5" s="513" t="s">
        <v>169</v>
      </c>
      <c r="CC5" s="420" t="s">
        <v>166</v>
      </c>
      <c r="CD5" s="420" t="s">
        <v>167</v>
      </c>
      <c r="CE5" s="422" t="s">
        <v>62</v>
      </c>
      <c r="CF5" s="420" t="s">
        <v>168</v>
      </c>
      <c r="CG5" s="513" t="s">
        <v>169</v>
      </c>
      <c r="CH5" s="420" t="s">
        <v>166</v>
      </c>
      <c r="CI5" s="420" t="s">
        <v>167</v>
      </c>
      <c r="CJ5" s="422" t="s">
        <v>62</v>
      </c>
      <c r="CK5" s="420" t="s">
        <v>168</v>
      </c>
      <c r="CL5" s="513" t="s">
        <v>169</v>
      </c>
      <c r="CM5" s="420" t="s">
        <v>166</v>
      </c>
      <c r="CN5" s="420" t="s">
        <v>167</v>
      </c>
      <c r="CO5" s="422" t="s">
        <v>62</v>
      </c>
      <c r="CP5" s="420" t="s">
        <v>168</v>
      </c>
      <c r="CQ5" s="513" t="s">
        <v>169</v>
      </c>
      <c r="CR5" s="420" t="s">
        <v>166</v>
      </c>
      <c r="CS5" s="420" t="s">
        <v>167</v>
      </c>
      <c r="CT5" s="422" t="s">
        <v>62</v>
      </c>
      <c r="CU5" s="420" t="s">
        <v>168</v>
      </c>
      <c r="CV5" s="513" t="s">
        <v>169</v>
      </c>
      <c r="CW5" s="420" t="s">
        <v>166</v>
      </c>
      <c r="CX5" s="420" t="s">
        <v>167</v>
      </c>
      <c r="CY5" s="422" t="s">
        <v>62</v>
      </c>
      <c r="CZ5" s="420" t="s">
        <v>168</v>
      </c>
      <c r="DA5" s="513" t="s">
        <v>169</v>
      </c>
      <c r="DB5" s="420" t="s">
        <v>166</v>
      </c>
      <c r="DC5" s="420" t="s">
        <v>167</v>
      </c>
      <c r="DD5" s="422" t="s">
        <v>62</v>
      </c>
      <c r="DE5" s="420" t="s">
        <v>168</v>
      </c>
      <c r="DF5" s="513" t="s">
        <v>169</v>
      </c>
      <c r="DG5" s="420" t="s">
        <v>166</v>
      </c>
      <c r="DH5" s="420" t="s">
        <v>167</v>
      </c>
      <c r="DI5" s="422" t="s">
        <v>62</v>
      </c>
      <c r="DJ5" s="420" t="s">
        <v>168</v>
      </c>
      <c r="DK5" s="513" t="s">
        <v>169</v>
      </c>
      <c r="DL5" s="420" t="s">
        <v>166</v>
      </c>
      <c r="DM5" s="420" t="s">
        <v>167</v>
      </c>
      <c r="DN5" s="422" t="s">
        <v>62</v>
      </c>
      <c r="DO5" s="420" t="s">
        <v>168</v>
      </c>
      <c r="DP5" s="513" t="s">
        <v>169</v>
      </c>
      <c r="DQ5" s="420" t="s">
        <v>166</v>
      </c>
      <c r="DR5" s="420" t="s">
        <v>167</v>
      </c>
      <c r="DS5" s="422" t="s">
        <v>62</v>
      </c>
      <c r="DT5" s="420" t="s">
        <v>168</v>
      </c>
      <c r="DU5" s="513" t="s">
        <v>169</v>
      </c>
      <c r="DV5" s="420" t="s">
        <v>166</v>
      </c>
      <c r="DW5" s="420" t="s">
        <v>167</v>
      </c>
      <c r="DX5" s="422" t="s">
        <v>62</v>
      </c>
      <c r="DY5" s="420" t="s">
        <v>168</v>
      </c>
      <c r="DZ5" s="513" t="s">
        <v>169</v>
      </c>
      <c r="EA5" s="420" t="s">
        <v>166</v>
      </c>
      <c r="EB5" s="420" t="s">
        <v>167</v>
      </c>
      <c r="EC5" s="422" t="s">
        <v>62</v>
      </c>
      <c r="ED5" s="420" t="s">
        <v>168</v>
      </c>
      <c r="EE5" s="513" t="s">
        <v>169</v>
      </c>
      <c r="EF5" s="420" t="s">
        <v>166</v>
      </c>
      <c r="EG5" s="420" t="s">
        <v>167</v>
      </c>
      <c r="EH5" s="422" t="s">
        <v>62</v>
      </c>
      <c r="EI5" s="420" t="s">
        <v>168</v>
      </c>
      <c r="EJ5" s="513" t="s">
        <v>169</v>
      </c>
      <c r="EK5" s="420" t="s">
        <v>166</v>
      </c>
      <c r="EL5" s="420" t="s">
        <v>167</v>
      </c>
      <c r="EM5" s="422" t="s">
        <v>62</v>
      </c>
      <c r="EN5" s="420" t="s">
        <v>168</v>
      </c>
      <c r="EO5" s="513" t="s">
        <v>169</v>
      </c>
      <c r="EP5" s="420" t="s">
        <v>166</v>
      </c>
      <c r="EQ5" s="420" t="s">
        <v>167</v>
      </c>
      <c r="ER5" s="422" t="s">
        <v>62</v>
      </c>
      <c r="ES5" s="420" t="s">
        <v>168</v>
      </c>
      <c r="ET5" s="513" t="s">
        <v>169</v>
      </c>
      <c r="EU5" s="420" t="s">
        <v>166</v>
      </c>
      <c r="EV5" s="420" t="s">
        <v>167</v>
      </c>
      <c r="EW5" s="422" t="s">
        <v>62</v>
      </c>
      <c r="EX5" s="420" t="s">
        <v>168</v>
      </c>
      <c r="EY5" s="513" t="s">
        <v>169</v>
      </c>
      <c r="EZ5" s="420" t="s">
        <v>166</v>
      </c>
      <c r="FA5" s="420" t="s">
        <v>167</v>
      </c>
      <c r="FB5" s="422" t="s">
        <v>62</v>
      </c>
      <c r="FC5" s="420" t="s">
        <v>168</v>
      </c>
      <c r="FD5" s="513" t="s">
        <v>169</v>
      </c>
      <c r="FE5" s="420" t="s">
        <v>166</v>
      </c>
      <c r="FF5" s="420" t="s">
        <v>167</v>
      </c>
      <c r="FG5" s="422" t="s">
        <v>62</v>
      </c>
    </row>
    <row r="6" spans="1:163" s="21" customFormat="1">
      <c r="A6"/>
      <c r="B6" s="248" t="s">
        <v>2</v>
      </c>
      <c r="C6" s="243" t="s">
        <v>115</v>
      </c>
      <c r="D6" s="244" t="str">
        <f>IFERROR(D9/D8,"-")</f>
        <v>-</v>
      </c>
      <c r="E6" s="245" t="str">
        <f t="shared" ref="E6:BP6" si="0">IFERROR(E9/E8,"-")</f>
        <v>-</v>
      </c>
      <c r="F6" s="245" t="str">
        <f t="shared" si="0"/>
        <v>-</v>
      </c>
      <c r="G6" s="247" t="str">
        <f t="shared" si="0"/>
        <v>-</v>
      </c>
      <c r="H6" s="246" t="str">
        <f t="shared" si="0"/>
        <v>-</v>
      </c>
      <c r="I6" s="244" t="str">
        <f t="shared" si="0"/>
        <v>-</v>
      </c>
      <c r="J6" s="245" t="str">
        <f t="shared" si="0"/>
        <v>-</v>
      </c>
      <c r="K6" s="245" t="str">
        <f t="shared" si="0"/>
        <v>-</v>
      </c>
      <c r="L6" s="247" t="str">
        <f t="shared" si="0"/>
        <v>-</v>
      </c>
      <c r="M6" s="246" t="str">
        <f t="shared" si="0"/>
        <v>-</v>
      </c>
      <c r="N6" s="244" t="str">
        <f t="shared" si="0"/>
        <v>-</v>
      </c>
      <c r="O6" s="245" t="str">
        <f t="shared" si="0"/>
        <v>-</v>
      </c>
      <c r="P6" s="245" t="str">
        <f t="shared" si="0"/>
        <v>-</v>
      </c>
      <c r="Q6" s="247" t="str">
        <f t="shared" si="0"/>
        <v>-</v>
      </c>
      <c r="R6" s="246" t="str">
        <f t="shared" si="0"/>
        <v>-</v>
      </c>
      <c r="S6" s="244" t="str">
        <f t="shared" si="0"/>
        <v>-</v>
      </c>
      <c r="T6" s="245" t="str">
        <f t="shared" si="0"/>
        <v>-</v>
      </c>
      <c r="U6" s="245" t="str">
        <f t="shared" si="0"/>
        <v>-</v>
      </c>
      <c r="V6" s="247" t="str">
        <f t="shared" si="0"/>
        <v>-</v>
      </c>
      <c r="W6" s="246" t="str">
        <f t="shared" si="0"/>
        <v>-</v>
      </c>
      <c r="X6" s="244" t="str">
        <f t="shared" si="0"/>
        <v>-</v>
      </c>
      <c r="Y6" s="245" t="str">
        <f t="shared" si="0"/>
        <v>-</v>
      </c>
      <c r="Z6" s="245" t="str">
        <f t="shared" si="0"/>
        <v>-</v>
      </c>
      <c r="AA6" s="247" t="str">
        <f t="shared" si="0"/>
        <v>-</v>
      </c>
      <c r="AB6" s="246" t="str">
        <f t="shared" si="0"/>
        <v>-</v>
      </c>
      <c r="AC6" s="244" t="str">
        <f t="shared" si="0"/>
        <v>-</v>
      </c>
      <c r="AD6" s="245" t="str">
        <f t="shared" si="0"/>
        <v>-</v>
      </c>
      <c r="AE6" s="245" t="str">
        <f t="shared" si="0"/>
        <v>-</v>
      </c>
      <c r="AF6" s="247" t="str">
        <f t="shared" si="0"/>
        <v>-</v>
      </c>
      <c r="AG6" s="246" t="str">
        <f t="shared" si="0"/>
        <v>-</v>
      </c>
      <c r="AH6" s="244" t="str">
        <f t="shared" si="0"/>
        <v>-</v>
      </c>
      <c r="AI6" s="245" t="str">
        <f t="shared" si="0"/>
        <v>-</v>
      </c>
      <c r="AJ6" s="245" t="str">
        <f t="shared" si="0"/>
        <v>-</v>
      </c>
      <c r="AK6" s="247" t="str">
        <f t="shared" si="0"/>
        <v>-</v>
      </c>
      <c r="AL6" s="246" t="str">
        <f t="shared" si="0"/>
        <v>-</v>
      </c>
      <c r="AM6" s="244" t="str">
        <f t="shared" si="0"/>
        <v>-</v>
      </c>
      <c r="AN6" s="245" t="str">
        <f t="shared" si="0"/>
        <v>-</v>
      </c>
      <c r="AO6" s="245" t="str">
        <f t="shared" si="0"/>
        <v>-</v>
      </c>
      <c r="AP6" s="247" t="str">
        <f t="shared" si="0"/>
        <v>-</v>
      </c>
      <c r="AQ6" s="246" t="str">
        <f t="shared" si="0"/>
        <v>-</v>
      </c>
      <c r="AR6" s="244" t="str">
        <f t="shared" si="0"/>
        <v>-</v>
      </c>
      <c r="AS6" s="245" t="str">
        <f t="shared" si="0"/>
        <v>-</v>
      </c>
      <c r="AT6" s="245" t="str">
        <f t="shared" si="0"/>
        <v>-</v>
      </c>
      <c r="AU6" s="247" t="str">
        <f t="shared" si="0"/>
        <v>-</v>
      </c>
      <c r="AV6" s="246" t="str">
        <f t="shared" si="0"/>
        <v>-</v>
      </c>
      <c r="AW6" s="244" t="str">
        <f t="shared" si="0"/>
        <v>-</v>
      </c>
      <c r="AX6" s="245" t="str">
        <f t="shared" si="0"/>
        <v>-</v>
      </c>
      <c r="AY6" s="245" t="str">
        <f t="shared" si="0"/>
        <v>-</v>
      </c>
      <c r="AZ6" s="247" t="str">
        <f t="shared" si="0"/>
        <v>-</v>
      </c>
      <c r="BA6" s="246" t="str">
        <f t="shared" si="0"/>
        <v>-</v>
      </c>
      <c r="BB6" s="244" t="str">
        <f t="shared" si="0"/>
        <v>-</v>
      </c>
      <c r="BC6" s="245" t="str">
        <f t="shared" si="0"/>
        <v>-</v>
      </c>
      <c r="BD6" s="245" t="str">
        <f t="shared" si="0"/>
        <v>-</v>
      </c>
      <c r="BE6" s="247" t="str">
        <f t="shared" si="0"/>
        <v>-</v>
      </c>
      <c r="BF6" s="246" t="str">
        <f t="shared" si="0"/>
        <v>-</v>
      </c>
      <c r="BG6" s="244" t="str">
        <f t="shared" si="0"/>
        <v>-</v>
      </c>
      <c r="BH6" s="245" t="str">
        <f t="shared" si="0"/>
        <v>-</v>
      </c>
      <c r="BI6" s="245" t="str">
        <f t="shared" si="0"/>
        <v>-</v>
      </c>
      <c r="BJ6" s="247" t="str">
        <f t="shared" si="0"/>
        <v>-</v>
      </c>
      <c r="BK6" s="246" t="str">
        <f t="shared" si="0"/>
        <v>-</v>
      </c>
      <c r="BL6" s="244" t="str">
        <f t="shared" si="0"/>
        <v>-</v>
      </c>
      <c r="BM6" s="245" t="str">
        <f t="shared" si="0"/>
        <v>-</v>
      </c>
      <c r="BN6" s="245" t="str">
        <f t="shared" si="0"/>
        <v>-</v>
      </c>
      <c r="BO6" s="247" t="str">
        <f t="shared" si="0"/>
        <v>-</v>
      </c>
      <c r="BP6" s="246" t="str">
        <f t="shared" si="0"/>
        <v>-</v>
      </c>
      <c r="BQ6" s="244" t="str">
        <f t="shared" ref="BQ6:EB6" si="1">IFERROR(BQ9/BQ8,"-")</f>
        <v>-</v>
      </c>
      <c r="BR6" s="245" t="str">
        <f t="shared" si="1"/>
        <v>-</v>
      </c>
      <c r="BS6" s="245" t="str">
        <f t="shared" si="1"/>
        <v>-</v>
      </c>
      <c r="BT6" s="245" t="str">
        <f t="shared" si="1"/>
        <v>-</v>
      </c>
      <c r="BU6" s="353" t="str">
        <f t="shared" si="1"/>
        <v>-</v>
      </c>
      <c r="BV6" s="244" t="str">
        <f t="shared" si="1"/>
        <v>-</v>
      </c>
      <c r="BW6" s="245" t="str">
        <f t="shared" si="1"/>
        <v>-</v>
      </c>
      <c r="BX6" s="245" t="str">
        <f t="shared" si="1"/>
        <v>-</v>
      </c>
      <c r="BY6" s="247" t="str">
        <f t="shared" si="1"/>
        <v>-</v>
      </c>
      <c r="BZ6" s="246" t="str">
        <f t="shared" si="1"/>
        <v>-</v>
      </c>
      <c r="CA6" s="244" t="str">
        <f t="shared" si="1"/>
        <v>-</v>
      </c>
      <c r="CB6" s="245" t="str">
        <f t="shared" si="1"/>
        <v>-</v>
      </c>
      <c r="CC6" s="245" t="str">
        <f t="shared" si="1"/>
        <v>-</v>
      </c>
      <c r="CD6" s="247" t="str">
        <f t="shared" si="1"/>
        <v>-</v>
      </c>
      <c r="CE6" s="246" t="str">
        <f t="shared" si="1"/>
        <v>-</v>
      </c>
      <c r="CF6" s="244" t="str">
        <f t="shared" si="1"/>
        <v>-</v>
      </c>
      <c r="CG6" s="245" t="str">
        <f t="shared" si="1"/>
        <v>-</v>
      </c>
      <c r="CH6" s="245" t="str">
        <f t="shared" si="1"/>
        <v>-</v>
      </c>
      <c r="CI6" s="247" t="str">
        <f t="shared" si="1"/>
        <v>-</v>
      </c>
      <c r="CJ6" s="246" t="str">
        <f t="shared" si="1"/>
        <v>-</v>
      </c>
      <c r="CK6" s="244" t="str">
        <f t="shared" si="1"/>
        <v>-</v>
      </c>
      <c r="CL6" s="245" t="str">
        <f t="shared" si="1"/>
        <v>-</v>
      </c>
      <c r="CM6" s="245" t="str">
        <f t="shared" si="1"/>
        <v>-</v>
      </c>
      <c r="CN6" s="247" t="str">
        <f t="shared" si="1"/>
        <v>-</v>
      </c>
      <c r="CO6" s="246" t="str">
        <f t="shared" si="1"/>
        <v>-</v>
      </c>
      <c r="CP6" s="244" t="str">
        <f t="shared" si="1"/>
        <v>-</v>
      </c>
      <c r="CQ6" s="245" t="str">
        <f t="shared" si="1"/>
        <v>-</v>
      </c>
      <c r="CR6" s="245" t="str">
        <f t="shared" si="1"/>
        <v>-</v>
      </c>
      <c r="CS6" s="247" t="str">
        <f t="shared" si="1"/>
        <v>-</v>
      </c>
      <c r="CT6" s="246" t="str">
        <f t="shared" si="1"/>
        <v>-</v>
      </c>
      <c r="CU6" s="244" t="str">
        <f t="shared" si="1"/>
        <v>-</v>
      </c>
      <c r="CV6" s="245" t="str">
        <f t="shared" si="1"/>
        <v>-</v>
      </c>
      <c r="CW6" s="245" t="str">
        <f t="shared" si="1"/>
        <v>-</v>
      </c>
      <c r="CX6" s="247" t="str">
        <f t="shared" si="1"/>
        <v>-</v>
      </c>
      <c r="CY6" s="246" t="str">
        <f t="shared" si="1"/>
        <v>-</v>
      </c>
      <c r="CZ6" s="244" t="str">
        <f t="shared" si="1"/>
        <v>-</v>
      </c>
      <c r="DA6" s="245" t="str">
        <f t="shared" si="1"/>
        <v>-</v>
      </c>
      <c r="DB6" s="245" t="str">
        <f t="shared" si="1"/>
        <v>-</v>
      </c>
      <c r="DC6" s="247" t="str">
        <f t="shared" si="1"/>
        <v>-</v>
      </c>
      <c r="DD6" s="246" t="str">
        <f t="shared" si="1"/>
        <v>-</v>
      </c>
      <c r="DE6" s="244" t="str">
        <f t="shared" si="1"/>
        <v>-</v>
      </c>
      <c r="DF6" s="245" t="str">
        <f t="shared" si="1"/>
        <v>-</v>
      </c>
      <c r="DG6" s="245" t="str">
        <f t="shared" si="1"/>
        <v>-</v>
      </c>
      <c r="DH6" s="247" t="str">
        <f t="shared" si="1"/>
        <v>-</v>
      </c>
      <c r="DI6" s="246" t="str">
        <f t="shared" si="1"/>
        <v>-</v>
      </c>
      <c r="DJ6" s="244" t="str">
        <f t="shared" si="1"/>
        <v>-</v>
      </c>
      <c r="DK6" s="245" t="str">
        <f t="shared" si="1"/>
        <v>-</v>
      </c>
      <c r="DL6" s="245" t="str">
        <f t="shared" si="1"/>
        <v>-</v>
      </c>
      <c r="DM6" s="247" t="str">
        <f t="shared" si="1"/>
        <v>-</v>
      </c>
      <c r="DN6" s="246" t="str">
        <f t="shared" si="1"/>
        <v>-</v>
      </c>
      <c r="DO6" s="244" t="str">
        <f t="shared" si="1"/>
        <v>-</v>
      </c>
      <c r="DP6" s="245" t="str">
        <f t="shared" si="1"/>
        <v>-</v>
      </c>
      <c r="DQ6" s="245" t="str">
        <f t="shared" si="1"/>
        <v>-</v>
      </c>
      <c r="DR6" s="247" t="str">
        <f t="shared" si="1"/>
        <v>-</v>
      </c>
      <c r="DS6" s="246" t="str">
        <f t="shared" si="1"/>
        <v>-</v>
      </c>
      <c r="DT6" s="244" t="str">
        <f t="shared" si="1"/>
        <v>-</v>
      </c>
      <c r="DU6" s="245" t="str">
        <f t="shared" si="1"/>
        <v>-</v>
      </c>
      <c r="DV6" s="245" t="str">
        <f t="shared" si="1"/>
        <v>-</v>
      </c>
      <c r="DW6" s="247" t="str">
        <f t="shared" si="1"/>
        <v>-</v>
      </c>
      <c r="DX6" s="246" t="str">
        <f t="shared" si="1"/>
        <v>-</v>
      </c>
      <c r="DY6" s="244" t="str">
        <f t="shared" si="1"/>
        <v>-</v>
      </c>
      <c r="DZ6" s="245" t="str">
        <f t="shared" si="1"/>
        <v>-</v>
      </c>
      <c r="EA6" s="245" t="str">
        <f t="shared" si="1"/>
        <v>-</v>
      </c>
      <c r="EB6" s="247" t="str">
        <f t="shared" si="1"/>
        <v>-</v>
      </c>
      <c r="EC6" s="246" t="str">
        <f t="shared" ref="EC6:FG6" si="2">IFERROR(EC9/EC8,"-")</f>
        <v>-</v>
      </c>
      <c r="ED6" s="244" t="str">
        <f t="shared" si="2"/>
        <v>-</v>
      </c>
      <c r="EE6" s="245" t="str">
        <f t="shared" si="2"/>
        <v>-</v>
      </c>
      <c r="EF6" s="245" t="str">
        <f t="shared" si="2"/>
        <v>-</v>
      </c>
      <c r="EG6" s="245" t="str">
        <f t="shared" si="2"/>
        <v>-</v>
      </c>
      <c r="EH6" s="353" t="str">
        <f t="shared" si="2"/>
        <v>-</v>
      </c>
      <c r="EI6" s="244" t="str">
        <f t="shared" si="2"/>
        <v>-</v>
      </c>
      <c r="EJ6" s="245" t="str">
        <f t="shared" si="2"/>
        <v>-</v>
      </c>
      <c r="EK6" s="245" t="str">
        <f t="shared" si="2"/>
        <v>-</v>
      </c>
      <c r="EL6" s="247" t="str">
        <f t="shared" si="2"/>
        <v>-</v>
      </c>
      <c r="EM6" s="246" t="str">
        <f t="shared" si="2"/>
        <v>-</v>
      </c>
      <c r="EN6" s="244" t="str">
        <f t="shared" si="2"/>
        <v>-</v>
      </c>
      <c r="EO6" s="245" t="str">
        <f t="shared" si="2"/>
        <v>-</v>
      </c>
      <c r="EP6" s="245" t="str">
        <f t="shared" si="2"/>
        <v>-</v>
      </c>
      <c r="EQ6" s="247" t="str">
        <f t="shared" si="2"/>
        <v>-</v>
      </c>
      <c r="ER6" s="246" t="str">
        <f t="shared" si="2"/>
        <v>-</v>
      </c>
      <c r="ES6" s="244" t="str">
        <f t="shared" si="2"/>
        <v>-</v>
      </c>
      <c r="ET6" s="245" t="str">
        <f t="shared" si="2"/>
        <v>-</v>
      </c>
      <c r="EU6" s="245" t="str">
        <f t="shared" si="2"/>
        <v>-</v>
      </c>
      <c r="EV6" s="247" t="str">
        <f t="shared" si="2"/>
        <v>-</v>
      </c>
      <c r="EW6" s="246" t="str">
        <f t="shared" si="2"/>
        <v>-</v>
      </c>
      <c r="EX6" s="244" t="str">
        <f t="shared" si="2"/>
        <v>-</v>
      </c>
      <c r="EY6" s="245" t="str">
        <f t="shared" si="2"/>
        <v>-</v>
      </c>
      <c r="EZ6" s="245" t="str">
        <f t="shared" si="2"/>
        <v>-</v>
      </c>
      <c r="FA6" s="247" t="str">
        <f t="shared" si="2"/>
        <v>-</v>
      </c>
      <c r="FB6" s="246" t="str">
        <f t="shared" si="2"/>
        <v>-</v>
      </c>
      <c r="FC6" s="244" t="str">
        <f t="shared" si="2"/>
        <v>-</v>
      </c>
      <c r="FD6" s="245" t="str">
        <f t="shared" si="2"/>
        <v>-</v>
      </c>
      <c r="FE6" s="245" t="str">
        <f t="shared" si="2"/>
        <v>-</v>
      </c>
      <c r="FF6" s="247" t="str">
        <f t="shared" si="2"/>
        <v>-</v>
      </c>
      <c r="FG6" s="246" t="str">
        <f t="shared" si="2"/>
        <v>-</v>
      </c>
    </row>
    <row r="7" spans="1:163">
      <c r="B7" s="240"/>
      <c r="C7" s="239" t="s">
        <v>256</v>
      </c>
      <c r="D7" s="241"/>
      <c r="E7" s="175"/>
      <c r="F7" s="175"/>
      <c r="G7" s="175"/>
      <c r="H7" s="242">
        <f>SUM(D7:G7)</f>
        <v>0</v>
      </c>
      <c r="I7" s="241"/>
      <c r="J7" s="175"/>
      <c r="K7" s="175"/>
      <c r="L7" s="175"/>
      <c r="M7" s="242">
        <f>SUM(I7:L7)</f>
        <v>0</v>
      </c>
      <c r="N7" s="241"/>
      <c r="O7" s="175"/>
      <c r="P7" s="175"/>
      <c r="Q7" s="175"/>
      <c r="R7" s="242">
        <f>SUM(N7:Q7)</f>
        <v>0</v>
      </c>
      <c r="S7" s="241"/>
      <c r="T7" s="175"/>
      <c r="U7" s="175"/>
      <c r="V7" s="175"/>
      <c r="W7" s="242">
        <f>SUM(S7:V7)</f>
        <v>0</v>
      </c>
      <c r="X7" s="241"/>
      <c r="Y7" s="175"/>
      <c r="Z7" s="175"/>
      <c r="AA7" s="175"/>
      <c r="AB7" s="242">
        <f>SUM(X7:AA7)</f>
        <v>0</v>
      </c>
      <c r="AC7" s="241"/>
      <c r="AD7" s="175"/>
      <c r="AE7" s="175"/>
      <c r="AF7" s="175"/>
      <c r="AG7" s="242">
        <f>SUM(AC7:AF7)</f>
        <v>0</v>
      </c>
      <c r="AH7" s="241"/>
      <c r="AI7" s="175"/>
      <c r="AJ7" s="175"/>
      <c r="AK7" s="175"/>
      <c r="AL7" s="242">
        <f>SUM(AH7:AK7)</f>
        <v>0</v>
      </c>
      <c r="AM7" s="241"/>
      <c r="AN7" s="175"/>
      <c r="AO7" s="175"/>
      <c r="AP7" s="175"/>
      <c r="AQ7" s="242">
        <f>SUM(AM7:AP7)</f>
        <v>0</v>
      </c>
      <c r="AR7" s="241"/>
      <c r="AS7" s="175"/>
      <c r="AT7" s="175"/>
      <c r="AU7" s="175"/>
      <c r="AV7" s="242">
        <f>SUM(AR7:AU7)</f>
        <v>0</v>
      </c>
      <c r="AW7" s="241"/>
      <c r="AX7" s="175"/>
      <c r="AY7" s="175"/>
      <c r="AZ7" s="175"/>
      <c r="BA7" s="242">
        <f>SUM(AW7:AZ7)</f>
        <v>0</v>
      </c>
      <c r="BB7" s="241"/>
      <c r="BC7" s="175"/>
      <c r="BD7" s="175"/>
      <c r="BE7" s="175"/>
      <c r="BF7" s="242">
        <f>SUM(BB7:BE7)</f>
        <v>0</v>
      </c>
      <c r="BG7" s="241"/>
      <c r="BH7" s="175"/>
      <c r="BI7" s="175"/>
      <c r="BJ7" s="175"/>
      <c r="BK7" s="242">
        <f>SUM(BG7:BJ7)</f>
        <v>0</v>
      </c>
      <c r="BL7" s="241"/>
      <c r="BM7" s="175"/>
      <c r="BN7" s="175"/>
      <c r="BO7" s="175"/>
      <c r="BP7" s="242">
        <f>SUM(BL7:BO7)</f>
        <v>0</v>
      </c>
      <c r="BQ7" s="241"/>
      <c r="BR7" s="175"/>
      <c r="BS7" s="175"/>
      <c r="BT7" s="175"/>
      <c r="BU7" s="242">
        <f>SUM(BQ7:BT7)</f>
        <v>0</v>
      </c>
      <c r="BV7" s="241"/>
      <c r="BW7" s="175"/>
      <c r="BX7" s="175"/>
      <c r="BY7" s="175"/>
      <c r="BZ7" s="242">
        <f>SUM(BV7:BY7)</f>
        <v>0</v>
      </c>
      <c r="CA7" s="241"/>
      <c r="CB7" s="175"/>
      <c r="CC7" s="175"/>
      <c r="CD7" s="175"/>
      <c r="CE7" s="242">
        <f>SUM(CA7:CD7)</f>
        <v>0</v>
      </c>
      <c r="CF7" s="241"/>
      <c r="CG7" s="175"/>
      <c r="CH7" s="175"/>
      <c r="CI7" s="175"/>
      <c r="CJ7" s="242">
        <f>SUM(CF7:CI7)</f>
        <v>0</v>
      </c>
      <c r="CK7" s="241"/>
      <c r="CL7" s="175"/>
      <c r="CM7" s="175"/>
      <c r="CN7" s="175"/>
      <c r="CO7" s="242">
        <f>SUM(CK7:CN7)</f>
        <v>0</v>
      </c>
      <c r="CP7" s="241"/>
      <c r="CQ7" s="175"/>
      <c r="CR7" s="175"/>
      <c r="CS7" s="175"/>
      <c r="CT7" s="242">
        <f>SUM(CP7:CS7)</f>
        <v>0</v>
      </c>
      <c r="CU7" s="241"/>
      <c r="CV7" s="175"/>
      <c r="CW7" s="175"/>
      <c r="CX7" s="175"/>
      <c r="CY7" s="242">
        <f>SUM(CU7:CX7)</f>
        <v>0</v>
      </c>
      <c r="CZ7" s="241"/>
      <c r="DA7" s="175"/>
      <c r="DB7" s="175"/>
      <c r="DC7" s="175"/>
      <c r="DD7" s="242">
        <f>SUM(CZ7:DC7)</f>
        <v>0</v>
      </c>
      <c r="DE7" s="241"/>
      <c r="DF7" s="175"/>
      <c r="DG7" s="175"/>
      <c r="DH7" s="175"/>
      <c r="DI7" s="242">
        <f>SUM(DE7:DH7)</f>
        <v>0</v>
      </c>
      <c r="DJ7" s="241"/>
      <c r="DK7" s="175"/>
      <c r="DL7" s="175"/>
      <c r="DM7" s="175"/>
      <c r="DN7" s="242">
        <f>SUM(DJ7:DM7)</f>
        <v>0</v>
      </c>
      <c r="DO7" s="241"/>
      <c r="DP7" s="175"/>
      <c r="DQ7" s="175"/>
      <c r="DR7" s="175"/>
      <c r="DS7" s="242">
        <f>SUM(DO7:DR7)</f>
        <v>0</v>
      </c>
      <c r="DT7" s="241"/>
      <c r="DU7" s="175"/>
      <c r="DV7" s="175"/>
      <c r="DW7" s="175"/>
      <c r="DX7" s="242">
        <f>SUM(DT7:DW7)</f>
        <v>0</v>
      </c>
      <c r="DY7" s="241"/>
      <c r="DZ7" s="175"/>
      <c r="EA7" s="175"/>
      <c r="EB7" s="175"/>
      <c r="EC7" s="242">
        <f>SUM(DY7:EB7)</f>
        <v>0</v>
      </c>
      <c r="ED7" s="241"/>
      <c r="EE7" s="175"/>
      <c r="EF7" s="175"/>
      <c r="EG7" s="175"/>
      <c r="EH7" s="242">
        <f>SUM(ED7:EG7)</f>
        <v>0</v>
      </c>
      <c r="EI7" s="241"/>
      <c r="EJ7" s="175"/>
      <c r="EK7" s="175"/>
      <c r="EL7" s="175"/>
      <c r="EM7" s="242">
        <f>SUM(EI7:EL7)</f>
        <v>0</v>
      </c>
      <c r="EN7" s="241"/>
      <c r="EO7" s="175"/>
      <c r="EP7" s="175"/>
      <c r="EQ7" s="175"/>
      <c r="ER7" s="242">
        <f>SUM(EN7:EQ7)</f>
        <v>0</v>
      </c>
      <c r="ES7" s="241"/>
      <c r="ET7" s="175"/>
      <c r="EU7" s="175"/>
      <c r="EV7" s="175"/>
      <c r="EW7" s="242">
        <f>SUM(ES7:EV7)</f>
        <v>0</v>
      </c>
      <c r="EX7" s="241"/>
      <c r="EY7" s="175"/>
      <c r="EZ7" s="175"/>
      <c r="FA7" s="175"/>
      <c r="FB7" s="242">
        <f>SUM(EX7:FA7)</f>
        <v>0</v>
      </c>
      <c r="FC7" s="241"/>
      <c r="FD7" s="175"/>
      <c r="FE7" s="175"/>
      <c r="FF7" s="175"/>
      <c r="FG7" s="242">
        <f>SUM(FC7:FF7)</f>
        <v>0</v>
      </c>
    </row>
    <row r="8" spans="1:163">
      <c r="B8" s="240"/>
      <c r="C8" s="239" t="s">
        <v>255</v>
      </c>
      <c r="D8" s="241"/>
      <c r="E8" s="175"/>
      <c r="F8" s="175"/>
      <c r="G8" s="175"/>
      <c r="H8" s="233">
        <f>SUM(D8:G8)</f>
        <v>0</v>
      </c>
      <c r="I8" s="241"/>
      <c r="J8" s="175"/>
      <c r="K8" s="175"/>
      <c r="L8" s="175"/>
      <c r="M8" s="233">
        <f>SUM(I8:L8)</f>
        <v>0</v>
      </c>
      <c r="N8" s="241"/>
      <c r="O8" s="175"/>
      <c r="P8" s="175"/>
      <c r="Q8" s="175"/>
      <c r="R8" s="233">
        <f>SUM(N8:Q8)</f>
        <v>0</v>
      </c>
      <c r="S8" s="241"/>
      <c r="T8" s="175"/>
      <c r="U8" s="175"/>
      <c r="V8" s="175"/>
      <c r="W8" s="233">
        <f>SUM(S8:V8)</f>
        <v>0</v>
      </c>
      <c r="X8" s="241"/>
      <c r="Y8" s="175"/>
      <c r="Z8" s="175"/>
      <c r="AA8" s="175"/>
      <c r="AB8" s="233">
        <f>SUM(X8:AA8)</f>
        <v>0</v>
      </c>
      <c r="AC8" s="241"/>
      <c r="AD8" s="175"/>
      <c r="AE8" s="175"/>
      <c r="AF8" s="175"/>
      <c r="AG8" s="233">
        <f>SUM(AC8:AF8)</f>
        <v>0</v>
      </c>
      <c r="AH8" s="241"/>
      <c r="AI8" s="175"/>
      <c r="AJ8" s="175"/>
      <c r="AK8" s="175"/>
      <c r="AL8" s="233">
        <f>SUM(AH8:AK8)</f>
        <v>0</v>
      </c>
      <c r="AM8" s="241"/>
      <c r="AN8" s="175"/>
      <c r="AO8" s="175"/>
      <c r="AP8" s="175"/>
      <c r="AQ8" s="233">
        <f>SUM(AM8:AP8)</f>
        <v>0</v>
      </c>
      <c r="AR8" s="241"/>
      <c r="AS8" s="175"/>
      <c r="AT8" s="175"/>
      <c r="AU8" s="175"/>
      <c r="AV8" s="233">
        <f>SUM(AR8:AU8)</f>
        <v>0</v>
      </c>
      <c r="AW8" s="241"/>
      <c r="AX8" s="175"/>
      <c r="AY8" s="175"/>
      <c r="AZ8" s="175"/>
      <c r="BA8" s="233">
        <f>SUM(AW8:AZ8)</f>
        <v>0</v>
      </c>
      <c r="BB8" s="241">
        <v>46.0</v>
      </c>
      <c r="BC8" s="175"/>
      <c r="BD8" s="175">
        <v>0.0</v>
      </c>
      <c r="BE8" s="175">
        <v>36.0</v>
      </c>
      <c r="BF8" s="233">
        <f>SUM(BB8:BE8)</f>
        <v>0</v>
      </c>
      <c r="BG8" s="241">
        <v>39.0</v>
      </c>
      <c r="BH8" s="175"/>
      <c r="BI8" s="175">
        <v>0.0</v>
      </c>
      <c r="BJ8" s="175">
        <v>58.0</v>
      </c>
      <c r="BK8" s="233">
        <f>SUM(BG8:BJ8)</f>
        <v>0</v>
      </c>
      <c r="BL8" s="241">
        <v>73.0</v>
      </c>
      <c r="BM8" s="175"/>
      <c r="BN8" s="175">
        <v>0.0</v>
      </c>
      <c r="BO8" s="175">
        <v>130.0</v>
      </c>
      <c r="BP8" s="233">
        <f>SUM(BL8:BO8)</f>
        <v>0</v>
      </c>
      <c r="BQ8" s="241"/>
      <c r="BR8" s="175"/>
      <c r="BS8" s="175"/>
      <c r="BT8" s="175"/>
      <c r="BU8" s="233">
        <f>SUM(BQ8:BT8)</f>
        <v>0</v>
      </c>
      <c r="BV8" s="241">
        <v>34.0</v>
      </c>
      <c r="BW8" s="175"/>
      <c r="BX8" s="175">
        <v>0.0</v>
      </c>
      <c r="BY8" s="175">
        <v>50.0</v>
      </c>
      <c r="BZ8" s="233">
        <f>SUM(BV8:BY8)</f>
        <v>0</v>
      </c>
      <c r="CA8" s="241">
        <v>35.0</v>
      </c>
      <c r="CB8" s="175"/>
      <c r="CC8" s="175">
        <v>0.0</v>
      </c>
      <c r="CD8" s="175">
        <v>38.0</v>
      </c>
      <c r="CE8" s="233">
        <f>SUM(CA8:CD8)</f>
        <v>0</v>
      </c>
      <c r="CF8" s="241">
        <v>25.0</v>
      </c>
      <c r="CG8" s="175"/>
      <c r="CH8" s="175">
        <v>0.0</v>
      </c>
      <c r="CI8" s="175">
        <v>41.0</v>
      </c>
      <c r="CJ8" s="233">
        <f>SUM(CF8:CI8)</f>
        <v>0</v>
      </c>
      <c r="CK8" s="241">
        <v>23.0</v>
      </c>
      <c r="CL8" s="175"/>
      <c r="CM8" s="175">
        <v>0.0</v>
      </c>
      <c r="CN8" s="175">
        <v>48.0</v>
      </c>
      <c r="CO8" s="233">
        <f>SUM(CK8:CN8)</f>
        <v>0</v>
      </c>
      <c r="CP8" s="241">
        <v>39.0</v>
      </c>
      <c r="CQ8" s="175"/>
      <c r="CR8" s="175">
        <v>0.0</v>
      </c>
      <c r="CS8" s="175">
        <v>68.0</v>
      </c>
      <c r="CT8" s="233">
        <f>SUM(CP8:CS8)</f>
        <v>0</v>
      </c>
      <c r="CU8" s="241">
        <v>42.0</v>
      </c>
      <c r="CV8" s="175"/>
      <c r="CW8" s="175">
        <v>0.0</v>
      </c>
      <c r="CX8" s="175">
        <v>82.0</v>
      </c>
      <c r="CY8" s="233">
        <f>SUM(CU8:CX8)</f>
        <v>0</v>
      </c>
      <c r="CZ8" s="241">
        <v>36.0</v>
      </c>
      <c r="DA8" s="175"/>
      <c r="DB8" s="175">
        <v>0.0</v>
      </c>
      <c r="DC8" s="175">
        <v>82.0</v>
      </c>
      <c r="DD8" s="233">
        <f>SUM(CZ8:DC8)</f>
        <v>0</v>
      </c>
      <c r="DE8" s="241">
        <v>32.0</v>
      </c>
      <c r="DF8" s="175"/>
      <c r="DG8" s="175">
        <v>0.0</v>
      </c>
      <c r="DH8" s="175">
        <v>82.0</v>
      </c>
      <c r="DI8" s="233">
        <f>SUM(DE8:DH8)</f>
        <v>0</v>
      </c>
      <c r="DJ8" s="241">
        <v>26.0</v>
      </c>
      <c r="DK8" s="175"/>
      <c r="DL8" s="175">
        <v>0.0</v>
      </c>
      <c r="DM8" s="175">
        <v>88.0</v>
      </c>
      <c r="DN8" s="233">
        <f>SUM(DJ8:DM8)</f>
        <v>0</v>
      </c>
      <c r="DO8" s="241">
        <v>51.0</v>
      </c>
      <c r="DP8" s="175"/>
      <c r="DQ8" s="175">
        <v>159.0</v>
      </c>
      <c r="DR8" s="175">
        <v>77.0</v>
      </c>
      <c r="DS8" s="233">
        <f>SUM(DO8:DR8)</f>
        <v>0</v>
      </c>
      <c r="DT8" s="241">
        <v>45.0</v>
      </c>
      <c r="DU8" s="175"/>
      <c r="DV8" s="175">
        <v>140.0</v>
      </c>
      <c r="DW8" s="175">
        <v>54.0</v>
      </c>
      <c r="DX8" s="233">
        <f>SUM(DT8:DW8)</f>
        <v>0</v>
      </c>
      <c r="DY8" s="241">
        <v>60.0</v>
      </c>
      <c r="DZ8" s="175"/>
      <c r="EA8" s="175">
        <v>230.0</v>
      </c>
      <c r="EB8" s="175">
        <v>71.0</v>
      </c>
      <c r="EC8" s="233">
        <f>SUM(DY8:EB8)</f>
        <v>0</v>
      </c>
      <c r="ED8" s="241"/>
      <c r="EE8" s="175"/>
      <c r="EF8" s="175"/>
      <c r="EG8" s="175"/>
      <c r="EH8" s="233">
        <f>SUM(ED8:EG8)</f>
        <v>0</v>
      </c>
      <c r="EI8" s="241">
        <v>53.0</v>
      </c>
      <c r="EJ8" s="175"/>
      <c r="EK8" s="175">
        <v>179.0</v>
      </c>
      <c r="EL8" s="175">
        <v>58.0</v>
      </c>
      <c r="EM8" s="233">
        <f>SUM(EI8:EL8)</f>
        <v>0</v>
      </c>
      <c r="EN8" s="241">
        <v>51.0</v>
      </c>
      <c r="EO8" s="175"/>
      <c r="EP8" s="175">
        <v>191.0</v>
      </c>
      <c r="EQ8" s="175">
        <v>62.0</v>
      </c>
      <c r="ER8" s="233">
        <f>SUM(EN8:EQ8)</f>
        <v>0</v>
      </c>
      <c r="ES8" s="241">
        <v>34.0</v>
      </c>
      <c r="ET8" s="175"/>
      <c r="EU8" s="175">
        <v>156.0</v>
      </c>
      <c r="EV8" s="175">
        <v>65.0</v>
      </c>
      <c r="EW8" s="233">
        <f>SUM(ES8:EV8)</f>
        <v>0</v>
      </c>
      <c r="EX8" s="241">
        <v>52.0</v>
      </c>
      <c r="EY8" s="175"/>
      <c r="EZ8" s="175">
        <v>148.0</v>
      </c>
      <c r="FA8" s="175">
        <v>53.0</v>
      </c>
      <c r="FB8" s="233">
        <f>SUM(EX8:FA8)</f>
        <v>0</v>
      </c>
      <c r="FC8" s="241">
        <v>48.0</v>
      </c>
      <c r="FD8" s="175"/>
      <c r="FE8" s="175">
        <v>199.0</v>
      </c>
      <c r="FF8" s="175">
        <v>72.0</v>
      </c>
      <c r="FG8" s="233">
        <f>SUM(FC8:FF8)</f>
        <v>0</v>
      </c>
    </row>
    <row r="9" spans="1:163">
      <c r="B9" s="240"/>
      <c r="C9" s="239" t="s">
        <v>116</v>
      </c>
      <c r="D9" s="241"/>
      <c r="E9" s="175"/>
      <c r="F9" s="175"/>
      <c r="G9" s="175">
        <v>0</v>
      </c>
      <c r="H9" s="242">
        <f>SUM(D9:G9)</f>
        <v>0</v>
      </c>
      <c r="I9" s="241"/>
      <c r="J9" s="175"/>
      <c r="K9" s="175"/>
      <c r="L9" s="175">
        <v>0</v>
      </c>
      <c r="M9" s="242">
        <f>SUM(I9:L9)</f>
        <v>0</v>
      </c>
      <c r="N9" s="241"/>
      <c r="O9" s="175"/>
      <c r="P9" s="175"/>
      <c r="Q9" s="175">
        <v>0</v>
      </c>
      <c r="R9" s="242">
        <f>SUM(N9:Q9)</f>
        <v>0</v>
      </c>
      <c r="S9" s="241"/>
      <c r="T9" s="175"/>
      <c r="U9" s="175"/>
      <c r="V9" s="175">
        <v>0</v>
      </c>
      <c r="W9" s="242">
        <f>SUM(S9:V9)</f>
        <v>0</v>
      </c>
      <c r="X9" s="241"/>
      <c r="Y9" s="175"/>
      <c r="Z9" s="175"/>
      <c r="AA9" s="175">
        <v>0</v>
      </c>
      <c r="AB9" s="242">
        <f>SUM(X9:AA9)</f>
        <v>0</v>
      </c>
      <c r="AC9" s="241"/>
      <c r="AD9" s="175"/>
      <c r="AE9" s="175"/>
      <c r="AF9" s="175">
        <v>0</v>
      </c>
      <c r="AG9" s="242">
        <f>SUM(AC9:AF9)</f>
        <v>0</v>
      </c>
      <c r="AH9" s="241"/>
      <c r="AI9" s="175"/>
      <c r="AJ9" s="175"/>
      <c r="AK9" s="175">
        <v>0</v>
      </c>
      <c r="AL9" s="242">
        <f>SUM(AH9:AK9)</f>
        <v>0</v>
      </c>
      <c r="AM9" s="241"/>
      <c r="AN9" s="175"/>
      <c r="AO9" s="175"/>
      <c r="AP9" s="175">
        <v>0</v>
      </c>
      <c r="AQ9" s="242">
        <f>SUM(AM9:AP9)</f>
        <v>0</v>
      </c>
      <c r="AR9" s="241"/>
      <c r="AS9" s="175"/>
      <c r="AT9" s="175"/>
      <c r="AU9" s="175">
        <v>0</v>
      </c>
      <c r="AV9" s="242">
        <f>SUM(AR9:AU9)</f>
        <v>0</v>
      </c>
      <c r="AW9" s="241"/>
      <c r="AX9" s="175"/>
      <c r="AY9" s="175"/>
      <c r="AZ9" s="175">
        <v>0</v>
      </c>
      <c r="BA9" s="242">
        <f>SUM(AW9:AZ9)</f>
        <v>0</v>
      </c>
      <c r="BB9" s="241">
        <v>48.0</v>
      </c>
      <c r="BC9" s="175"/>
      <c r="BD9" s="175">
        <v>0.0</v>
      </c>
      <c r="BE9" s="175">
        <v>125.0</v>
      </c>
      <c r="BF9" s="242">
        <f>SUM(BB9:BE9)</f>
        <v>0</v>
      </c>
      <c r="BG9" s="241">
        <v>51.0</v>
      </c>
      <c r="BH9" s="175"/>
      <c r="BI9" s="175">
        <v>0.0</v>
      </c>
      <c r="BJ9" s="175">
        <v>185.0</v>
      </c>
      <c r="BK9" s="242">
        <f>SUM(BG9:BJ9)</f>
        <v>0</v>
      </c>
      <c r="BL9" s="241">
        <v>64.0</v>
      </c>
      <c r="BM9" s="175"/>
      <c r="BN9" s="175">
        <v>0.0</v>
      </c>
      <c r="BO9" s="175">
        <v>298.0</v>
      </c>
      <c r="BP9" s="242">
        <f>SUM(BL9:BO9)</f>
        <v>0</v>
      </c>
      <c r="BQ9" s="241">
        <f>BL9+BG9+BB9+AW9+AR9+AM9+AH9+AC9+X9+S9+N9+I9</f>
        <v>0</v>
      </c>
      <c r="BR9" s="175">
        <f t="shared" ref="BR9:BS9" si="3">BM9+BH9+BC9+AX9+AS9+AN9+AI9+AD9+Y9+T9+O9+J9</f>
        <v>0</v>
      </c>
      <c r="BS9" s="175">
        <f t="shared" si="3"/>
        <v>0</v>
      </c>
      <c r="BT9" s="175">
        <f>BO9+BJ9+BE9+AZ9+AU9+AP9+AK9+AF9+AA9+V9+Q9+L9</f>
        <v>0</v>
      </c>
      <c r="BU9" s="354">
        <f>SUM(BQ9:BT9)</f>
        <v>0</v>
      </c>
      <c r="BV9" s="241">
        <v>60.0</v>
      </c>
      <c r="BW9" s="175"/>
      <c r="BX9" s="175">
        <v>0.0</v>
      </c>
      <c r="BY9" s="175">
        <v>168.0</v>
      </c>
      <c r="BZ9" s="242">
        <f>SUM(BV9:BY9)</f>
        <v>0</v>
      </c>
      <c r="CA9" s="241">
        <v>49.0</v>
      </c>
      <c r="CB9" s="175"/>
      <c r="CC9" s="175">
        <v>0.0</v>
      </c>
      <c r="CD9" s="175">
        <v>153.0</v>
      </c>
      <c r="CE9" s="242">
        <f>SUM(CA9:CD9)</f>
        <v>0</v>
      </c>
      <c r="CF9" s="241">
        <v>23.0</v>
      </c>
      <c r="CG9" s="175"/>
      <c r="CH9" s="175">
        <v>0.0</v>
      </c>
      <c r="CI9" s="175">
        <v>162.0</v>
      </c>
      <c r="CJ9" s="242">
        <f>SUM(CF9:CI9)</f>
        <v>0</v>
      </c>
      <c r="CK9" s="241">
        <v>47.0</v>
      </c>
      <c r="CL9" s="175"/>
      <c r="CM9" s="175">
        <v>0.0</v>
      </c>
      <c r="CN9" s="175">
        <v>139.0</v>
      </c>
      <c r="CO9" s="242">
        <f>SUM(CK9:CN9)</f>
        <v>0</v>
      </c>
      <c r="CP9" s="241">
        <v>36.0</v>
      </c>
      <c r="CQ9" s="175"/>
      <c r="CR9" s="175">
        <v>0.0</v>
      </c>
      <c r="CS9" s="175">
        <v>175.0</v>
      </c>
      <c r="CT9" s="242">
        <f>SUM(CP9:CS9)</f>
        <v>0</v>
      </c>
      <c r="CU9" s="241">
        <v>63.0</v>
      </c>
      <c r="CV9" s="175"/>
      <c r="CW9" s="175">
        <v>0.0</v>
      </c>
      <c r="CX9" s="175">
        <v>159.0</v>
      </c>
      <c r="CY9" s="242">
        <f>SUM(CU9:CX9)</f>
        <v>0</v>
      </c>
      <c r="CZ9" s="241">
        <v>49.0</v>
      </c>
      <c r="DA9" s="175"/>
      <c r="DB9" s="175">
        <v>0.0</v>
      </c>
      <c r="DC9" s="175">
        <v>274.0</v>
      </c>
      <c r="DD9" s="242">
        <f>SUM(CZ9:DC9)</f>
        <v>0</v>
      </c>
      <c r="DE9" s="241">
        <v>65.0</v>
      </c>
      <c r="DF9" s="175"/>
      <c r="DG9" s="175">
        <v>0.0</v>
      </c>
      <c r="DH9" s="175">
        <v>338.0</v>
      </c>
      <c r="DI9" s="242">
        <f>SUM(DE9:DH9)</f>
        <v>0</v>
      </c>
      <c r="DJ9" s="241">
        <v>45.0</v>
      </c>
      <c r="DK9" s="175"/>
      <c r="DL9" s="175">
        <v>0.0</v>
      </c>
      <c r="DM9" s="175">
        <v>286.0</v>
      </c>
      <c r="DN9" s="242">
        <f>SUM(DJ9:DM9)</f>
        <v>0</v>
      </c>
      <c r="DO9" s="241">
        <v>73.0</v>
      </c>
      <c r="DP9" s="175"/>
      <c r="DQ9" s="175">
        <v>254.0</v>
      </c>
      <c r="DR9" s="175">
        <v>260.0</v>
      </c>
      <c r="DS9" s="242">
        <f>SUM(DO9:DR9)</f>
        <v>0</v>
      </c>
      <c r="DT9" s="241">
        <v>65.0</v>
      </c>
      <c r="DU9" s="175"/>
      <c r="DV9" s="175">
        <v>175.0</v>
      </c>
      <c r="DW9" s="175">
        <v>189.0</v>
      </c>
      <c r="DX9" s="242">
        <f>SUM(DT9:DW9)</f>
        <v>0</v>
      </c>
      <c r="DY9" s="241">
        <v>53.0</v>
      </c>
      <c r="DZ9" s="175"/>
      <c r="EA9" s="175">
        <v>238.0</v>
      </c>
      <c r="EB9" s="175">
        <v>148.0</v>
      </c>
      <c r="EC9" s="242">
        <f>SUM(DY9:EB9)</f>
        <v>0</v>
      </c>
      <c r="ED9" s="241">
        <f>DY9+DT9+DO9+DJ9+DE9+CZ9+CU9+CP9+CK9+CF9+CA9+BV9</f>
        <v>0</v>
      </c>
      <c r="EE9" s="175"/>
      <c r="EF9" s="175"/>
      <c r="EG9" s="175">
        <f>EB9+DW9+DR9+DM9+DH9+DC9+CX9+CS9+CN9+CI9+CD9+BY9</f>
        <v>0</v>
      </c>
      <c r="EH9" s="354">
        <f>SUM(ED9:EG9)</f>
        <v>0</v>
      </c>
      <c r="EI9" s="241">
        <v>58.0</v>
      </c>
      <c r="EJ9" s="175"/>
      <c r="EK9" s="175">
        <v>226.0</v>
      </c>
      <c r="EL9" s="175">
        <v>130.0</v>
      </c>
      <c r="EM9" s="242">
        <f>SUM(EI9:EL9)</f>
        <v>0</v>
      </c>
      <c r="EN9" s="241">
        <v>62.0</v>
      </c>
      <c r="EO9" s="175"/>
      <c r="EP9" s="175">
        <v>311.0</v>
      </c>
      <c r="EQ9" s="175">
        <v>158.0</v>
      </c>
      <c r="ER9" s="242">
        <f>SUM(EN9:EQ9)</f>
        <v>0</v>
      </c>
      <c r="ES9" s="241">
        <v>41.0</v>
      </c>
      <c r="ET9" s="175"/>
      <c r="EU9" s="175">
        <v>237.0</v>
      </c>
      <c r="EV9" s="175">
        <v>126.0</v>
      </c>
      <c r="EW9" s="242">
        <f>SUM(ES9:EV9)</f>
        <v>0</v>
      </c>
      <c r="EX9" s="241">
        <v>51.0</v>
      </c>
      <c r="EY9" s="175"/>
      <c r="EZ9" s="175">
        <v>259.0</v>
      </c>
      <c r="FA9" s="175">
        <v>130.0</v>
      </c>
      <c r="FB9" s="242">
        <f>SUM(EX9:FA9)</f>
        <v>0</v>
      </c>
      <c r="FC9" s="241">
        <v>66.0</v>
      </c>
      <c r="FD9" s="175"/>
      <c r="FE9" s="175">
        <v>486.0</v>
      </c>
      <c r="FF9" s="175">
        <v>182.0</v>
      </c>
      <c r="FG9" s="242">
        <f>SUM(FC9:FF9)</f>
        <v>0</v>
      </c>
    </row>
    <row r="10" spans="1:163">
      <c r="B10" s="157"/>
      <c r="C10" s="222"/>
      <c r="D10" s="209"/>
      <c r="E10" s="182"/>
      <c r="F10" s="182"/>
      <c r="G10" s="182"/>
      <c r="H10" s="231"/>
      <c r="I10" s="209"/>
      <c r="J10" s="182"/>
      <c r="K10" s="182"/>
      <c r="L10" s="182"/>
      <c r="M10" s="231"/>
      <c r="N10" s="209"/>
      <c r="O10" s="182"/>
      <c r="P10" s="182"/>
      <c r="Q10" s="182"/>
      <c r="R10" s="231"/>
      <c r="S10" s="209"/>
      <c r="T10" s="182"/>
      <c r="U10" s="182"/>
      <c r="V10" s="182"/>
      <c r="W10" s="231"/>
      <c r="X10" s="209"/>
      <c r="Y10" s="182"/>
      <c r="Z10" s="182"/>
      <c r="AA10" s="182"/>
      <c r="AB10" s="231"/>
      <c r="AC10" s="209"/>
      <c r="AD10" s="182"/>
      <c r="AE10" s="182"/>
      <c r="AF10" s="182"/>
      <c r="AG10" s="231"/>
      <c r="AH10" s="209"/>
      <c r="AI10" s="182"/>
      <c r="AJ10" s="182"/>
      <c r="AK10" s="182"/>
      <c r="AL10" s="231"/>
      <c r="AM10" s="209"/>
      <c r="AN10" s="182"/>
      <c r="AO10" s="182"/>
      <c r="AP10" s="182"/>
      <c r="AQ10" s="231"/>
      <c r="AR10" s="209"/>
      <c r="AS10" s="182"/>
      <c r="AT10" s="182"/>
      <c r="AU10" s="182"/>
      <c r="AV10" s="231"/>
      <c r="AW10" s="209"/>
      <c r="AX10" s="182"/>
      <c r="AY10" s="182"/>
      <c r="AZ10" s="182"/>
      <c r="BA10" s="231"/>
      <c r="BB10" s="209"/>
      <c r="BC10" s="182"/>
      <c r="BD10" s="182"/>
      <c r="BE10" s="182"/>
      <c r="BF10" s="231"/>
      <c r="BG10" s="209"/>
      <c r="BH10" s="182"/>
      <c r="BI10" s="182"/>
      <c r="BJ10" s="182"/>
      <c r="BK10" s="231"/>
      <c r="BL10" s="209"/>
      <c r="BM10" s="182"/>
      <c r="BN10" s="182"/>
      <c r="BO10" s="182"/>
      <c r="BP10" s="231"/>
      <c r="BQ10" s="209"/>
      <c r="BR10" s="182"/>
      <c r="BS10" s="182"/>
      <c r="BT10" s="182"/>
      <c r="BU10" s="355"/>
      <c r="BV10" s="209"/>
      <c r="BW10" s="182"/>
      <c r="BX10" s="182"/>
      <c r="BY10" s="182"/>
      <c r="BZ10" s="231"/>
      <c r="CA10" s="209"/>
      <c r="CB10" s="182"/>
      <c r="CC10" s="182"/>
      <c r="CD10" s="182"/>
      <c r="CE10" s="231"/>
      <c r="CF10" s="209"/>
      <c r="CG10" s="182"/>
      <c r="CH10" s="182"/>
      <c r="CI10" s="182"/>
      <c r="CJ10" s="231"/>
      <c r="CK10" s="209"/>
      <c r="CL10" s="182"/>
      <c r="CM10" s="182"/>
      <c r="CN10" s="182"/>
      <c r="CO10" s="231"/>
      <c r="CP10" s="209"/>
      <c r="CQ10" s="182"/>
      <c r="CR10" s="182"/>
      <c r="CS10" s="182"/>
      <c r="CT10" s="231"/>
      <c r="CU10" s="209"/>
      <c r="CV10" s="182"/>
      <c r="CW10" s="182"/>
      <c r="CX10" s="182"/>
      <c r="CY10" s="231"/>
      <c r="CZ10" s="209"/>
      <c r="DA10" s="182"/>
      <c r="DB10" s="182"/>
      <c r="DC10" s="182"/>
      <c r="DD10" s="231"/>
      <c r="DE10" s="209"/>
      <c r="DF10" s="182"/>
      <c r="DG10" s="182"/>
      <c r="DH10" s="182"/>
      <c r="DI10" s="231"/>
      <c r="DJ10" s="209"/>
      <c r="DK10" s="182"/>
      <c r="DL10" s="182"/>
      <c r="DM10" s="182"/>
      <c r="DN10" s="231"/>
      <c r="DO10" s="209"/>
      <c r="DP10" s="182"/>
      <c r="DQ10" s="182"/>
      <c r="DR10" s="182"/>
      <c r="DS10" s="231"/>
      <c r="DT10" s="209"/>
      <c r="DU10" s="182"/>
      <c r="DV10" s="182"/>
      <c r="DW10" s="182"/>
      <c r="DX10" s="231"/>
      <c r="DY10" s="209"/>
      <c r="DZ10" s="182"/>
      <c r="EA10" s="182"/>
      <c r="EB10" s="182"/>
      <c r="EC10" s="231"/>
      <c r="ED10" s="209"/>
      <c r="EE10" s="182"/>
      <c r="EF10" s="182"/>
      <c r="EG10" s="182"/>
      <c r="EH10" s="355"/>
      <c r="EI10" s="209"/>
      <c r="EJ10" s="182"/>
      <c r="EK10" s="182"/>
      <c r="EL10" s="182"/>
      <c r="EM10" s="231"/>
      <c r="EN10" s="209"/>
      <c r="EO10" s="182"/>
      <c r="EP10" s="182"/>
      <c r="EQ10" s="182"/>
      <c r="ER10" s="231"/>
      <c r="ES10" s="209"/>
      <c r="ET10" s="182"/>
      <c r="EU10" s="182"/>
      <c r="EV10" s="182"/>
      <c r="EW10" s="231"/>
      <c r="EX10" s="209"/>
      <c r="EY10" s="182"/>
      <c r="EZ10" s="182"/>
      <c r="FA10" s="182"/>
      <c r="FB10" s="231"/>
      <c r="FC10" s="209"/>
      <c r="FD10" s="182"/>
      <c r="FE10" s="182"/>
      <c r="FF10" s="182"/>
      <c r="FG10" s="231"/>
    </row>
    <row r="11" spans="1:163">
      <c r="B11" s="249" t="s">
        <v>3</v>
      </c>
      <c r="C11" s="250" t="s">
        <v>69</v>
      </c>
      <c r="D11" s="251" t="str">
        <f>IFERROR(#REF!/D12,"-")</f>
        <v>-</v>
      </c>
      <c r="E11" s="254" t="str">
        <f>IFERROR(#REF!/E12,"-")</f>
        <v>-</v>
      </c>
      <c r="F11" s="254" t="str">
        <f>IFERROR(#REF!/F12,"-")</f>
        <v>-</v>
      </c>
      <c r="G11" s="252" t="str">
        <f>IFERROR(#REF!/G12,"-")</f>
        <v>-</v>
      </c>
      <c r="H11" s="253" t="str">
        <f>IFERROR(#REF!/H12,"-")</f>
        <v>-</v>
      </c>
      <c r="I11" s="251" t="str">
        <f>IFERROR(#REF!/I12,"-")</f>
        <v>-</v>
      </c>
      <c r="J11" s="254" t="str">
        <f>IFERROR(#REF!/J12,"-")</f>
        <v>-</v>
      </c>
      <c r="K11" s="254" t="str">
        <f>IFERROR(#REF!/K12,"-")</f>
        <v>-</v>
      </c>
      <c r="L11" s="252" t="str">
        <f>IFERROR(#REF!/L12,"-")</f>
        <v>-</v>
      </c>
      <c r="M11" s="253" t="str">
        <f>IFERROR(#REF!/M12,"-")</f>
        <v>-</v>
      </c>
      <c r="N11" s="251" t="str">
        <f>IFERROR(#REF!/N12,"-")</f>
        <v>-</v>
      </c>
      <c r="O11" s="254" t="str">
        <f>IFERROR(#REF!/O12,"-")</f>
        <v>-</v>
      </c>
      <c r="P11" s="254" t="str">
        <f>IFERROR(#REF!/P12,"-")</f>
        <v>-</v>
      </c>
      <c r="Q11" s="252" t="str">
        <f>IFERROR(#REF!/Q12,"-")</f>
        <v>-</v>
      </c>
      <c r="R11" s="253" t="str">
        <f>IFERROR(#REF!/R12,"-")</f>
        <v>-</v>
      </c>
      <c r="S11" s="251" t="str">
        <f>IFERROR(#REF!/S12,"-")</f>
        <v>-</v>
      </c>
      <c r="T11" s="254" t="str">
        <f>IFERROR(#REF!/T12,"-")</f>
        <v>-</v>
      </c>
      <c r="U11" s="254" t="str">
        <f>IFERROR(#REF!/U12,"-")</f>
        <v>-</v>
      </c>
      <c r="V11" s="252" t="str">
        <f>IFERROR(#REF!/V12,"-")</f>
        <v>-</v>
      </c>
      <c r="W11" s="253" t="str">
        <f>IFERROR(#REF!/W12,"-")</f>
        <v>-</v>
      </c>
      <c r="X11" s="251" t="str">
        <f>IFERROR(#REF!/X12,"-")</f>
        <v>-</v>
      </c>
      <c r="Y11" s="254" t="str">
        <f>IFERROR(#REF!/Y12,"-")</f>
        <v>-</v>
      </c>
      <c r="Z11" s="254" t="str">
        <f>IFERROR(#REF!/Z12,"-")</f>
        <v>-</v>
      </c>
      <c r="AA11" s="252" t="str">
        <f>IFERROR(#REF!/AA12,"-")</f>
        <v>-</v>
      </c>
      <c r="AB11" s="253" t="str">
        <f>IFERROR(#REF!/AB12,"-")</f>
        <v>-</v>
      </c>
      <c r="AC11" s="251" t="str">
        <f>IFERROR(#REF!/AC12,"-")</f>
        <v>-</v>
      </c>
      <c r="AD11" s="254" t="str">
        <f>IFERROR(#REF!/AD12,"-")</f>
        <v>-</v>
      </c>
      <c r="AE11" s="254" t="str">
        <f>IFERROR(#REF!/AE12,"-")</f>
        <v>-</v>
      </c>
      <c r="AF11" s="252" t="str">
        <f>IFERROR(#REF!/AF12,"-")</f>
        <v>-</v>
      </c>
      <c r="AG11" s="253" t="str">
        <f>IFERROR(#REF!/AG12,"-")</f>
        <v>-</v>
      </c>
      <c r="AH11" s="251" t="str">
        <f>IFERROR(#REF!/AH12,"-")</f>
        <v>-</v>
      </c>
      <c r="AI11" s="254" t="str">
        <f>IFERROR(#REF!/AI12,"-")</f>
        <v>-</v>
      </c>
      <c r="AJ11" s="254" t="str">
        <f>IFERROR(#REF!/AJ12,"-")</f>
        <v>-</v>
      </c>
      <c r="AK11" s="252" t="str">
        <f>IFERROR(#REF!/AK12,"-")</f>
        <v>-</v>
      </c>
      <c r="AL11" s="253" t="str">
        <f>IFERROR(#REF!/AL12,"-")</f>
        <v>-</v>
      </c>
      <c r="AM11" s="251" t="str">
        <f>IFERROR(#REF!/AM12,"-")</f>
        <v>-</v>
      </c>
      <c r="AN11" s="254" t="str">
        <f>IFERROR(#REF!/AN12,"-")</f>
        <v>-</v>
      </c>
      <c r="AO11" s="254" t="str">
        <f>IFERROR(#REF!/AO12,"-")</f>
        <v>-</v>
      </c>
      <c r="AP11" s="252" t="str">
        <f>IFERROR(#REF!/AP12,"-")</f>
        <v>-</v>
      </c>
      <c r="AQ11" s="253" t="str">
        <f>IFERROR(#REF!/AQ12,"-")</f>
        <v>-</v>
      </c>
      <c r="AR11" s="251" t="str">
        <f>IFERROR(#REF!/AR12,"-")</f>
        <v>-</v>
      </c>
      <c r="AS11" s="254" t="str">
        <f>IFERROR(#REF!/AS12,"-")</f>
        <v>-</v>
      </c>
      <c r="AT11" s="254" t="str">
        <f>IFERROR(#REF!/AT12,"-")</f>
        <v>-</v>
      </c>
      <c r="AU11" s="252" t="str">
        <f>IFERROR(#REF!/AU12,"-")</f>
        <v>-</v>
      </c>
      <c r="AV11" s="253" t="str">
        <f>IFERROR(#REF!/AV12,"-")</f>
        <v>-</v>
      </c>
      <c r="AW11" s="251" t="str">
        <f>IFERROR(#REF!/AW12,"-")</f>
        <v>-</v>
      </c>
      <c r="AX11" s="254" t="str">
        <f>IFERROR(#REF!/AX12,"-")</f>
        <v>-</v>
      </c>
      <c r="AY11" s="254" t="str">
        <f>IFERROR(#REF!/AY12,"-")</f>
        <v>-</v>
      </c>
      <c r="AZ11" s="252" t="str">
        <f>IFERROR(#REF!/AZ12,"-")</f>
        <v>-</v>
      </c>
      <c r="BA11" s="253" t="str">
        <f>IFERROR(#REF!/BA12,"-")</f>
        <v>-</v>
      </c>
      <c r="BB11" s="251" t="str">
        <f>IFERROR(#REF!/BB12,"-")</f>
        <v>-</v>
      </c>
      <c r="BC11" s="254" t="str">
        <f>IFERROR(#REF!/BC12,"-")</f>
        <v>-</v>
      </c>
      <c r="BD11" s="254" t="str">
        <f>IFERROR(#REF!/BD12,"-")</f>
        <v>-</v>
      </c>
      <c r="BE11" s="252" t="str">
        <f>IFERROR(#REF!/BE12,"-")</f>
        <v>-</v>
      </c>
      <c r="BF11" s="253" t="str">
        <f>IFERROR(#REF!/BF12,"-")</f>
        <v>-</v>
      </c>
      <c r="BG11" s="251" t="str">
        <f>IFERROR(#REF!/BG12,"-")</f>
        <v>-</v>
      </c>
      <c r="BH11" s="254" t="str">
        <f>IFERROR(#REF!/BH12,"-")</f>
        <v>-</v>
      </c>
      <c r="BI11" s="254" t="str">
        <f>IFERROR(#REF!/BI12,"-")</f>
        <v>-</v>
      </c>
      <c r="BJ11" s="252" t="str">
        <f>IFERROR(#REF!/BJ12,"-")</f>
        <v>-</v>
      </c>
      <c r="BK11" s="253" t="str">
        <f>IFERROR(#REF!/BK12,"-")</f>
        <v>-</v>
      </c>
      <c r="BL11" s="251" t="str">
        <f>IFERROR(#REF!/BL12,"-")</f>
        <v>-</v>
      </c>
      <c r="BM11" s="254" t="str">
        <f>IFERROR(#REF!/BM12,"-")</f>
        <v>-</v>
      </c>
      <c r="BN11" s="254" t="str">
        <f>IFERROR(#REF!/BN12,"-")</f>
        <v>-</v>
      </c>
      <c r="BO11" s="252" t="str">
        <f>IFERROR(#REF!/BO12,"-")</f>
        <v>-</v>
      </c>
      <c r="BP11" s="253" t="str">
        <f>IFERROR(#REF!/BP12,"-")</f>
        <v>-</v>
      </c>
      <c r="BQ11" s="251" t="str">
        <f>IFERROR(#REF!/BQ12,"-")</f>
        <v>-</v>
      </c>
      <c r="BR11" s="254" t="str">
        <f>IFERROR(#REF!/BR12,"-")</f>
        <v>-</v>
      </c>
      <c r="BS11" s="254" t="str">
        <f>IFERROR(#REF!/BS12,"-")</f>
        <v>-</v>
      </c>
      <c r="BT11" s="254" t="str">
        <f>IFERROR(#REF!/BT12,"-")</f>
        <v>-</v>
      </c>
      <c r="BU11" s="356" t="str">
        <f>IFERROR(#REF!/BU12,"-")</f>
        <v>-</v>
      </c>
      <c r="BV11" s="251" t="str">
        <f>IFERROR(#REF!/BV12,"-")</f>
        <v>-</v>
      </c>
      <c r="BW11" s="254" t="str">
        <f>IFERROR(#REF!/BW12,"-")</f>
        <v>-</v>
      </c>
      <c r="BX11" s="254" t="str">
        <f>IFERROR(#REF!/BX12,"-")</f>
        <v>-</v>
      </c>
      <c r="BY11" s="252" t="str">
        <f>IFERROR(#REF!/BY12,"-")</f>
        <v>-</v>
      </c>
      <c r="BZ11" s="253" t="str">
        <f>IFERROR(#REF!/BZ12,"-")</f>
        <v>-</v>
      </c>
      <c r="CA11" s="251" t="str">
        <f>IFERROR(#REF!/CA12,"-")</f>
        <v>-</v>
      </c>
      <c r="CB11" s="254" t="str">
        <f>IFERROR(#REF!/CB12,"-")</f>
        <v>-</v>
      </c>
      <c r="CC11" s="254" t="str">
        <f>IFERROR(#REF!/CC12,"-")</f>
        <v>-</v>
      </c>
      <c r="CD11" s="252" t="str">
        <f>IFERROR(#REF!/CD12,"-")</f>
        <v>-</v>
      </c>
      <c r="CE11" s="253" t="str">
        <f>IFERROR(#REF!/CE12,"-")</f>
        <v>-</v>
      </c>
      <c r="CF11" s="251" t="str">
        <f>IFERROR(#REF!/CF12,"-")</f>
        <v>-</v>
      </c>
      <c r="CG11" s="254" t="str">
        <f>IFERROR(#REF!/CG12,"-")</f>
        <v>-</v>
      </c>
      <c r="CH11" s="254" t="str">
        <f>IFERROR(#REF!/CH12,"-")</f>
        <v>-</v>
      </c>
      <c r="CI11" s="252" t="str">
        <f>IFERROR(#REF!/CI12,"-")</f>
        <v>-</v>
      </c>
      <c r="CJ11" s="253" t="str">
        <f>IFERROR(#REF!/CJ12,"-")</f>
        <v>-</v>
      </c>
      <c r="CK11" s="251" t="str">
        <f>IFERROR(#REF!/CK12,"-")</f>
        <v>-</v>
      </c>
      <c r="CL11" s="254" t="str">
        <f>IFERROR(#REF!/CL12,"-")</f>
        <v>-</v>
      </c>
      <c r="CM11" s="254" t="str">
        <f>IFERROR(#REF!/CM12,"-")</f>
        <v>-</v>
      </c>
      <c r="CN11" s="252" t="str">
        <f>IFERROR(#REF!/CN12,"-")</f>
        <v>-</v>
      </c>
      <c r="CO11" s="253" t="str">
        <f>IFERROR(#REF!/CO12,"-")</f>
        <v>-</v>
      </c>
      <c r="CP11" s="251" t="str">
        <f>IFERROR(#REF!/CP12,"-")</f>
        <v>-</v>
      </c>
      <c r="CQ11" s="254" t="str">
        <f>IFERROR(#REF!/CQ12,"-")</f>
        <v>-</v>
      </c>
      <c r="CR11" s="254" t="str">
        <f>IFERROR(#REF!/CR12,"-")</f>
        <v>-</v>
      </c>
      <c r="CS11" s="252" t="str">
        <f>IFERROR(#REF!/CS12,"-")</f>
        <v>-</v>
      </c>
      <c r="CT11" s="253" t="str">
        <f>IFERROR(#REF!/CT12,"-")</f>
        <v>-</v>
      </c>
      <c r="CU11" s="251" t="str">
        <f>IFERROR(#REF!/CU12,"-")</f>
        <v>-</v>
      </c>
      <c r="CV11" s="254" t="str">
        <f>IFERROR(#REF!/CV12,"-")</f>
        <v>-</v>
      </c>
      <c r="CW11" s="254" t="str">
        <f>IFERROR(#REF!/CW12,"-")</f>
        <v>-</v>
      </c>
      <c r="CX11" s="252" t="str">
        <f>IFERROR(#REF!/CX12,"-")</f>
        <v>-</v>
      </c>
      <c r="CY11" s="253" t="str">
        <f>IFERROR(#REF!/CY12,"-")</f>
        <v>-</v>
      </c>
      <c r="CZ11" s="251" t="str">
        <f>IFERROR(#REF!/CZ12,"-")</f>
        <v>-</v>
      </c>
      <c r="DA11" s="254" t="str">
        <f>IFERROR(#REF!/DA12,"-")</f>
        <v>-</v>
      </c>
      <c r="DB11" s="254" t="str">
        <f>IFERROR(#REF!/DB12,"-")</f>
        <v>-</v>
      </c>
      <c r="DC11" s="252" t="str">
        <f>IFERROR(#REF!/DC12,"-")</f>
        <v>-</v>
      </c>
      <c r="DD11" s="253" t="str">
        <f>IFERROR(#REF!/DD12,"-")</f>
        <v>-</v>
      </c>
      <c r="DE11" s="251" t="str">
        <f>IFERROR(#REF!/DE12,"-")</f>
        <v>-</v>
      </c>
      <c r="DF11" s="254" t="str">
        <f>IFERROR(#REF!/DF12,"-")</f>
        <v>-</v>
      </c>
      <c r="DG11" s="254" t="str">
        <f>IFERROR(#REF!/DG12,"-")</f>
        <v>-</v>
      </c>
      <c r="DH11" s="252" t="str">
        <f>IFERROR(#REF!/DH12,"-")</f>
        <v>-</v>
      </c>
      <c r="DI11" s="253" t="str">
        <f>IFERROR(#REF!/DI12,"-")</f>
        <v>-</v>
      </c>
      <c r="DJ11" s="251" t="str">
        <f>IFERROR(#REF!/DJ12,"-")</f>
        <v>-</v>
      </c>
      <c r="DK11" s="254" t="str">
        <f>IFERROR(#REF!/DK12,"-")</f>
        <v>-</v>
      </c>
      <c r="DL11" s="254" t="str">
        <f>IFERROR(#REF!/DL12,"-")</f>
        <v>-</v>
      </c>
      <c r="DM11" s="252" t="str">
        <f>IFERROR(#REF!/DM12,"-")</f>
        <v>-</v>
      </c>
      <c r="DN11" s="253" t="str">
        <f>IFERROR(#REF!/DN12,"-")</f>
        <v>-</v>
      </c>
      <c r="DO11" s="251" t="str">
        <f>IFERROR(#REF!/DO12,"-")</f>
        <v>-</v>
      </c>
      <c r="DP11" s="254" t="str">
        <f>IFERROR(#REF!/DP12,"-")</f>
        <v>-</v>
      </c>
      <c r="DQ11" s="254" t="str">
        <f>IFERROR(#REF!/DQ12,"-")</f>
        <v>-</v>
      </c>
      <c r="DR11" s="252" t="str">
        <f>IFERROR(#REF!/DR12,"-")</f>
        <v>-</v>
      </c>
      <c r="DS11" s="253" t="str">
        <f>IFERROR(#REF!/DS12,"-")</f>
        <v>-</v>
      </c>
      <c r="DT11" s="251" t="str">
        <f>IFERROR(#REF!/DT12,"-")</f>
        <v>-</v>
      </c>
      <c r="DU11" s="254" t="str">
        <f>IFERROR(#REF!/DU12,"-")</f>
        <v>-</v>
      </c>
      <c r="DV11" s="254" t="str">
        <f>IFERROR(#REF!/DV12,"-")</f>
        <v>-</v>
      </c>
      <c r="DW11" s="252" t="str">
        <f>IFERROR(#REF!/DW12,"-")</f>
        <v>-</v>
      </c>
      <c r="DX11" s="253" t="str">
        <f>IFERROR(#REF!/DX12,"-")</f>
        <v>-</v>
      </c>
      <c r="DY11" s="251" t="str">
        <f>IFERROR(#REF!/DY12,"-")</f>
        <v>-</v>
      </c>
      <c r="DZ11" s="254" t="str">
        <f>IFERROR(#REF!/DZ12,"-")</f>
        <v>-</v>
      </c>
      <c r="EA11" s="254" t="str">
        <f>IFERROR(#REF!/EA12,"-")</f>
        <v>-</v>
      </c>
      <c r="EB11" s="252" t="str">
        <f>IFERROR(#REF!/EB12,"-")</f>
        <v>-</v>
      </c>
      <c r="EC11" s="253" t="str">
        <f>IFERROR(#REF!/EC12,"-")</f>
        <v>-</v>
      </c>
      <c r="ED11" s="251" t="str">
        <f>IFERROR(#REF!/ED12,"-")</f>
        <v>-</v>
      </c>
      <c r="EE11" s="254"/>
      <c r="EF11" s="254"/>
      <c r="EG11" s="254" t="str">
        <f>IFERROR(#REF!/EG12,"-")</f>
        <v>-</v>
      </c>
      <c r="EH11" s="356" t="str">
        <f>IFERROR(#REF!/EH12,"-")</f>
        <v>-</v>
      </c>
      <c r="EI11" s="251" t="str">
        <f>IFERROR(#REF!/EI12,"-")</f>
        <v>-</v>
      </c>
      <c r="EJ11" s="254" t="str">
        <f>IFERROR(#REF!/EJ12,"-")</f>
        <v>-</v>
      </c>
      <c r="EK11" s="254" t="str">
        <f>IFERROR(#REF!/EK12,"-")</f>
        <v>-</v>
      </c>
      <c r="EL11" s="252" t="str">
        <f>IFERROR(#REF!/EL12,"-")</f>
        <v>-</v>
      </c>
      <c r="EM11" s="253" t="str">
        <f>IFERROR(#REF!/EM12,"-")</f>
        <v>-</v>
      </c>
      <c r="EN11" s="251" t="str">
        <f>IFERROR(#REF!/EN12,"-")</f>
        <v>-</v>
      </c>
      <c r="EO11" s="254" t="str">
        <f>IFERROR(#REF!/EO12,"-")</f>
        <v>-</v>
      </c>
      <c r="EP11" s="254" t="str">
        <f>IFERROR(#REF!/EP12,"-")</f>
        <v>-</v>
      </c>
      <c r="EQ11" s="252" t="str">
        <f>IFERROR(#REF!/EQ12,"-")</f>
        <v>-</v>
      </c>
      <c r="ER11" s="253" t="str">
        <f>IFERROR(#REF!/ER12,"-")</f>
        <v>-</v>
      </c>
      <c r="ES11" s="251" t="str">
        <f>IFERROR(#REF!/ES12,"-")</f>
        <v>-</v>
      </c>
      <c r="ET11" s="254" t="str">
        <f>IFERROR(#REF!/ET12,"-")</f>
        <v>-</v>
      </c>
      <c r="EU11" s="254" t="str">
        <f>IFERROR(#REF!/EU12,"-")</f>
        <v>-</v>
      </c>
      <c r="EV11" s="252" t="str">
        <f>IFERROR(#REF!/EV12,"-")</f>
        <v>-</v>
      </c>
      <c r="EW11" s="253" t="str">
        <f>IFERROR(#REF!/EW12,"-")</f>
        <v>-</v>
      </c>
      <c r="EX11" s="251" t="str">
        <f>IFERROR(#REF!/EX12,"-")</f>
        <v>-</v>
      </c>
      <c r="EY11" s="254" t="str">
        <f>IFERROR(#REF!/EY12,"-")</f>
        <v>-</v>
      </c>
      <c r="EZ11" s="254" t="str">
        <f>IFERROR(#REF!/EZ12,"-")</f>
        <v>-</v>
      </c>
      <c r="FA11" s="252" t="str">
        <f>IFERROR(#REF!/FA12,"-")</f>
        <v>-</v>
      </c>
      <c r="FB11" s="253" t="str">
        <f>IFERROR(#REF!/FB12,"-")</f>
        <v>-</v>
      </c>
      <c r="FC11" s="251" t="str">
        <f>IFERROR(#REF!/FC12,"-")</f>
        <v>-</v>
      </c>
      <c r="FD11" s="254" t="str">
        <f>IFERROR(#REF!/FD12,"-")</f>
        <v>-</v>
      </c>
      <c r="FE11" s="254" t="str">
        <f>IFERROR(#REF!/FE12,"-")</f>
        <v>-</v>
      </c>
      <c r="FF11" s="252" t="str">
        <f>IFERROR(#REF!/FF12,"-")</f>
        <v>-</v>
      </c>
      <c r="FG11" s="253" t="str">
        <f>IFERROR(#REF!/FG12,"-")</f>
        <v>-</v>
      </c>
    </row>
    <row r="12" spans="1:163">
      <c r="B12" s="157"/>
      <c r="C12" s="239" t="s">
        <v>65</v>
      </c>
      <c r="D12" s="241"/>
      <c r="E12" s="175"/>
      <c r="F12" s="175"/>
      <c r="G12" s="175">
        <v>0</v>
      </c>
      <c r="H12" s="242">
        <f>SUM(D12:G12)</f>
        <v>0</v>
      </c>
      <c r="I12" s="241"/>
      <c r="J12" s="175"/>
      <c r="K12" s="175"/>
      <c r="L12" s="175">
        <v>0</v>
      </c>
      <c r="M12" s="242">
        <f>SUM(I12:L12)</f>
        <v>0</v>
      </c>
      <c r="N12" s="241"/>
      <c r="O12" s="175"/>
      <c r="P12" s="175"/>
      <c r="Q12" s="175">
        <v>0</v>
      </c>
      <c r="R12" s="242">
        <f>SUM(N12:Q12)</f>
        <v>0</v>
      </c>
      <c r="S12" s="241"/>
      <c r="T12" s="175"/>
      <c r="U12" s="175"/>
      <c r="V12" s="175">
        <v>0</v>
      </c>
      <c r="W12" s="242">
        <f>SUM(S12:V12)</f>
        <v>0</v>
      </c>
      <c r="X12" s="241"/>
      <c r="Y12" s="175"/>
      <c r="Z12" s="175"/>
      <c r="AA12" s="175">
        <v>0</v>
      </c>
      <c r="AB12" s="242">
        <f>SUM(X12:AA12)</f>
        <v>0</v>
      </c>
      <c r="AC12" s="241"/>
      <c r="AD12" s="175"/>
      <c r="AE12" s="175"/>
      <c r="AF12" s="175">
        <v>0</v>
      </c>
      <c r="AG12" s="242">
        <f>SUM(AC12:AF12)</f>
        <v>0</v>
      </c>
      <c r="AH12" s="241"/>
      <c r="AI12" s="175"/>
      <c r="AJ12" s="175"/>
      <c r="AK12" s="175">
        <v>0</v>
      </c>
      <c r="AL12" s="242">
        <f>SUM(AH12:AK12)</f>
        <v>0</v>
      </c>
      <c r="AM12" s="241"/>
      <c r="AN12" s="175"/>
      <c r="AO12" s="175"/>
      <c r="AP12" s="175">
        <v>0</v>
      </c>
      <c r="AQ12" s="242">
        <f>SUM(AM12:AP12)</f>
        <v>0</v>
      </c>
      <c r="AR12" s="241"/>
      <c r="AS12" s="175"/>
      <c r="AT12" s="175"/>
      <c r="AU12" s="175">
        <v>0</v>
      </c>
      <c r="AV12" s="242">
        <f>SUM(AR12:AU12)</f>
        <v>0</v>
      </c>
      <c r="AW12" s="241"/>
      <c r="AX12" s="175"/>
      <c r="AY12" s="175"/>
      <c r="AZ12" s="175">
        <v>0</v>
      </c>
      <c r="BA12" s="242">
        <f>SUM(AW12:AZ12)</f>
        <v>0</v>
      </c>
      <c r="BB12" s="241">
        <v>21.0</v>
      </c>
      <c r="BC12" s="175"/>
      <c r="BD12" s="175">
        <v>0.0</v>
      </c>
      <c r="BE12" s="175">
        <v>47.0</v>
      </c>
      <c r="BF12" s="242">
        <f>SUM(BB12:BE12)</f>
        <v>0</v>
      </c>
      <c r="BG12" s="241">
        <v>10.0</v>
      </c>
      <c r="BH12" s="175"/>
      <c r="BI12" s="175">
        <v>0.0</v>
      </c>
      <c r="BJ12" s="175">
        <v>42.0</v>
      </c>
      <c r="BK12" s="242">
        <f>SUM(BG12:BJ12)</f>
        <v>0</v>
      </c>
      <c r="BL12" s="241">
        <v>17.0</v>
      </c>
      <c r="BM12" s="175"/>
      <c r="BN12" s="175">
        <v>0.0</v>
      </c>
      <c r="BO12" s="175">
        <v>61.0</v>
      </c>
      <c r="BP12" s="242">
        <f>SUM(BL12:BO12)</f>
        <v>0</v>
      </c>
      <c r="BQ12" s="241">
        <f>BL12+BG12+BB12+AW12+AR12+AM12+AH12+AC12+X12+S12+N12+I12</f>
        <v>0</v>
      </c>
      <c r="BR12" s="175">
        <f t="shared" ref="BR12:BS12" si="4">BM12+BH12+BC12+AX12+AS12+AN12+AI12+AD12+Y12+T12+O12+J12</f>
        <v>0</v>
      </c>
      <c r="BS12" s="175">
        <f t="shared" si="4"/>
        <v>0</v>
      </c>
      <c r="BT12" s="175">
        <f>BO12+BJ12+BE12+AZ12+AU12+AP12+AK12+AF12+AA12+V12+Q12+L12</f>
        <v>0</v>
      </c>
      <c r="BU12" s="354">
        <f>SUM(BQ12:BT12)</f>
        <v>0</v>
      </c>
      <c r="BV12" s="241">
        <v>19.0</v>
      </c>
      <c r="BW12" s="175"/>
      <c r="BX12" s="175">
        <v>0.0</v>
      </c>
      <c r="BY12" s="175">
        <v>40.0</v>
      </c>
      <c r="BZ12" s="242">
        <f>SUM(BV12:BY12)</f>
        <v>0</v>
      </c>
      <c r="CA12" s="241">
        <v>7.0</v>
      </c>
      <c r="CB12" s="175"/>
      <c r="CC12" s="175">
        <v>0.0</v>
      </c>
      <c r="CD12" s="175">
        <v>34.0</v>
      </c>
      <c r="CE12" s="242">
        <f>SUM(CA12:CD12)</f>
        <v>0</v>
      </c>
      <c r="CF12" s="241">
        <v>3.0</v>
      </c>
      <c r="CG12" s="175"/>
      <c r="CH12" s="175">
        <v>0.0</v>
      </c>
      <c r="CI12" s="175">
        <v>38.0</v>
      </c>
      <c r="CJ12" s="242">
        <f>SUM(CF12:CI12)</f>
        <v>0</v>
      </c>
      <c r="CK12" s="241">
        <v>7.0</v>
      </c>
      <c r="CL12" s="175"/>
      <c r="CM12" s="175">
        <v>0.0</v>
      </c>
      <c r="CN12" s="175">
        <v>24.0</v>
      </c>
      <c r="CO12" s="242">
        <f>SUM(CK12:CN12)</f>
        <v>0</v>
      </c>
      <c r="CP12" s="241">
        <v>3.0</v>
      </c>
      <c r="CQ12" s="175"/>
      <c r="CR12" s="175">
        <v>0.0</v>
      </c>
      <c r="CS12" s="175">
        <v>58.0</v>
      </c>
      <c r="CT12" s="242">
        <f>SUM(CP12:CS12)</f>
        <v>0</v>
      </c>
      <c r="CU12" s="241">
        <v>23.0</v>
      </c>
      <c r="CV12" s="175"/>
      <c r="CW12" s="175">
        <v>0.0</v>
      </c>
      <c r="CX12" s="175">
        <v>29.0</v>
      </c>
      <c r="CY12" s="242">
        <f>SUM(CU12:CX12)</f>
        <v>0</v>
      </c>
      <c r="CZ12" s="241">
        <v>9.0</v>
      </c>
      <c r="DA12" s="175"/>
      <c r="DB12" s="175">
        <v>0.0</v>
      </c>
      <c r="DC12" s="175">
        <v>30.0</v>
      </c>
      <c r="DD12" s="242">
        <f>SUM(CZ12:DC12)</f>
        <v>0</v>
      </c>
      <c r="DE12" s="241">
        <v>19.0</v>
      </c>
      <c r="DF12" s="175"/>
      <c r="DG12" s="175">
        <v>0.0</v>
      </c>
      <c r="DH12" s="175">
        <v>54.0</v>
      </c>
      <c r="DI12" s="242">
        <f>SUM(DE12:DH12)</f>
        <v>0</v>
      </c>
      <c r="DJ12" s="241">
        <v>17.0</v>
      </c>
      <c r="DK12" s="175"/>
      <c r="DL12" s="175">
        <v>0.0</v>
      </c>
      <c r="DM12" s="175">
        <v>52.0</v>
      </c>
      <c r="DN12" s="242">
        <f>SUM(DJ12:DM12)</f>
        <v>0</v>
      </c>
      <c r="DO12" s="241">
        <v>21.0</v>
      </c>
      <c r="DP12" s="175"/>
      <c r="DQ12" s="175">
        <v>32.0</v>
      </c>
      <c r="DR12" s="175">
        <v>54.0</v>
      </c>
      <c r="DS12" s="242">
        <f>SUM(DO12:DR12)</f>
        <v>0</v>
      </c>
      <c r="DT12" s="241">
        <v>18.0</v>
      </c>
      <c r="DU12" s="175"/>
      <c r="DV12" s="175">
        <v>39.0</v>
      </c>
      <c r="DW12" s="175">
        <v>35.0</v>
      </c>
      <c r="DX12" s="242">
        <f>SUM(DT12:DW12)</f>
        <v>0</v>
      </c>
      <c r="DY12" s="241">
        <v>20.0</v>
      </c>
      <c r="DZ12" s="175"/>
      <c r="EA12" s="175">
        <v>54.0</v>
      </c>
      <c r="EB12" s="175">
        <v>31.0</v>
      </c>
      <c r="EC12" s="242">
        <f>SUM(DY12:EB12)</f>
        <v>0</v>
      </c>
      <c r="ED12" s="241">
        <f>DY12+DT12+DO12+DJ12+DE12+CZ12+CU12+CP12+CK12+CF12+CA12+BV12</f>
        <v>0</v>
      </c>
      <c r="EE12" s="175"/>
      <c r="EF12" s="175"/>
      <c r="EG12" s="175">
        <f>EB12+DW12+DR12+DM12+DH12+DC12+CX12+CS12+CN12+CI12+CD12+BY12</f>
        <v>0</v>
      </c>
      <c r="EH12" s="354">
        <f>SUM(ED12:EG12)</f>
        <v>0</v>
      </c>
      <c r="EI12" s="241">
        <v>15.0</v>
      </c>
      <c r="EJ12" s="175"/>
      <c r="EK12" s="175">
        <v>39.0</v>
      </c>
      <c r="EL12" s="175">
        <v>16.0</v>
      </c>
      <c r="EM12" s="242">
        <f>SUM(EI12:EL12)</f>
        <v>0</v>
      </c>
      <c r="EN12" s="241">
        <v>17.0</v>
      </c>
      <c r="EO12" s="175"/>
      <c r="EP12" s="175">
        <v>52.0</v>
      </c>
      <c r="EQ12" s="175">
        <v>32.0</v>
      </c>
      <c r="ER12" s="242">
        <f>SUM(EN12:EQ12)</f>
        <v>0</v>
      </c>
      <c r="ES12" s="241">
        <v>11.0</v>
      </c>
      <c r="ET12" s="175"/>
      <c r="EU12" s="175">
        <v>58.0</v>
      </c>
      <c r="EV12" s="175">
        <v>27.0</v>
      </c>
      <c r="EW12" s="242">
        <f>SUM(ES12:EV12)</f>
        <v>0</v>
      </c>
      <c r="EX12" s="241">
        <v>16.0</v>
      </c>
      <c r="EY12" s="175"/>
      <c r="EZ12" s="175">
        <v>67.0</v>
      </c>
      <c r="FA12" s="175">
        <v>22.0</v>
      </c>
      <c r="FB12" s="242">
        <f>SUM(EX12:FA12)</f>
        <v>0</v>
      </c>
      <c r="FC12" s="241">
        <v>22.0</v>
      </c>
      <c r="FD12" s="175"/>
      <c r="FE12" s="175">
        <v>101.0</v>
      </c>
      <c r="FF12" s="175">
        <v>47.0</v>
      </c>
      <c r="FG12" s="242">
        <f>SUM(FC12:FF12)</f>
        <v>0</v>
      </c>
    </row>
    <row r="13" spans="1:163">
      <c r="B13" s="157"/>
      <c r="C13" s="239"/>
      <c r="D13" s="255"/>
      <c r="E13" s="256"/>
      <c r="F13" s="256"/>
      <c r="G13" s="256"/>
      <c r="H13" s="257"/>
      <c r="I13" s="255"/>
      <c r="J13" s="256"/>
      <c r="K13" s="256"/>
      <c r="L13" s="256"/>
      <c r="M13" s="257"/>
      <c r="N13" s="255"/>
      <c r="O13" s="256"/>
      <c r="P13" s="256"/>
      <c r="Q13" s="256"/>
      <c r="R13" s="257"/>
      <c r="S13" s="255"/>
      <c r="T13" s="256"/>
      <c r="U13" s="256"/>
      <c r="V13" s="256"/>
      <c r="W13" s="257"/>
      <c r="X13" s="255"/>
      <c r="Y13" s="256"/>
      <c r="Z13" s="256"/>
      <c r="AA13" s="256"/>
      <c r="AB13" s="257"/>
      <c r="AC13" s="255"/>
      <c r="AD13" s="256"/>
      <c r="AE13" s="256"/>
      <c r="AF13" s="256"/>
      <c r="AG13" s="257"/>
      <c r="AH13" s="255"/>
      <c r="AI13" s="256"/>
      <c r="AJ13" s="256"/>
      <c r="AK13" s="256"/>
      <c r="AL13" s="257"/>
      <c r="AM13" s="255"/>
      <c r="AN13" s="256"/>
      <c r="AO13" s="256"/>
      <c r="AP13" s="256"/>
      <c r="AQ13" s="257"/>
      <c r="AR13" s="255"/>
      <c r="AS13" s="256"/>
      <c r="AT13" s="256"/>
      <c r="AU13" s="256"/>
      <c r="AV13" s="257"/>
      <c r="AW13" s="255"/>
      <c r="AX13" s="256"/>
      <c r="AY13" s="256"/>
      <c r="AZ13" s="256"/>
      <c r="BA13" s="257"/>
      <c r="BB13" s="255"/>
      <c r="BC13" s="256"/>
      <c r="BD13" s="256"/>
      <c r="BE13" s="256"/>
      <c r="BF13" s="257"/>
      <c r="BG13" s="255"/>
      <c r="BH13" s="256"/>
      <c r="BI13" s="256"/>
      <c r="BJ13" s="256"/>
      <c r="BK13" s="257"/>
      <c r="BL13" s="255"/>
      <c r="BM13" s="256"/>
      <c r="BN13" s="256"/>
      <c r="BO13" s="256"/>
      <c r="BP13" s="257"/>
      <c r="BQ13" s="255"/>
      <c r="BR13" s="256"/>
      <c r="BS13" s="256"/>
      <c r="BT13" s="256"/>
      <c r="BU13" s="357"/>
      <c r="BV13" s="255"/>
      <c r="BW13" s="256"/>
      <c r="BX13" s="256"/>
      <c r="BY13" s="256"/>
      <c r="BZ13" s="257"/>
      <c r="CA13" s="255"/>
      <c r="CB13" s="256"/>
      <c r="CC13" s="256"/>
      <c r="CD13" s="256"/>
      <c r="CE13" s="257"/>
      <c r="CF13" s="255"/>
      <c r="CG13" s="256"/>
      <c r="CH13" s="256"/>
      <c r="CI13" s="256"/>
      <c r="CJ13" s="257"/>
      <c r="CK13" s="255"/>
      <c r="CL13" s="256"/>
      <c r="CM13" s="256"/>
      <c r="CN13" s="256"/>
      <c r="CO13" s="257"/>
      <c r="CP13" s="255"/>
      <c r="CQ13" s="256"/>
      <c r="CR13" s="256"/>
      <c r="CS13" s="256"/>
      <c r="CT13" s="257"/>
      <c r="CU13" s="255"/>
      <c r="CV13" s="256"/>
      <c r="CW13" s="256"/>
      <c r="CX13" s="256"/>
      <c r="CY13" s="257"/>
      <c r="CZ13" s="255"/>
      <c r="DA13" s="256"/>
      <c r="DB13" s="256"/>
      <c r="DC13" s="256"/>
      <c r="DD13" s="257"/>
      <c r="DE13" s="255"/>
      <c r="DF13" s="256"/>
      <c r="DG13" s="256"/>
      <c r="DH13" s="256"/>
      <c r="DI13" s="257"/>
      <c r="DJ13" s="255"/>
      <c r="DK13" s="256"/>
      <c r="DL13" s="256"/>
      <c r="DM13" s="256"/>
      <c r="DN13" s="257"/>
      <c r="DO13" s="255"/>
      <c r="DP13" s="256"/>
      <c r="DQ13" s="256"/>
      <c r="DR13" s="256"/>
      <c r="DS13" s="257"/>
      <c r="DT13" s="255"/>
      <c r="DU13" s="256"/>
      <c r="DV13" s="256"/>
      <c r="DW13" s="256"/>
      <c r="DX13" s="257"/>
      <c r="DY13" s="255"/>
      <c r="DZ13" s="256"/>
      <c r="EA13" s="256"/>
      <c r="EB13" s="256"/>
      <c r="EC13" s="257"/>
      <c r="ED13" s="255"/>
      <c r="EE13" s="256"/>
      <c r="EF13" s="256"/>
      <c r="EG13" s="256"/>
      <c r="EH13" s="357"/>
      <c r="EI13" s="255"/>
      <c r="EJ13" s="256"/>
      <c r="EK13" s="256"/>
      <c r="EL13" s="256"/>
      <c r="EM13" s="257"/>
      <c r="EN13" s="255"/>
      <c r="EO13" s="256"/>
      <c r="EP13" s="256"/>
      <c r="EQ13" s="256"/>
      <c r="ER13" s="257"/>
      <c r="ES13" s="255"/>
      <c r="ET13" s="256"/>
      <c r="EU13" s="256"/>
      <c r="EV13" s="256"/>
      <c r="EW13" s="257"/>
      <c r="EX13" s="255"/>
      <c r="EY13" s="256"/>
      <c r="EZ13" s="256"/>
      <c r="FA13" s="256"/>
      <c r="FB13" s="257"/>
      <c r="FC13" s="255"/>
      <c r="FD13" s="256"/>
      <c r="FE13" s="256"/>
      <c r="FF13" s="256"/>
      <c r="FG13" s="257"/>
    </row>
    <row r="14" spans="1:163">
      <c r="B14" s="248" t="s">
        <v>4</v>
      </c>
      <c r="C14" s="243" t="s">
        <v>263</v>
      </c>
      <c r="D14" s="244" t="str">
        <f>IFERROR(D16/#REF!,"-")</f>
        <v>-</v>
      </c>
      <c r="E14" s="245" t="str">
        <f>IFERROR(E16/#REF!,"-")</f>
        <v>-</v>
      </c>
      <c r="F14" s="245" t="str">
        <f>IFERROR(F16/#REF!,"-")</f>
        <v>-</v>
      </c>
      <c r="G14" s="247" t="str">
        <f>IFERROR(G16/#REF!,"-")</f>
        <v>-</v>
      </c>
      <c r="H14" s="246" t="str">
        <f>IFERROR(H16/#REF!,"-")</f>
        <v>-</v>
      </c>
      <c r="I14" s="244" t="str">
        <f>IFERROR(I16/#REF!,"-")</f>
        <v>-</v>
      </c>
      <c r="J14" s="245" t="str">
        <f>IFERROR(J16/#REF!,"-")</f>
        <v>-</v>
      </c>
      <c r="K14" s="245" t="str">
        <f>IFERROR(K16/#REF!,"-")</f>
        <v>-</v>
      </c>
      <c r="L14" s="247" t="str">
        <f>IFERROR(L16/#REF!,"-")</f>
        <v>-</v>
      </c>
      <c r="M14" s="246" t="str">
        <f>IFERROR(M16/#REF!,"-")</f>
        <v>-</v>
      </c>
      <c r="N14" s="244" t="str">
        <f>IFERROR(N16/#REF!,"-")</f>
        <v>-</v>
      </c>
      <c r="O14" s="245" t="str">
        <f>IFERROR(O16/#REF!,"-")</f>
        <v>-</v>
      </c>
      <c r="P14" s="245" t="str">
        <f>IFERROR(P16/#REF!,"-")</f>
        <v>-</v>
      </c>
      <c r="Q14" s="247" t="str">
        <f>IFERROR(Q16/#REF!,"-")</f>
        <v>-</v>
      </c>
      <c r="R14" s="246" t="str">
        <f>IFERROR(R16/#REF!,"-")</f>
        <v>-</v>
      </c>
      <c r="S14" s="244" t="str">
        <f>IFERROR(S16/#REF!,"-")</f>
        <v>-</v>
      </c>
      <c r="T14" s="245" t="str">
        <f>IFERROR(T16/#REF!,"-")</f>
        <v>-</v>
      </c>
      <c r="U14" s="245" t="str">
        <f>IFERROR(U16/#REF!,"-")</f>
        <v>-</v>
      </c>
      <c r="V14" s="247" t="str">
        <f>IFERROR(V16/#REF!,"-")</f>
        <v>-</v>
      </c>
      <c r="W14" s="246" t="str">
        <f>IFERROR(W16/#REF!,"-")</f>
        <v>-</v>
      </c>
      <c r="X14" s="244" t="str">
        <f>IFERROR(X16/#REF!,"-")</f>
        <v>-</v>
      </c>
      <c r="Y14" s="245" t="str">
        <f>IFERROR(Y16/#REF!,"-")</f>
        <v>-</v>
      </c>
      <c r="Z14" s="245" t="str">
        <f>IFERROR(Z16/#REF!,"-")</f>
        <v>-</v>
      </c>
      <c r="AA14" s="247" t="str">
        <f>IFERROR(AA16/#REF!,"-")</f>
        <v>-</v>
      </c>
      <c r="AB14" s="246" t="str">
        <f>IFERROR(AB16/#REF!,"-")</f>
        <v>-</v>
      </c>
      <c r="AC14" s="244" t="str">
        <f>IFERROR(AC16/#REF!,"-")</f>
        <v>-</v>
      </c>
      <c r="AD14" s="245" t="str">
        <f>IFERROR(AD16/#REF!,"-")</f>
        <v>-</v>
      </c>
      <c r="AE14" s="245" t="str">
        <f>IFERROR(AE16/#REF!,"-")</f>
        <v>-</v>
      </c>
      <c r="AF14" s="247" t="str">
        <f>IFERROR(AF16/#REF!,"-")</f>
        <v>-</v>
      </c>
      <c r="AG14" s="246" t="str">
        <f>IFERROR(AG16/#REF!,"-")</f>
        <v>-</v>
      </c>
      <c r="AH14" s="244" t="str">
        <f>IFERROR(AH16/#REF!,"-")</f>
        <v>-</v>
      </c>
      <c r="AI14" s="245" t="str">
        <f>IFERROR(AI16/#REF!,"-")</f>
        <v>-</v>
      </c>
      <c r="AJ14" s="245" t="str">
        <f>IFERROR(AJ16/#REF!,"-")</f>
        <v>-</v>
      </c>
      <c r="AK14" s="247" t="str">
        <f>IFERROR(AK16/#REF!,"-")</f>
        <v>-</v>
      </c>
      <c r="AL14" s="246" t="str">
        <f>IFERROR(AL16/#REF!,"-")</f>
        <v>-</v>
      </c>
      <c r="AM14" s="244" t="str">
        <f>IFERROR(AM16/#REF!,"-")</f>
        <v>-</v>
      </c>
      <c r="AN14" s="245" t="str">
        <f>IFERROR(AN16/#REF!,"-")</f>
        <v>-</v>
      </c>
      <c r="AO14" s="245" t="str">
        <f>IFERROR(AO16/#REF!,"-")</f>
        <v>-</v>
      </c>
      <c r="AP14" s="247" t="str">
        <f>IFERROR(AP16/#REF!,"-")</f>
        <v>-</v>
      </c>
      <c r="AQ14" s="246" t="str">
        <f>IFERROR(AQ16/#REF!,"-")</f>
        <v>-</v>
      </c>
      <c r="AR14" s="244" t="str">
        <f>IFERROR(AR16/#REF!,"-")</f>
        <v>-</v>
      </c>
      <c r="AS14" s="245" t="str">
        <f>IFERROR(AS16/#REF!,"-")</f>
        <v>-</v>
      </c>
      <c r="AT14" s="245" t="str">
        <f>IFERROR(AT16/#REF!,"-")</f>
        <v>-</v>
      </c>
      <c r="AU14" s="247" t="str">
        <f>IFERROR(AU16/#REF!,"-")</f>
        <v>-</v>
      </c>
      <c r="AV14" s="246" t="str">
        <f>IFERROR(AV16/#REF!,"-")</f>
        <v>-</v>
      </c>
      <c r="AW14" s="244" t="str">
        <f>IFERROR(AW16/#REF!,"-")</f>
        <v>-</v>
      </c>
      <c r="AX14" s="245" t="str">
        <f>IFERROR(AX16/#REF!,"-")</f>
        <v>-</v>
      </c>
      <c r="AY14" s="245" t="str">
        <f>IFERROR(AY16/#REF!,"-")</f>
        <v>-</v>
      </c>
      <c r="AZ14" s="247" t="str">
        <f>IFERROR(AZ16/#REF!,"-")</f>
        <v>-</v>
      </c>
      <c r="BA14" s="246" t="str">
        <f>IFERROR(BA16/#REF!,"-")</f>
        <v>-</v>
      </c>
      <c r="BB14" s="244" t="str">
        <f>IFERROR(BB16/#REF!,"-")</f>
        <v>-</v>
      </c>
      <c r="BC14" s="245" t="str">
        <f>IFERROR(BC16/#REF!,"-")</f>
        <v>-</v>
      </c>
      <c r="BD14" s="245" t="str">
        <f>IFERROR(BD16/#REF!,"-")</f>
        <v>-</v>
      </c>
      <c r="BE14" s="247" t="str">
        <f>IFERROR(BE16/#REF!,"-")</f>
        <v>-</v>
      </c>
      <c r="BF14" s="246" t="str">
        <f>IFERROR(BF16/#REF!,"-")</f>
        <v>-</v>
      </c>
      <c r="BG14" s="244" t="str">
        <f>IFERROR(BG16/#REF!,"-")</f>
        <v>-</v>
      </c>
      <c r="BH14" s="245" t="str">
        <f>IFERROR(BH16/#REF!,"-")</f>
        <v>-</v>
      </c>
      <c r="BI14" s="245" t="str">
        <f>IFERROR(BI16/#REF!,"-")</f>
        <v>-</v>
      </c>
      <c r="BJ14" s="247" t="str">
        <f>IFERROR(BJ16/#REF!,"-")</f>
        <v>-</v>
      </c>
      <c r="BK14" s="246" t="str">
        <f>IFERROR(BK16/#REF!,"-")</f>
        <v>-</v>
      </c>
      <c r="BL14" s="244" t="str">
        <f>IFERROR(BL16/#REF!,"-")</f>
        <v>-</v>
      </c>
      <c r="BM14" s="245" t="str">
        <f>IFERROR(BM16/#REF!,"-")</f>
        <v>-</v>
      </c>
      <c r="BN14" s="245" t="str">
        <f>IFERROR(BN16/#REF!,"-")</f>
        <v>-</v>
      </c>
      <c r="BO14" s="247" t="str">
        <f>IFERROR(BO16/#REF!,"-")</f>
        <v>-</v>
      </c>
      <c r="BP14" s="246" t="str">
        <f>IFERROR(BP16/#REF!,"-")</f>
        <v>-</v>
      </c>
      <c r="BQ14" s="244" t="str">
        <f>IFERROR(BQ16/#REF!,"-")</f>
        <v>-</v>
      </c>
      <c r="BR14" s="245" t="str">
        <f>IFERROR(BR16/#REF!,"-")</f>
        <v>-</v>
      </c>
      <c r="BS14" s="245" t="str">
        <f>IFERROR(BS16/#REF!,"-")</f>
        <v>-</v>
      </c>
      <c r="BT14" s="245" t="str">
        <f>IFERROR(BT16/#REF!,"-")</f>
        <v>-</v>
      </c>
      <c r="BU14" s="353" t="str">
        <f>IFERROR(BU16/#REF!,"-")</f>
        <v>-</v>
      </c>
      <c r="BV14" s="244" t="str">
        <f>IFERROR(BV16/#REF!,"-")</f>
        <v>-</v>
      </c>
      <c r="BW14" s="245" t="str">
        <f>IFERROR(BW16/#REF!,"-")</f>
        <v>-</v>
      </c>
      <c r="BX14" s="245" t="str">
        <f>IFERROR(BX16/#REF!,"-")</f>
        <v>-</v>
      </c>
      <c r="BY14" s="247" t="str">
        <f>IFERROR(BY16/#REF!,"-")</f>
        <v>-</v>
      </c>
      <c r="BZ14" s="246" t="str">
        <f>IFERROR(BZ16/#REF!,"-")</f>
        <v>-</v>
      </c>
      <c r="CA14" s="244" t="str">
        <f>IFERROR(CA16/#REF!,"-")</f>
        <v>-</v>
      </c>
      <c r="CB14" s="245" t="str">
        <f>IFERROR(CB16/#REF!,"-")</f>
        <v>-</v>
      </c>
      <c r="CC14" s="245" t="str">
        <f>IFERROR(CC16/#REF!,"-")</f>
        <v>-</v>
      </c>
      <c r="CD14" s="247" t="str">
        <f>IFERROR(CD16/#REF!,"-")</f>
        <v>-</v>
      </c>
      <c r="CE14" s="246" t="str">
        <f>IFERROR(CE16/#REF!,"-")</f>
        <v>-</v>
      </c>
      <c r="CF14" s="244" t="str">
        <f>IFERROR(CF16/#REF!,"-")</f>
        <v>-</v>
      </c>
      <c r="CG14" s="245" t="str">
        <f>IFERROR(CG16/#REF!,"-")</f>
        <v>-</v>
      </c>
      <c r="CH14" s="245" t="str">
        <f>IFERROR(CH16/#REF!,"-")</f>
        <v>-</v>
      </c>
      <c r="CI14" s="247" t="str">
        <f>IFERROR(CI16/#REF!,"-")</f>
        <v>-</v>
      </c>
      <c r="CJ14" s="246" t="str">
        <f>IFERROR(CJ16/#REF!,"-")</f>
        <v>-</v>
      </c>
      <c r="CK14" s="244" t="str">
        <f>IFERROR(CK16/#REF!,"-")</f>
        <v>-</v>
      </c>
      <c r="CL14" s="245" t="str">
        <f>IFERROR(CL16/#REF!,"-")</f>
        <v>-</v>
      </c>
      <c r="CM14" s="245" t="str">
        <f>IFERROR(CM16/#REF!,"-")</f>
        <v>-</v>
      </c>
      <c r="CN14" s="247" t="str">
        <f>IFERROR(CN16/#REF!,"-")</f>
        <v>-</v>
      </c>
      <c r="CO14" s="246" t="str">
        <f>IFERROR(CO16/#REF!,"-")</f>
        <v>-</v>
      </c>
      <c r="CP14" s="244" t="str">
        <f>IFERROR(CP16/#REF!,"-")</f>
        <v>-</v>
      </c>
      <c r="CQ14" s="245" t="str">
        <f>IFERROR(CQ16/#REF!,"-")</f>
        <v>-</v>
      </c>
      <c r="CR14" s="245" t="str">
        <f>IFERROR(CR16/#REF!,"-")</f>
        <v>-</v>
      </c>
      <c r="CS14" s="247" t="str">
        <f>IFERROR(CS16/#REF!,"-")</f>
        <v>-</v>
      </c>
      <c r="CT14" s="246" t="str">
        <f>IFERROR(CT16/#REF!,"-")</f>
        <v>-</v>
      </c>
      <c r="CU14" s="244" t="str">
        <f>IFERROR(CU16/#REF!,"-")</f>
        <v>-</v>
      </c>
      <c r="CV14" s="245" t="str">
        <f>IFERROR(CV16/#REF!,"-")</f>
        <v>-</v>
      </c>
      <c r="CW14" s="245" t="str">
        <f>IFERROR(CW16/#REF!,"-")</f>
        <v>-</v>
      </c>
      <c r="CX14" s="247" t="str">
        <f>IFERROR(CX16/#REF!,"-")</f>
        <v>-</v>
      </c>
      <c r="CY14" s="246" t="str">
        <f>IFERROR(CY16/#REF!,"-")</f>
        <v>-</v>
      </c>
      <c r="CZ14" s="244" t="str">
        <f>IFERROR(CZ16/#REF!,"-")</f>
        <v>-</v>
      </c>
      <c r="DA14" s="245" t="str">
        <f>IFERROR(DA16/#REF!,"-")</f>
        <v>-</v>
      </c>
      <c r="DB14" s="245" t="str">
        <f>IFERROR(DB16/#REF!,"-")</f>
        <v>-</v>
      </c>
      <c r="DC14" s="247" t="str">
        <f>IFERROR(DC16/#REF!,"-")</f>
        <v>-</v>
      </c>
      <c r="DD14" s="246" t="str">
        <f>IFERROR(DD16/#REF!,"-")</f>
        <v>-</v>
      </c>
      <c r="DE14" s="244" t="str">
        <f>IFERROR(DE16/#REF!,"-")</f>
        <v>-</v>
      </c>
      <c r="DF14" s="245" t="str">
        <f>IFERROR(DF16/#REF!,"-")</f>
        <v>-</v>
      </c>
      <c r="DG14" s="245" t="str">
        <f>IFERROR(DG16/#REF!,"-")</f>
        <v>-</v>
      </c>
      <c r="DH14" s="247" t="str">
        <f>IFERROR(DH16/#REF!,"-")</f>
        <v>-</v>
      </c>
      <c r="DI14" s="246" t="str">
        <f>IFERROR(DI16/#REF!,"-")</f>
        <v>-</v>
      </c>
      <c r="DJ14" s="244" t="str">
        <f>IFERROR(DJ16/#REF!,"-")</f>
        <v>-</v>
      </c>
      <c r="DK14" s="245" t="str">
        <f>IFERROR(DK16/#REF!,"-")</f>
        <v>-</v>
      </c>
      <c r="DL14" s="245" t="str">
        <f>IFERROR(DL16/#REF!,"-")</f>
        <v>-</v>
      </c>
      <c r="DM14" s="247" t="str">
        <f>IFERROR(DM16/#REF!,"-")</f>
        <v>-</v>
      </c>
      <c r="DN14" s="246" t="str">
        <f>IFERROR(DN16/#REF!,"-")</f>
        <v>-</v>
      </c>
      <c r="DO14" s="244" t="str">
        <f>IFERROR(DO16/#REF!,"-")</f>
        <v>-</v>
      </c>
      <c r="DP14" s="245" t="str">
        <f>IFERROR(DP16/#REF!,"-")</f>
        <v>-</v>
      </c>
      <c r="DQ14" s="245" t="str">
        <f>IFERROR(DQ16/#REF!,"-")</f>
        <v>-</v>
      </c>
      <c r="DR14" s="247" t="str">
        <f>IFERROR(DR16/#REF!,"-")</f>
        <v>-</v>
      </c>
      <c r="DS14" s="246" t="str">
        <f>IFERROR(DS16/#REF!,"-")</f>
        <v>-</v>
      </c>
      <c r="DT14" s="244" t="str">
        <f>IFERROR(DT16/#REF!,"-")</f>
        <v>-</v>
      </c>
      <c r="DU14" s="245" t="str">
        <f>IFERROR(DU16/#REF!,"-")</f>
        <v>-</v>
      </c>
      <c r="DV14" s="245" t="str">
        <f>IFERROR(DV16/#REF!,"-")</f>
        <v>-</v>
      </c>
      <c r="DW14" s="247" t="str">
        <f>IFERROR(DW16/#REF!,"-")</f>
        <v>-</v>
      </c>
      <c r="DX14" s="246" t="str">
        <f>IFERROR(DX16/#REF!,"-")</f>
        <v>-</v>
      </c>
      <c r="DY14" s="244" t="str">
        <f>IFERROR(DY16/#REF!,"-")</f>
        <v>-</v>
      </c>
      <c r="DZ14" s="245" t="str">
        <f>IFERROR(DZ16/#REF!,"-")</f>
        <v>-</v>
      </c>
      <c r="EA14" s="245" t="str">
        <f>IFERROR(EA16/#REF!,"-")</f>
        <v>-</v>
      </c>
      <c r="EB14" s="247" t="str">
        <f>IFERROR(EB16/#REF!,"-")</f>
        <v>-</v>
      </c>
      <c r="EC14" s="246" t="str">
        <f>IFERROR(EC16/#REF!,"-")</f>
        <v>-</v>
      </c>
      <c r="ED14" s="244" t="str">
        <f>IFERROR(ED16/#REF!,"-")</f>
        <v>-</v>
      </c>
      <c r="EE14" s="245" t="str">
        <f>IFERROR(EE16/#REF!,"-")</f>
        <v>-</v>
      </c>
      <c r="EF14" s="245" t="str">
        <f>IFERROR(EF16/#REF!,"-")</f>
        <v>-</v>
      </c>
      <c r="EG14" s="245" t="str">
        <f>IFERROR(EG16/#REF!,"-")</f>
        <v>-</v>
      </c>
      <c r="EH14" s="353" t="str">
        <f>IFERROR(EH16/#REF!,"-")</f>
        <v>-</v>
      </c>
      <c r="EI14" s="244" t="str">
        <f>IFERROR(EI16/#REF!,"-")</f>
        <v>-</v>
      </c>
      <c r="EJ14" s="245" t="str">
        <f>IFERROR(EJ16/#REF!,"-")</f>
        <v>-</v>
      </c>
      <c r="EK14" s="245" t="str">
        <f>IFERROR(EK16/#REF!,"-")</f>
        <v>-</v>
      </c>
      <c r="EL14" s="247" t="str">
        <f>IFERROR(EL16/#REF!,"-")</f>
        <v>-</v>
      </c>
      <c r="EM14" s="246" t="str">
        <f>IFERROR(EM16/#REF!,"-")</f>
        <v>-</v>
      </c>
      <c r="EN14" s="244" t="str">
        <f>IFERROR(EN16/#REF!,"-")</f>
        <v>-</v>
      </c>
      <c r="EO14" s="245" t="str">
        <f>IFERROR(EO16/#REF!,"-")</f>
        <v>-</v>
      </c>
      <c r="EP14" s="245" t="str">
        <f>IFERROR(EP16/#REF!,"-")</f>
        <v>-</v>
      </c>
      <c r="EQ14" s="247" t="str">
        <f>IFERROR(EQ16/#REF!,"-")</f>
        <v>-</v>
      </c>
      <c r="ER14" s="246" t="str">
        <f>IFERROR(ER16/#REF!,"-")</f>
        <v>-</v>
      </c>
      <c r="ES14" s="244" t="str">
        <f>IFERROR(ES16/#REF!,"-")</f>
        <v>-</v>
      </c>
      <c r="ET14" s="245" t="str">
        <f>IFERROR(ET16/#REF!,"-")</f>
        <v>-</v>
      </c>
      <c r="EU14" s="245" t="str">
        <f>IFERROR(EU16/#REF!,"-")</f>
        <v>-</v>
      </c>
      <c r="EV14" s="247" t="str">
        <f>IFERROR(EV16/#REF!,"-")</f>
        <v>-</v>
      </c>
      <c r="EW14" s="246" t="str">
        <f>IFERROR(EW16/#REF!,"-")</f>
        <v>-</v>
      </c>
      <c r="EX14" s="244" t="str">
        <f>IFERROR(EX16/#REF!,"-")</f>
        <v>-</v>
      </c>
      <c r="EY14" s="245" t="str">
        <f>IFERROR(EY16/#REF!,"-")</f>
        <v>-</v>
      </c>
      <c r="EZ14" s="245" t="str">
        <f>IFERROR(EZ16/#REF!,"-")</f>
        <v>-</v>
      </c>
      <c r="FA14" s="247" t="str">
        <f>IFERROR(FA16/#REF!,"-")</f>
        <v>-</v>
      </c>
      <c r="FB14" s="246" t="str">
        <f>IFERROR(FB16/#REF!,"-")</f>
        <v>-</v>
      </c>
      <c r="FC14" s="244" t="str">
        <f>IFERROR(FC16/#REF!,"-")</f>
        <v>-</v>
      </c>
      <c r="FD14" s="245" t="str">
        <f>IFERROR(FD16/#REF!,"-")</f>
        <v>-</v>
      </c>
      <c r="FE14" s="245" t="str">
        <f>IFERROR(FE16/#REF!,"-")</f>
        <v>-</v>
      </c>
      <c r="FF14" s="247" t="str">
        <f>IFERROR(FF16/#REF!,"-")</f>
        <v>-</v>
      </c>
      <c r="FG14" s="246" t="str">
        <f>IFERROR(FG16/#REF!,"-")</f>
        <v>-</v>
      </c>
    </row>
    <row r="15" spans="1:163">
      <c r="B15" s="157"/>
      <c r="C15" s="239" t="s">
        <v>264</v>
      </c>
      <c r="D15" s="241"/>
      <c r="E15" s="175"/>
      <c r="F15" s="175"/>
      <c r="G15" s="175">
        <v>0</v>
      </c>
      <c r="H15" s="242">
        <f>SUM(D15:G15)</f>
        <v>0</v>
      </c>
      <c r="I15" s="241"/>
      <c r="J15" s="175"/>
      <c r="K15" s="175"/>
      <c r="L15" s="175">
        <v>0</v>
      </c>
      <c r="M15" s="242">
        <f>SUM(I15:L15)</f>
        <v>0</v>
      </c>
      <c r="N15" s="241"/>
      <c r="O15" s="175"/>
      <c r="P15" s="175"/>
      <c r="Q15" s="175">
        <v>0</v>
      </c>
      <c r="R15" s="242">
        <f>SUM(N15:Q15)</f>
        <v>0</v>
      </c>
      <c r="S15" s="241"/>
      <c r="T15" s="175"/>
      <c r="U15" s="175"/>
      <c r="V15" s="175">
        <v>0</v>
      </c>
      <c r="W15" s="242">
        <f>SUM(S15:V15)</f>
        <v>0</v>
      </c>
      <c r="X15" s="241"/>
      <c r="Y15" s="175"/>
      <c r="Z15" s="175"/>
      <c r="AA15" s="175">
        <v>0</v>
      </c>
      <c r="AB15" s="242">
        <f>SUM(X15:AA15)</f>
        <v>0</v>
      </c>
      <c r="AC15" s="241"/>
      <c r="AD15" s="175"/>
      <c r="AE15" s="175"/>
      <c r="AF15" s="175">
        <v>0</v>
      </c>
      <c r="AG15" s="242">
        <f>SUM(AC15:AF15)</f>
        <v>0</v>
      </c>
      <c r="AH15" s="241"/>
      <c r="AI15" s="175"/>
      <c r="AJ15" s="175"/>
      <c r="AK15" s="175">
        <v>0</v>
      </c>
      <c r="AL15" s="242">
        <f>SUM(AH15:AK15)</f>
        <v>0</v>
      </c>
      <c r="AM15" s="241"/>
      <c r="AN15" s="175"/>
      <c r="AO15" s="175"/>
      <c r="AP15" s="175">
        <v>0</v>
      </c>
      <c r="AQ15" s="242">
        <f>SUM(AM15:AP15)</f>
        <v>0</v>
      </c>
      <c r="AR15" s="241"/>
      <c r="AS15" s="175"/>
      <c r="AT15" s="175"/>
      <c r="AU15" s="175">
        <v>0</v>
      </c>
      <c r="AV15" s="242">
        <f>SUM(AR15:AU15)</f>
        <v>0</v>
      </c>
      <c r="AW15" s="241"/>
      <c r="AX15" s="175"/>
      <c r="AY15" s="175"/>
      <c r="AZ15" s="175">
        <v>0</v>
      </c>
      <c r="BA15" s="242">
        <f>SUM(AW15:AZ15)</f>
        <v>0</v>
      </c>
      <c r="BB15" s="241"/>
      <c r="BC15" s="175"/>
      <c r="BD15" s="175"/>
      <c r="BE15" s="175">
        <v>0</v>
      </c>
      <c r="BF15" s="242">
        <f>SUM(BB15:BE15)</f>
        <v>0</v>
      </c>
      <c r="BG15" s="241"/>
      <c r="BH15" s="175"/>
      <c r="BI15" s="175"/>
      <c r="BJ15" s="175">
        <v>0</v>
      </c>
      <c r="BK15" s="242">
        <f>SUM(BG15:BJ15)</f>
        <v>0</v>
      </c>
      <c r="BL15" s="241"/>
      <c r="BM15" s="175"/>
      <c r="BN15" s="175"/>
      <c r="BO15" s="175">
        <v>0</v>
      </c>
      <c r="BP15" s="242">
        <f>SUM(BL15:BO15)</f>
        <v>0</v>
      </c>
      <c r="BQ15" s="241">
        <f>BL15+BG15+BB15+AW15+AR15+AM15+AH15+AC15+X15+S15+N15+I15</f>
        <v>0</v>
      </c>
      <c r="BR15" s="175">
        <f t="shared" ref="BR15" si="5">BM15+BH15+BC15+AX15+AS15+AN15+AI15+AD15+Y15+T15+O15+J15</f>
        <v>0</v>
      </c>
      <c r="BS15" s="175">
        <f t="shared" ref="BS15" si="6">BN15+BI15+BD15+AY15+AT15+AO15+AJ15+AE15+Z15+U15+P15+K15</f>
        <v>0</v>
      </c>
      <c r="BT15" s="175">
        <f>BO15+BJ15+BE15+AZ15+AU15+AP15+AK15+AF15+AA15+V15+Q15+L15</f>
        <v>0</v>
      </c>
      <c r="BU15" s="242">
        <f>SUM(BQ15:BT15)</f>
        <v>0</v>
      </c>
      <c r="BV15" s="241"/>
      <c r="BW15" s="175"/>
      <c r="BX15" s="175"/>
      <c r="BY15" s="175">
        <v>0</v>
      </c>
      <c r="BZ15" s="242">
        <f>SUM(BV15:BY15)</f>
        <v>0</v>
      </c>
      <c r="CA15" s="241"/>
      <c r="CB15" s="175"/>
      <c r="CC15" s="175"/>
      <c r="CD15" s="175">
        <v>0</v>
      </c>
      <c r="CE15" s="242">
        <f>SUM(CA15:CD15)</f>
        <v>0</v>
      </c>
      <c r="CF15" s="241"/>
      <c r="CG15" s="175"/>
      <c r="CH15" s="175"/>
      <c r="CI15" s="175">
        <v>0</v>
      </c>
      <c r="CJ15" s="242">
        <f>SUM(CF15:CI15)</f>
        <v>0</v>
      </c>
      <c r="CK15" s="241"/>
      <c r="CL15" s="175"/>
      <c r="CM15" s="175"/>
      <c r="CN15" s="175">
        <v>0</v>
      </c>
      <c r="CO15" s="242">
        <f>SUM(CK15:CN15)</f>
        <v>0</v>
      </c>
      <c r="CP15" s="241"/>
      <c r="CQ15" s="175"/>
      <c r="CR15" s="175"/>
      <c r="CS15" s="175">
        <v>0</v>
      </c>
      <c r="CT15" s="242">
        <f>SUM(CP15:CS15)</f>
        <v>0</v>
      </c>
      <c r="CU15" s="241"/>
      <c r="CV15" s="175"/>
      <c r="CW15" s="175"/>
      <c r="CX15" s="175">
        <v>0</v>
      </c>
      <c r="CY15" s="242">
        <f>SUM(CU15:CX15)</f>
        <v>0</v>
      </c>
      <c r="CZ15" s="241"/>
      <c r="DA15" s="175"/>
      <c r="DB15" s="175"/>
      <c r="DC15" s="175">
        <v>0</v>
      </c>
      <c r="DD15" s="242">
        <f>SUM(CZ15:DC15)</f>
        <v>0</v>
      </c>
      <c r="DE15" s="241"/>
      <c r="DF15" s="175"/>
      <c r="DG15" s="175"/>
      <c r="DH15" s="175">
        <v>0</v>
      </c>
      <c r="DI15" s="242">
        <f>SUM(DE15:DH15)</f>
        <v>0</v>
      </c>
      <c r="DJ15" s="241"/>
      <c r="DK15" s="175"/>
      <c r="DL15" s="175"/>
      <c r="DM15" s="175">
        <v>0</v>
      </c>
      <c r="DN15" s="242">
        <f>SUM(DJ15:DM15)</f>
        <v>0</v>
      </c>
      <c r="DO15" s="241"/>
      <c r="DP15" s="175"/>
      <c r="DQ15" s="175"/>
      <c r="DR15" s="175">
        <v>0</v>
      </c>
      <c r="DS15" s="242">
        <f>SUM(DO15:DR15)</f>
        <v>0</v>
      </c>
      <c r="DT15" s="241"/>
      <c r="DU15" s="175"/>
      <c r="DV15" s="175"/>
      <c r="DW15" s="175">
        <v>0</v>
      </c>
      <c r="DX15" s="242">
        <f>SUM(DT15:DW15)</f>
        <v>0</v>
      </c>
      <c r="DY15" s="241"/>
      <c r="DZ15" s="175"/>
      <c r="EA15" s="175"/>
      <c r="EB15" s="175">
        <v>0</v>
      </c>
      <c r="EC15" s="242">
        <f>SUM(DY15:EB15)</f>
        <v>0</v>
      </c>
      <c r="ED15" s="241">
        <f>DY15+DT15+DO15+DJ15+DE15+CZ15+CU15+CP15+CK15+CF15+CA15+BV15</f>
        <v>0</v>
      </c>
      <c r="EE15" s="175"/>
      <c r="EF15" s="175"/>
      <c r="EG15" s="175">
        <f>EB15+DW15+DR15+DM15+DH15+DC15+CX15+CS15+CN15+CI15+CD15+BY15</f>
        <v>0</v>
      </c>
      <c r="EH15" s="242">
        <f>SUM(ED15:EG15)</f>
        <v>0</v>
      </c>
      <c r="EI15" s="241"/>
      <c r="EJ15" s="175"/>
      <c r="EK15" s="175"/>
      <c r="EL15" s="175">
        <v>0</v>
      </c>
      <c r="EM15" s="242">
        <f>SUM(EI15:EL15)</f>
        <v>0</v>
      </c>
      <c r="EN15" s="241"/>
      <c r="EO15" s="175"/>
      <c r="EP15" s="175"/>
      <c r="EQ15" s="175">
        <v>0</v>
      </c>
      <c r="ER15" s="242">
        <f>SUM(EN15:EQ15)</f>
        <v>0</v>
      </c>
      <c r="ES15" s="241"/>
      <c r="ET15" s="175"/>
      <c r="EU15" s="175"/>
      <c r="EV15" s="175">
        <v>0</v>
      </c>
      <c r="EW15" s="242">
        <f>SUM(ES15:EV15)</f>
        <v>0</v>
      </c>
      <c r="EX15" s="241"/>
      <c r="EY15" s="175"/>
      <c r="EZ15" s="175"/>
      <c r="FA15" s="175">
        <v>0</v>
      </c>
      <c r="FB15" s="242">
        <f>SUM(EX15:FA15)</f>
        <v>0</v>
      </c>
      <c r="FC15" s="241"/>
      <c r="FD15" s="175"/>
      <c r="FE15" s="175"/>
      <c r="FF15" s="175">
        <v>0</v>
      </c>
      <c r="FG15" s="242">
        <f>SUM(FC15:FF15)</f>
        <v>0</v>
      </c>
    </row>
    <row r="16" spans="1:163">
      <c r="B16" s="157"/>
      <c r="C16" s="239" t="s">
        <v>265</v>
      </c>
      <c r="D16" s="255"/>
      <c r="E16" s="256"/>
      <c r="F16" s="256"/>
      <c r="G16" s="256"/>
      <c r="H16" s="242">
        <f>SUM(D16:G16)</f>
        <v>0</v>
      </c>
      <c r="I16" s="255"/>
      <c r="J16" s="256"/>
      <c r="K16" s="256"/>
      <c r="L16" s="256"/>
      <c r="M16" s="242">
        <f>SUM(I16:L16)</f>
        <v>0</v>
      </c>
      <c r="N16" s="255"/>
      <c r="O16" s="256"/>
      <c r="P16" s="256"/>
      <c r="Q16" s="256"/>
      <c r="R16" s="242">
        <f>SUM(N16:Q16)</f>
        <v>0</v>
      </c>
      <c r="S16" s="255"/>
      <c r="T16" s="256"/>
      <c r="U16" s="256"/>
      <c r="V16" s="256"/>
      <c r="W16" s="242">
        <f>SUM(S16:V16)</f>
        <v>0</v>
      </c>
      <c r="X16" s="255"/>
      <c r="Y16" s="256"/>
      <c r="Z16" s="256"/>
      <c r="AA16" s="256"/>
      <c r="AB16" s="242">
        <f>SUM(X16:AA16)</f>
        <v>0</v>
      </c>
      <c r="AC16" s="255"/>
      <c r="AD16" s="256"/>
      <c r="AE16" s="256"/>
      <c r="AF16" s="256"/>
      <c r="AG16" s="242">
        <f>SUM(AC16:AF16)</f>
        <v>0</v>
      </c>
      <c r="AH16" s="255"/>
      <c r="AI16" s="256"/>
      <c r="AJ16" s="256"/>
      <c r="AK16" s="256"/>
      <c r="AL16" s="242">
        <f>SUM(AH16:AK16)</f>
        <v>0</v>
      </c>
      <c r="AM16" s="255"/>
      <c r="AN16" s="256"/>
      <c r="AO16" s="256"/>
      <c r="AP16" s="256"/>
      <c r="AQ16" s="242">
        <f>SUM(AM16:AP16)</f>
        <v>0</v>
      </c>
      <c r="AR16" s="255"/>
      <c r="AS16" s="256"/>
      <c r="AT16" s="256"/>
      <c r="AU16" s="256"/>
      <c r="AV16" s="242">
        <f>SUM(AR16:AU16)</f>
        <v>0</v>
      </c>
      <c r="AW16" s="255"/>
      <c r="AX16" s="256"/>
      <c r="AY16" s="256"/>
      <c r="AZ16" s="256"/>
      <c r="BA16" s="242">
        <f>SUM(AW16:AZ16)</f>
        <v>0</v>
      </c>
      <c r="BB16" s="255"/>
      <c r="BC16" s="256"/>
      <c r="BD16" s="256"/>
      <c r="BE16" s="256"/>
      <c r="BF16" s="242">
        <f>SUM(BB16:BE16)</f>
        <v>0</v>
      </c>
      <c r="BG16" s="255"/>
      <c r="BH16" s="256"/>
      <c r="BI16" s="256"/>
      <c r="BJ16" s="256"/>
      <c r="BK16" s="242">
        <f>SUM(BG16:BJ16)</f>
        <v>0</v>
      </c>
      <c r="BL16" s="255"/>
      <c r="BM16" s="256"/>
      <c r="BN16" s="256"/>
      <c r="BO16" s="256"/>
      <c r="BP16" s="257"/>
      <c r="BQ16" s="255"/>
      <c r="BR16" s="256"/>
      <c r="BS16" s="256"/>
      <c r="BT16" s="256"/>
      <c r="BU16" s="242">
        <f>SUM(BQ16:BT16)</f>
        <v>0</v>
      </c>
      <c r="BV16" s="255"/>
      <c r="BW16" s="256"/>
      <c r="BX16" s="256"/>
      <c r="BY16" s="256"/>
      <c r="BZ16" s="242">
        <f>SUM(BV16:BY16)</f>
        <v>0</v>
      </c>
      <c r="CA16" s="255"/>
      <c r="CB16" s="256"/>
      <c r="CC16" s="256"/>
      <c r="CD16" s="256"/>
      <c r="CE16" s="242">
        <f>SUM(CA16:CD16)</f>
        <v>0</v>
      </c>
      <c r="CF16" s="255"/>
      <c r="CG16" s="256"/>
      <c r="CH16" s="256"/>
      <c r="CI16" s="256"/>
      <c r="CJ16" s="242">
        <f>SUM(CF16:CI16)</f>
        <v>0</v>
      </c>
      <c r="CK16" s="255"/>
      <c r="CL16" s="256"/>
      <c r="CM16" s="256"/>
      <c r="CN16" s="256"/>
      <c r="CO16" s="242">
        <f>SUM(CK16:CN16)</f>
        <v>0</v>
      </c>
      <c r="CP16" s="255"/>
      <c r="CQ16" s="256"/>
      <c r="CR16" s="256"/>
      <c r="CS16" s="256"/>
      <c r="CT16" s="242">
        <f>SUM(CP16:CS16)</f>
        <v>0</v>
      </c>
      <c r="CU16" s="255"/>
      <c r="CV16" s="256"/>
      <c r="CW16" s="256"/>
      <c r="CX16" s="256"/>
      <c r="CY16" s="242">
        <f>SUM(CU16:CX16)</f>
        <v>0</v>
      </c>
      <c r="CZ16" s="255"/>
      <c r="DA16" s="256"/>
      <c r="DB16" s="256"/>
      <c r="DC16" s="256"/>
      <c r="DD16" s="242">
        <f>SUM(CZ16:DC16)</f>
        <v>0</v>
      </c>
      <c r="DE16" s="255"/>
      <c r="DF16" s="256"/>
      <c r="DG16" s="256"/>
      <c r="DH16" s="256"/>
      <c r="DI16" s="242">
        <f>SUM(DE16:DH16)</f>
        <v>0</v>
      </c>
      <c r="DJ16" s="255"/>
      <c r="DK16" s="256"/>
      <c r="DL16" s="256"/>
      <c r="DM16" s="256"/>
      <c r="DN16" s="242">
        <f>SUM(DJ16:DM16)</f>
        <v>0</v>
      </c>
      <c r="DO16" s="255"/>
      <c r="DP16" s="256"/>
      <c r="DQ16" s="256"/>
      <c r="DR16" s="256"/>
      <c r="DS16" s="242">
        <f>SUM(DO16:DR16)</f>
        <v>0</v>
      </c>
      <c r="DT16" s="255"/>
      <c r="DU16" s="256"/>
      <c r="DV16" s="256"/>
      <c r="DW16" s="256"/>
      <c r="DX16" s="242">
        <f>SUM(DT16:DW16)</f>
        <v>0</v>
      </c>
      <c r="DY16" s="255"/>
      <c r="DZ16" s="256"/>
      <c r="EA16" s="256"/>
      <c r="EB16" s="256"/>
      <c r="EC16" s="242">
        <f>SUM(DY16:EB16)</f>
        <v>0</v>
      </c>
      <c r="ED16" s="255"/>
      <c r="EE16" s="256"/>
      <c r="EF16" s="256"/>
      <c r="EG16" s="256"/>
      <c r="EH16" s="242">
        <f>SUM(ED16:EG16)</f>
        <v>0</v>
      </c>
      <c r="EI16" s="255"/>
      <c r="EJ16" s="256"/>
      <c r="EK16" s="256"/>
      <c r="EL16" s="256"/>
      <c r="EM16" s="242">
        <f>SUM(EI16:EL16)</f>
        <v>0</v>
      </c>
      <c r="EN16" s="255"/>
      <c r="EO16" s="256"/>
      <c r="EP16" s="256"/>
      <c r="EQ16" s="256"/>
      <c r="ER16" s="242">
        <f>SUM(EN16:EQ16)</f>
        <v>0</v>
      </c>
      <c r="ES16" s="255"/>
      <c r="ET16" s="256"/>
      <c r="EU16" s="256"/>
      <c r="EV16" s="256"/>
      <c r="EW16" s="242">
        <f>SUM(ES16:EV16)</f>
        <v>0</v>
      </c>
      <c r="EX16" s="255"/>
      <c r="EY16" s="256"/>
      <c r="EZ16" s="256"/>
      <c r="FA16" s="256"/>
      <c r="FB16" s="242">
        <f>SUM(EX16:FA16)</f>
        <v>0</v>
      </c>
      <c r="FC16" s="255"/>
      <c r="FD16" s="256"/>
      <c r="FE16" s="256"/>
      <c r="FF16" s="256"/>
      <c r="FG16" s="242">
        <f>SUM(FC16:FF16)</f>
        <v>0</v>
      </c>
    </row>
    <row r="17" spans="2:163">
      <c r="B17" s="157"/>
      <c r="C17" s="239"/>
      <c r="D17" s="255"/>
      <c r="E17" s="256"/>
      <c r="F17" s="256"/>
      <c r="G17" s="256"/>
      <c r="H17" s="257"/>
      <c r="I17" s="255"/>
      <c r="J17" s="256"/>
      <c r="K17" s="256"/>
      <c r="L17" s="256"/>
      <c r="M17" s="257"/>
      <c r="N17" s="255"/>
      <c r="O17" s="256"/>
      <c r="P17" s="256"/>
      <c r="Q17" s="256"/>
      <c r="R17" s="257"/>
      <c r="S17" s="255"/>
      <c r="T17" s="256"/>
      <c r="U17" s="256"/>
      <c r="V17" s="256"/>
      <c r="W17" s="257"/>
      <c r="X17" s="255"/>
      <c r="Y17" s="256"/>
      <c r="Z17" s="256"/>
      <c r="AA17" s="256"/>
      <c r="AB17" s="257"/>
      <c r="AC17" s="255"/>
      <c r="AD17" s="256"/>
      <c r="AE17" s="256"/>
      <c r="AF17" s="256"/>
      <c r="AG17" s="257"/>
      <c r="AH17" s="255"/>
      <c r="AI17" s="256"/>
      <c r="AJ17" s="256"/>
      <c r="AK17" s="256"/>
      <c r="AL17" s="257"/>
      <c r="AM17" s="255"/>
      <c r="AN17" s="256"/>
      <c r="AO17" s="256"/>
      <c r="AP17" s="256"/>
      <c r="AQ17" s="257"/>
      <c r="AR17" s="255"/>
      <c r="AS17" s="256"/>
      <c r="AT17" s="256"/>
      <c r="AU17" s="256"/>
      <c r="AV17" s="257"/>
      <c r="AW17" s="255"/>
      <c r="AX17" s="256"/>
      <c r="AY17" s="256"/>
      <c r="AZ17" s="256"/>
      <c r="BA17" s="257"/>
      <c r="BB17" s="255"/>
      <c r="BC17" s="256"/>
      <c r="BD17" s="256"/>
      <c r="BE17" s="256"/>
      <c r="BF17" s="257"/>
      <c r="BG17" s="255"/>
      <c r="BH17" s="256"/>
      <c r="BI17" s="256"/>
      <c r="BJ17" s="256"/>
      <c r="BK17" s="257"/>
      <c r="BL17" s="255"/>
      <c r="BM17" s="256"/>
      <c r="BN17" s="256"/>
      <c r="BO17" s="256"/>
      <c r="BP17" s="257"/>
      <c r="BQ17" s="255"/>
      <c r="BR17" s="256"/>
      <c r="BS17" s="256"/>
      <c r="BT17" s="256"/>
      <c r="BU17" s="357"/>
      <c r="BV17" s="255"/>
      <c r="BW17" s="256"/>
      <c r="BX17" s="256"/>
      <c r="BY17" s="256"/>
      <c r="BZ17" s="257"/>
      <c r="CA17" s="255"/>
      <c r="CB17" s="256"/>
      <c r="CC17" s="256"/>
      <c r="CD17" s="256"/>
      <c r="CE17" s="257"/>
      <c r="CF17" s="255"/>
      <c r="CG17" s="256"/>
      <c r="CH17" s="256"/>
      <c r="CI17" s="256"/>
      <c r="CJ17" s="257"/>
      <c r="CK17" s="255"/>
      <c r="CL17" s="256"/>
      <c r="CM17" s="256"/>
      <c r="CN17" s="256"/>
      <c r="CO17" s="257"/>
      <c r="CP17" s="255"/>
      <c r="CQ17" s="256"/>
      <c r="CR17" s="256"/>
      <c r="CS17" s="256"/>
      <c r="CT17" s="257"/>
      <c r="CU17" s="255"/>
      <c r="CV17" s="256"/>
      <c r="CW17" s="256"/>
      <c r="CX17" s="256"/>
      <c r="CY17" s="257"/>
      <c r="CZ17" s="255"/>
      <c r="DA17" s="256"/>
      <c r="DB17" s="256"/>
      <c r="DC17" s="256"/>
      <c r="DD17" s="257"/>
      <c r="DE17" s="255"/>
      <c r="DF17" s="256"/>
      <c r="DG17" s="256"/>
      <c r="DH17" s="256"/>
      <c r="DI17" s="257"/>
      <c r="DJ17" s="255"/>
      <c r="DK17" s="256"/>
      <c r="DL17" s="256"/>
      <c r="DM17" s="256"/>
      <c r="DN17" s="257"/>
      <c r="DO17" s="255"/>
      <c r="DP17" s="256"/>
      <c r="DQ17" s="256"/>
      <c r="DR17" s="256"/>
      <c r="DS17" s="257"/>
      <c r="DT17" s="255"/>
      <c r="DU17" s="256"/>
      <c r="DV17" s="256"/>
      <c r="DW17" s="256"/>
      <c r="DX17" s="257"/>
      <c r="DY17" s="255"/>
      <c r="DZ17" s="256"/>
      <c r="EA17" s="256"/>
      <c r="EB17" s="256"/>
      <c r="EC17" s="257"/>
      <c r="ED17" s="255"/>
      <c r="EE17" s="256"/>
      <c r="EF17" s="256"/>
      <c r="EG17" s="256"/>
      <c r="EH17" s="357"/>
      <c r="EI17" s="255"/>
      <c r="EJ17" s="256"/>
      <c r="EK17" s="256"/>
      <c r="EL17" s="256"/>
      <c r="EM17" s="357"/>
      <c r="EN17" s="255"/>
      <c r="EO17" s="256"/>
      <c r="EP17" s="256"/>
      <c r="EQ17" s="256"/>
      <c r="ER17" s="257"/>
      <c r="ES17" s="255"/>
      <c r="ET17" s="256"/>
      <c r="EU17" s="256"/>
      <c r="EV17" s="256"/>
      <c r="EW17" s="257"/>
      <c r="EX17" s="255"/>
      <c r="EY17" s="256"/>
      <c r="EZ17" s="256"/>
      <c r="FA17" s="256"/>
      <c r="FB17" s="257"/>
      <c r="FC17" s="255"/>
      <c r="FD17" s="256"/>
      <c r="FE17" s="256"/>
      <c r="FF17" s="256"/>
      <c r="FG17" s="257"/>
    </row>
    <row r="18" spans="2:163">
      <c r="B18" s="249" t="s">
        <v>5</v>
      </c>
      <c r="C18" s="250" t="s">
        <v>266</v>
      </c>
      <c r="D18" s="251">
        <v>0</v>
      </c>
      <c r="E18" s="254">
        <v>0</v>
      </c>
      <c r="F18" s="254">
        <v>0</v>
      </c>
      <c r="G18" s="252">
        <v>0</v>
      </c>
      <c r="H18" s="253">
        <f>SUM(D18:G18)</f>
        <v>0</v>
      </c>
      <c r="I18" s="251">
        <v>0</v>
      </c>
      <c r="J18" s="254">
        <v>0</v>
      </c>
      <c r="K18" s="254">
        <v>0</v>
      </c>
      <c r="L18" s="252">
        <v>0</v>
      </c>
      <c r="M18" s="253">
        <f>SUM(I18:L18)</f>
        <v>0</v>
      </c>
      <c r="N18" s="251">
        <v>0</v>
      </c>
      <c r="O18" s="254">
        <v>0</v>
      </c>
      <c r="P18" s="254">
        <v>0</v>
      </c>
      <c r="Q18" s="252">
        <v>0</v>
      </c>
      <c r="R18" s="253">
        <f>SUM(N18:Q18)</f>
        <v>0</v>
      </c>
      <c r="S18" s="251">
        <v>0</v>
      </c>
      <c r="T18" s="254">
        <v>0</v>
      </c>
      <c r="U18" s="254">
        <v>0</v>
      </c>
      <c r="V18" s="252">
        <v>0</v>
      </c>
      <c r="W18" s="253">
        <f>SUM(S18:V18)</f>
        <v>0</v>
      </c>
      <c r="X18" s="251">
        <v>0</v>
      </c>
      <c r="Y18" s="254">
        <v>0</v>
      </c>
      <c r="Z18" s="254">
        <v>0</v>
      </c>
      <c r="AA18" s="252">
        <v>0</v>
      </c>
      <c r="AB18" s="253">
        <f>SUM(X18:AA18)</f>
        <v>0</v>
      </c>
      <c r="AC18" s="251">
        <v>0</v>
      </c>
      <c r="AD18" s="254">
        <v>0</v>
      </c>
      <c r="AE18" s="254">
        <v>0</v>
      </c>
      <c r="AF18" s="252">
        <v>0</v>
      </c>
      <c r="AG18" s="253">
        <f>SUM(AC18:AF18)</f>
        <v>0</v>
      </c>
      <c r="AH18" s="251">
        <v>0</v>
      </c>
      <c r="AI18" s="254">
        <v>0</v>
      </c>
      <c r="AJ18" s="254">
        <v>0</v>
      </c>
      <c r="AK18" s="252">
        <v>0</v>
      </c>
      <c r="AL18" s="253">
        <f>SUM(AH18:AK18)</f>
        <v>0</v>
      </c>
      <c r="AM18" s="251">
        <v>0</v>
      </c>
      <c r="AN18" s="254">
        <v>0</v>
      </c>
      <c r="AO18" s="254">
        <v>0</v>
      </c>
      <c r="AP18" s="252">
        <v>0</v>
      </c>
      <c r="AQ18" s="253">
        <f>SUM(AM18:AP18)</f>
        <v>0</v>
      </c>
      <c r="AR18" s="251">
        <v>0</v>
      </c>
      <c r="AS18" s="254">
        <v>0</v>
      </c>
      <c r="AT18" s="254">
        <v>0</v>
      </c>
      <c r="AU18" s="252">
        <v>0</v>
      </c>
      <c r="AV18" s="253">
        <f>SUM(AR18:AU18)</f>
        <v>0</v>
      </c>
      <c r="AW18" s="251">
        <v>0</v>
      </c>
      <c r="AX18" s="254">
        <v>0</v>
      </c>
      <c r="AY18" s="254">
        <v>0</v>
      </c>
      <c r="AZ18" s="252">
        <v>0</v>
      </c>
      <c r="BA18" s="253">
        <f>SUM(AW18:AZ18)</f>
        <v>0</v>
      </c>
      <c r="BB18" s="251">
        <v>0</v>
      </c>
      <c r="BC18" s="254">
        <v>0</v>
      </c>
      <c r="BD18" s="254">
        <v>0</v>
      </c>
      <c r="BE18" s="252">
        <v>0</v>
      </c>
      <c r="BF18" s="253">
        <f>SUM(BB18:BE18)</f>
        <v>0</v>
      </c>
      <c r="BG18" s="251">
        <v>0</v>
      </c>
      <c r="BH18" s="254">
        <v>0</v>
      </c>
      <c r="BI18" s="254">
        <v>0</v>
      </c>
      <c r="BJ18" s="252">
        <v>0</v>
      </c>
      <c r="BK18" s="253">
        <f>SUM(BG18:BJ18)</f>
        <v>0</v>
      </c>
      <c r="BL18" s="251">
        <v>0</v>
      </c>
      <c r="BM18" s="254">
        <v>0</v>
      </c>
      <c r="BN18" s="254">
        <v>0</v>
      </c>
      <c r="BO18" s="252">
        <v>0</v>
      </c>
      <c r="BP18" s="253">
        <f>SUM(BL18:BO18)</f>
        <v>0</v>
      </c>
      <c r="BQ18" s="251">
        <f>I18+N18+S18+X18+AC18+AH18+AM18+AR18+AW18+BB18+BG18+BL18</f>
        <v>0</v>
      </c>
      <c r="BR18" s="254">
        <f t="shared" ref="BR18:BT18" si="7">J18+O18+T18+Y18+AD18+AI18+AN18+AS18+AX18+BC18+BH18+BM18</f>
        <v>0</v>
      </c>
      <c r="BS18" s="254">
        <f t="shared" si="7"/>
        <v>0</v>
      </c>
      <c r="BT18" s="252">
        <f t="shared" si="7"/>
        <v>0</v>
      </c>
      <c r="BU18" s="253">
        <f>SUM(BQ18:BT18)</f>
        <v>0</v>
      </c>
      <c r="BV18" s="251">
        <v>0</v>
      </c>
      <c r="BW18" s="254">
        <v>0</v>
      </c>
      <c r="BX18" s="254">
        <v>0</v>
      </c>
      <c r="BY18" s="252">
        <v>0</v>
      </c>
      <c r="BZ18" s="253">
        <f>SUM(BV18:BY18)</f>
        <v>0</v>
      </c>
      <c r="CA18" s="251">
        <v>0</v>
      </c>
      <c r="CB18" s="254">
        <v>0</v>
      </c>
      <c r="CC18" s="254">
        <v>0</v>
      </c>
      <c r="CD18" s="252">
        <v>0</v>
      </c>
      <c r="CE18" s="253">
        <f>SUM(CA18:CD18)</f>
        <v>0</v>
      </c>
      <c r="CF18" s="251">
        <v>0</v>
      </c>
      <c r="CG18" s="254">
        <v>0</v>
      </c>
      <c r="CH18" s="254">
        <v>0</v>
      </c>
      <c r="CI18" s="252">
        <v>0</v>
      </c>
      <c r="CJ18" s="253">
        <f>SUM(CF18:CI18)</f>
        <v>0</v>
      </c>
      <c r="CK18" s="251">
        <v>0</v>
      </c>
      <c r="CL18" s="254">
        <v>0</v>
      </c>
      <c r="CM18" s="254">
        <v>0</v>
      </c>
      <c r="CN18" s="252">
        <v>0</v>
      </c>
      <c r="CO18" s="253">
        <f>SUM(CK18:CN18)</f>
        <v>0</v>
      </c>
      <c r="CP18" s="251">
        <v>0</v>
      </c>
      <c r="CQ18" s="254">
        <v>0</v>
      </c>
      <c r="CR18" s="254">
        <v>0</v>
      </c>
      <c r="CS18" s="252">
        <v>0</v>
      </c>
      <c r="CT18" s="253">
        <f>SUM(CP18:CS18)</f>
        <v>0</v>
      </c>
      <c r="CU18" s="251">
        <v>0</v>
      </c>
      <c r="CV18" s="254">
        <v>0</v>
      </c>
      <c r="CW18" s="254">
        <v>0</v>
      </c>
      <c r="CX18" s="252">
        <v>0</v>
      </c>
      <c r="CY18" s="253">
        <f>SUM(CU18:CX18)</f>
        <v>0</v>
      </c>
      <c r="CZ18" s="251">
        <v>0</v>
      </c>
      <c r="DA18" s="254">
        <v>0</v>
      </c>
      <c r="DB18" s="254">
        <v>0</v>
      </c>
      <c r="DC18" s="252">
        <v>0</v>
      </c>
      <c r="DD18" s="253">
        <f>SUM(CZ18:DC18)</f>
        <v>0</v>
      </c>
      <c r="DE18" s="251">
        <v>0</v>
      </c>
      <c r="DF18" s="254">
        <v>0</v>
      </c>
      <c r="DG18" s="254">
        <v>0</v>
      </c>
      <c r="DH18" s="252">
        <v>0</v>
      </c>
      <c r="DI18" s="253">
        <f>SUM(DE18:DH18)</f>
        <v>0</v>
      </c>
      <c r="DJ18" s="251">
        <v>0</v>
      </c>
      <c r="DK18" s="254">
        <v>0</v>
      </c>
      <c r="DL18" s="254">
        <v>0</v>
      </c>
      <c r="DM18" s="252">
        <v>0</v>
      </c>
      <c r="DN18" s="253">
        <f>SUM(DJ18:DM18)</f>
        <v>0</v>
      </c>
      <c r="DO18" s="251">
        <v>0</v>
      </c>
      <c r="DP18" s="254">
        <v>0</v>
      </c>
      <c r="DQ18" s="254">
        <v>0</v>
      </c>
      <c r="DR18" s="252">
        <v>0</v>
      </c>
      <c r="DS18" s="253">
        <f>SUM(DO18:DR18)</f>
        <v>0</v>
      </c>
      <c r="DT18" s="251">
        <v>0</v>
      </c>
      <c r="DU18" s="254">
        <v>0</v>
      </c>
      <c r="DV18" s="254">
        <v>0</v>
      </c>
      <c r="DW18" s="252">
        <v>0</v>
      </c>
      <c r="DX18" s="253">
        <f>SUM(DT18:DW18)</f>
        <v>0</v>
      </c>
      <c r="DY18" s="251">
        <v>0</v>
      </c>
      <c r="DZ18" s="254">
        <v>0</v>
      </c>
      <c r="EA18" s="254">
        <v>0</v>
      </c>
      <c r="EB18" s="252">
        <v>0</v>
      </c>
      <c r="EC18" s="253">
        <f>SUM(DY18:EB18)</f>
        <v>0</v>
      </c>
      <c r="ED18" s="251">
        <f>BV18+CA18+CF18+CK18+CP18+CU18+CZ18+DE18+DJ18+DO18+DT18+DY18</f>
        <v>0</v>
      </c>
      <c r="EE18" s="254">
        <f t="shared" ref="EE18:EG18" si="8">BW18+CB18+CG18+CL18+CQ18+CV18+DA18+DF18+DK18+DP18+DU18+DZ18</f>
        <v>0</v>
      </c>
      <c r="EF18" s="254">
        <f t="shared" si="8"/>
        <v>0</v>
      </c>
      <c r="EG18" s="252">
        <f t="shared" si="8"/>
        <v>0</v>
      </c>
      <c r="EH18" s="253">
        <f>SUM(ED18:EG18)</f>
        <v>0</v>
      </c>
      <c r="EI18" s="251">
        <v>0</v>
      </c>
      <c r="EJ18" s="254">
        <v>0</v>
      </c>
      <c r="EK18" s="254">
        <v>0</v>
      </c>
      <c r="EL18" s="252">
        <v>0</v>
      </c>
      <c r="EM18" s="253">
        <f>SUM(EI18:EL18)</f>
        <v>0</v>
      </c>
      <c r="EN18" s="251">
        <v>0</v>
      </c>
      <c r="EO18" s="254">
        <v>0</v>
      </c>
      <c r="EP18" s="254">
        <v>0</v>
      </c>
      <c r="EQ18" s="252">
        <v>0</v>
      </c>
      <c r="ER18" s="253">
        <f>SUM(EN18:EQ18)</f>
        <v>0</v>
      </c>
      <c r="ES18" s="251">
        <v>0</v>
      </c>
      <c r="ET18" s="254">
        <v>0</v>
      </c>
      <c r="EU18" s="254">
        <v>0</v>
      </c>
      <c r="EV18" s="252">
        <v>0</v>
      </c>
      <c r="EW18" s="253">
        <f>SUM(ES18:EV18)</f>
        <v>0</v>
      </c>
      <c r="EX18" s="251">
        <v>0</v>
      </c>
      <c r="EY18" s="254">
        <v>0</v>
      </c>
      <c r="EZ18" s="254">
        <v>0</v>
      </c>
      <c r="FA18" s="252">
        <v>0</v>
      </c>
      <c r="FB18" s="253">
        <f>SUM(EX18:FA18)</f>
        <v>0</v>
      </c>
      <c r="FC18" s="251">
        <v>0</v>
      </c>
      <c r="FD18" s="254">
        <v>0</v>
      </c>
      <c r="FE18" s="254">
        <v>0</v>
      </c>
      <c r="FF18" s="252">
        <v>0</v>
      </c>
      <c r="FG18" s="253">
        <f>SUM(FC18:FF18)</f>
        <v>0</v>
      </c>
    </row>
    <row r="19" spans="2:163">
      <c r="B19" s="158"/>
      <c r="C19" s="539" t="s">
        <v>267</v>
      </c>
      <c r="D19" s="215" t="str">
        <f>IFERROR(D18/#REF!,"-")</f>
        <v>-</v>
      </c>
      <c r="E19" s="7" t="str">
        <f>IFERROR(E18/#REF!,"-")</f>
        <v>-</v>
      </c>
      <c r="F19" s="7" t="str">
        <f>IFERROR(F18/#REF!,"-")</f>
        <v>-</v>
      </c>
      <c r="G19" s="7" t="str">
        <f>IFERROR(G18/#REF!,"-")</f>
        <v>-</v>
      </c>
      <c r="H19" s="234" t="str">
        <f>IFERROR(H18/#REF!,"-")</f>
        <v>-</v>
      </c>
      <c r="I19" s="215" t="str">
        <f>IFERROR(I18/#REF!,"-")</f>
        <v>-</v>
      </c>
      <c r="J19" s="7" t="str">
        <f>IFERROR(J18/#REF!,"-")</f>
        <v>-</v>
      </c>
      <c r="K19" s="7" t="str">
        <f>IFERROR(K18/#REF!,"-")</f>
        <v>-</v>
      </c>
      <c r="L19" s="7" t="str">
        <f>IFERROR(L18/#REF!,"-")</f>
        <v>-</v>
      </c>
      <c r="M19" s="234" t="str">
        <f>IFERROR(M18/#REF!,"-")</f>
        <v>-</v>
      </c>
      <c r="N19" s="215" t="str">
        <f>IFERROR(N18/#REF!,"-")</f>
        <v>-</v>
      </c>
      <c r="O19" s="7" t="str">
        <f>IFERROR(O18/#REF!,"-")</f>
        <v>-</v>
      </c>
      <c r="P19" s="7" t="str">
        <f>IFERROR(P18/#REF!,"-")</f>
        <v>-</v>
      </c>
      <c r="Q19" s="7" t="str">
        <f>IFERROR(Q18/#REF!,"-")</f>
        <v>-</v>
      </c>
      <c r="R19" s="234" t="str">
        <f>IFERROR(R18/#REF!,"-")</f>
        <v>-</v>
      </c>
      <c r="S19" s="215" t="str">
        <f>IFERROR(S18/#REF!,"-")</f>
        <v>-</v>
      </c>
      <c r="T19" s="7" t="str">
        <f>IFERROR(T18/#REF!,"-")</f>
        <v>-</v>
      </c>
      <c r="U19" s="7" t="str">
        <f>IFERROR(U18/#REF!,"-")</f>
        <v>-</v>
      </c>
      <c r="V19" s="7" t="str">
        <f>IFERROR(V18/#REF!,"-")</f>
        <v>-</v>
      </c>
      <c r="W19" s="234" t="str">
        <f>IFERROR(W18/#REF!,"-")</f>
        <v>-</v>
      </c>
      <c r="X19" s="215" t="str">
        <f>IFERROR(X18/#REF!,"-")</f>
        <v>-</v>
      </c>
      <c r="Y19" s="7" t="str">
        <f>IFERROR(Y18/#REF!,"-")</f>
        <v>-</v>
      </c>
      <c r="Z19" s="7" t="str">
        <f>IFERROR(Z18/#REF!,"-")</f>
        <v>-</v>
      </c>
      <c r="AA19" s="7" t="str">
        <f>IFERROR(AA18/#REF!,"-")</f>
        <v>-</v>
      </c>
      <c r="AB19" s="234" t="str">
        <f>IFERROR(AB18/#REF!,"-")</f>
        <v>-</v>
      </c>
      <c r="AC19" s="215" t="str">
        <f>IFERROR(AC18/#REF!,"-")</f>
        <v>-</v>
      </c>
      <c r="AD19" s="7" t="str">
        <f>IFERROR(AD18/#REF!,"-")</f>
        <v>-</v>
      </c>
      <c r="AE19" s="7" t="str">
        <f>IFERROR(AE18/#REF!,"-")</f>
        <v>-</v>
      </c>
      <c r="AF19" s="7" t="str">
        <f>IFERROR(AF18/#REF!,"-")</f>
        <v>-</v>
      </c>
      <c r="AG19" s="234" t="str">
        <f>IFERROR(AG18/#REF!,"-")</f>
        <v>-</v>
      </c>
      <c r="AH19" s="215" t="str">
        <f>IFERROR(AH18/#REF!,"-")</f>
        <v>-</v>
      </c>
      <c r="AI19" s="7" t="str">
        <f>IFERROR(AI18/#REF!,"-")</f>
        <v>-</v>
      </c>
      <c r="AJ19" s="7" t="str">
        <f>IFERROR(AJ18/#REF!,"-")</f>
        <v>-</v>
      </c>
      <c r="AK19" s="7" t="str">
        <f>IFERROR(AK18/#REF!,"-")</f>
        <v>-</v>
      </c>
      <c r="AL19" s="234" t="str">
        <f>IFERROR(AL18/#REF!,"-")</f>
        <v>-</v>
      </c>
      <c r="AM19" s="215" t="str">
        <f>IFERROR(AM18/#REF!,"-")</f>
        <v>-</v>
      </c>
      <c r="AN19" s="7" t="str">
        <f>IFERROR(AN18/#REF!,"-")</f>
        <v>-</v>
      </c>
      <c r="AO19" s="7" t="str">
        <f>IFERROR(AO18/#REF!,"-")</f>
        <v>-</v>
      </c>
      <c r="AP19" s="7" t="str">
        <f>IFERROR(AP18/#REF!,"-")</f>
        <v>-</v>
      </c>
      <c r="AQ19" s="234" t="str">
        <f>IFERROR(AQ18/#REF!,"-")</f>
        <v>-</v>
      </c>
      <c r="AR19" s="215" t="str">
        <f>IFERROR(AR18/#REF!,"-")</f>
        <v>-</v>
      </c>
      <c r="AS19" s="7" t="str">
        <f>IFERROR(AS18/#REF!,"-")</f>
        <v>-</v>
      </c>
      <c r="AT19" s="7" t="str">
        <f>IFERROR(AT18/#REF!,"-")</f>
        <v>-</v>
      </c>
      <c r="AU19" s="7" t="str">
        <f>IFERROR(AU18/#REF!,"-")</f>
        <v>-</v>
      </c>
      <c r="AV19" s="234" t="str">
        <f>IFERROR(AV18/#REF!,"-")</f>
        <v>-</v>
      </c>
      <c r="AW19" s="215" t="str">
        <f>IFERROR(AW18/#REF!,"-")</f>
        <v>-</v>
      </c>
      <c r="AX19" s="7" t="str">
        <f>IFERROR(AX18/#REF!,"-")</f>
        <v>-</v>
      </c>
      <c r="AY19" s="7" t="str">
        <f>IFERROR(AY18/#REF!,"-")</f>
        <v>-</v>
      </c>
      <c r="AZ19" s="7" t="str">
        <f>IFERROR(AZ18/#REF!,"-")</f>
        <v>-</v>
      </c>
      <c r="BA19" s="234" t="str">
        <f>IFERROR(BA18/#REF!,"-")</f>
        <v>-</v>
      </c>
      <c r="BB19" s="215" t="str">
        <f>IFERROR(BB18/#REF!,"-")</f>
        <v>-</v>
      </c>
      <c r="BC19" s="7" t="str">
        <f>IFERROR(BC18/#REF!,"-")</f>
        <v>-</v>
      </c>
      <c r="BD19" s="7" t="str">
        <f>IFERROR(BD18/#REF!,"-")</f>
        <v>-</v>
      </c>
      <c r="BE19" s="7" t="str">
        <f>IFERROR(BE18/#REF!,"-")</f>
        <v>-</v>
      </c>
      <c r="BF19" s="234" t="str">
        <f>IFERROR(BF18/#REF!,"-")</f>
        <v>-</v>
      </c>
      <c r="BG19" s="215" t="str">
        <f>IFERROR(BG18/#REF!,"-")</f>
        <v>-</v>
      </c>
      <c r="BH19" s="7" t="str">
        <f>IFERROR(BH18/#REF!,"-")</f>
        <v>-</v>
      </c>
      <c r="BI19" s="7" t="str">
        <f>IFERROR(BI18/#REF!,"-")</f>
        <v>-</v>
      </c>
      <c r="BJ19" s="7" t="str">
        <f>IFERROR(BJ18/#REF!,"-")</f>
        <v>-</v>
      </c>
      <c r="BK19" s="234" t="str">
        <f>IFERROR(BK18/#REF!,"-")</f>
        <v>-</v>
      </c>
      <c r="BL19" s="215" t="str">
        <f>IFERROR(BL18/#REF!,"-")</f>
        <v>-</v>
      </c>
      <c r="BM19" s="7" t="str">
        <f>IFERROR(BM18/#REF!,"-")</f>
        <v>-</v>
      </c>
      <c r="BN19" s="7" t="str">
        <f>IFERROR(BN18/#REF!,"-")</f>
        <v>-</v>
      </c>
      <c r="BO19" s="7" t="str">
        <f>IFERROR(BO18/#REF!,"-")</f>
        <v>-</v>
      </c>
      <c r="BP19" s="234" t="str">
        <f>IFERROR(BP18/#REF!,"-")</f>
        <v>-</v>
      </c>
      <c r="BQ19" s="215" t="str">
        <f>IFERROR(BQ18/#REF!,"-")</f>
        <v>-</v>
      </c>
      <c r="BR19" s="7" t="str">
        <f>IFERROR(BR18/#REF!,"-")</f>
        <v>-</v>
      </c>
      <c r="BS19" s="7" t="str">
        <f>IFERROR(BS18/#REF!,"-")</f>
        <v>-</v>
      </c>
      <c r="BT19" s="7" t="str">
        <f>IFERROR(BT18/#REF!,"-")</f>
        <v>-</v>
      </c>
      <c r="BU19" s="359" t="str">
        <f>IFERROR(BU18/#REF!,"-")</f>
        <v>-</v>
      </c>
      <c r="BV19" s="215" t="str">
        <f>IFERROR(BV18/#REF!,"-")</f>
        <v>-</v>
      </c>
      <c r="BW19" s="7" t="str">
        <f>IFERROR(BW18/#REF!,"-")</f>
        <v>-</v>
      </c>
      <c r="BX19" s="7" t="str">
        <f>IFERROR(BX18/#REF!,"-")</f>
        <v>-</v>
      </c>
      <c r="BY19" s="7" t="str">
        <f>IFERROR(BY18/#REF!,"-")</f>
        <v>-</v>
      </c>
      <c r="BZ19" s="234" t="str">
        <f>IFERROR(BZ18/#REF!,"-")</f>
        <v>-</v>
      </c>
      <c r="CA19" s="215" t="str">
        <f>IFERROR(CA18/#REF!,"-")</f>
        <v>-</v>
      </c>
      <c r="CB19" s="7" t="str">
        <f>IFERROR(CB18/#REF!,"-")</f>
        <v>-</v>
      </c>
      <c r="CC19" s="7" t="str">
        <f>IFERROR(CC18/#REF!,"-")</f>
        <v>-</v>
      </c>
      <c r="CD19" s="7" t="str">
        <f>IFERROR(CD18/#REF!,"-")</f>
        <v>-</v>
      </c>
      <c r="CE19" s="234" t="str">
        <f>IFERROR(CE18/#REF!,"-")</f>
        <v>-</v>
      </c>
      <c r="CF19" s="215" t="str">
        <f>IFERROR(CF18/#REF!,"-")</f>
        <v>-</v>
      </c>
      <c r="CG19" s="7" t="str">
        <f>IFERROR(CG18/#REF!,"-")</f>
        <v>-</v>
      </c>
      <c r="CH19" s="7" t="str">
        <f>IFERROR(CH18/#REF!,"-")</f>
        <v>-</v>
      </c>
      <c r="CI19" s="7" t="str">
        <f>IFERROR(CI18/#REF!,"-")</f>
        <v>-</v>
      </c>
      <c r="CJ19" s="234" t="str">
        <f>IFERROR(CJ18/#REF!,"-")</f>
        <v>-</v>
      </c>
      <c r="CK19" s="215" t="str">
        <f>IFERROR(CK18/#REF!,"-")</f>
        <v>-</v>
      </c>
      <c r="CL19" s="7" t="str">
        <f>IFERROR(CL18/#REF!,"-")</f>
        <v>-</v>
      </c>
      <c r="CM19" s="7" t="str">
        <f>IFERROR(CM18/#REF!,"-")</f>
        <v>-</v>
      </c>
      <c r="CN19" s="7" t="str">
        <f>IFERROR(CN18/#REF!,"-")</f>
        <v>-</v>
      </c>
      <c r="CO19" s="234" t="str">
        <f>IFERROR(CO18/#REF!,"-")</f>
        <v>-</v>
      </c>
      <c r="CP19" s="215" t="str">
        <f>IFERROR(CP18/#REF!,"-")</f>
        <v>-</v>
      </c>
      <c r="CQ19" s="7" t="str">
        <f>IFERROR(CQ18/#REF!,"-")</f>
        <v>-</v>
      </c>
      <c r="CR19" s="7" t="str">
        <f>IFERROR(CR18/#REF!,"-")</f>
        <v>-</v>
      </c>
      <c r="CS19" s="7" t="str">
        <f>IFERROR(CS18/#REF!,"-")</f>
        <v>-</v>
      </c>
      <c r="CT19" s="234" t="str">
        <f>IFERROR(CT18/#REF!,"-")</f>
        <v>-</v>
      </c>
      <c r="CU19" s="215" t="str">
        <f>IFERROR(CU18/#REF!,"-")</f>
        <v>-</v>
      </c>
      <c r="CV19" s="7" t="str">
        <f>IFERROR(CV18/#REF!,"-")</f>
        <v>-</v>
      </c>
      <c r="CW19" s="7" t="str">
        <f>IFERROR(CW18/#REF!,"-")</f>
        <v>-</v>
      </c>
      <c r="CX19" s="7" t="str">
        <f>IFERROR(CX18/#REF!,"-")</f>
        <v>-</v>
      </c>
      <c r="CY19" s="234" t="str">
        <f>IFERROR(CY18/#REF!,"-")</f>
        <v>-</v>
      </c>
      <c r="CZ19" s="215" t="str">
        <f>IFERROR(CZ18/#REF!,"-")</f>
        <v>-</v>
      </c>
      <c r="DA19" s="7" t="str">
        <f>IFERROR(DA18/#REF!,"-")</f>
        <v>-</v>
      </c>
      <c r="DB19" s="7" t="str">
        <f>IFERROR(DB18/#REF!,"-")</f>
        <v>-</v>
      </c>
      <c r="DC19" s="7" t="str">
        <f>IFERROR(DC18/#REF!,"-")</f>
        <v>-</v>
      </c>
      <c r="DD19" s="234" t="str">
        <f>IFERROR(DD18/#REF!,"-")</f>
        <v>-</v>
      </c>
      <c r="DE19" s="215" t="str">
        <f>IFERROR(DE18/#REF!,"-")</f>
        <v>-</v>
      </c>
      <c r="DF19" s="7" t="str">
        <f>IFERROR(DF18/#REF!,"-")</f>
        <v>-</v>
      </c>
      <c r="DG19" s="7" t="str">
        <f>IFERROR(DG18/#REF!,"-")</f>
        <v>-</v>
      </c>
      <c r="DH19" s="7" t="str">
        <f>IFERROR(DH18/#REF!,"-")</f>
        <v>-</v>
      </c>
      <c r="DI19" s="234" t="str">
        <f>IFERROR(DI18/#REF!,"-")</f>
        <v>-</v>
      </c>
      <c r="DJ19" s="215" t="str">
        <f>IFERROR(DJ18/#REF!,"-")</f>
        <v>-</v>
      </c>
      <c r="DK19" s="7" t="str">
        <f>IFERROR(DK18/#REF!,"-")</f>
        <v>-</v>
      </c>
      <c r="DL19" s="7" t="str">
        <f>IFERROR(DL18/#REF!,"-")</f>
        <v>-</v>
      </c>
      <c r="DM19" s="7" t="str">
        <f>IFERROR(DM18/#REF!,"-")</f>
        <v>-</v>
      </c>
      <c r="DN19" s="234" t="str">
        <f>IFERROR(DN18/#REF!,"-")</f>
        <v>-</v>
      </c>
      <c r="DO19" s="215" t="str">
        <f>IFERROR(DO18/#REF!,"-")</f>
        <v>-</v>
      </c>
      <c r="DP19" s="7" t="str">
        <f>IFERROR(DP18/#REF!,"-")</f>
        <v>-</v>
      </c>
      <c r="DQ19" s="7" t="str">
        <f>IFERROR(DQ18/#REF!,"-")</f>
        <v>-</v>
      </c>
      <c r="DR19" s="7" t="str">
        <f>IFERROR(DR18/#REF!,"-")</f>
        <v>-</v>
      </c>
      <c r="DS19" s="234" t="str">
        <f>IFERROR(DS18/#REF!,"-")</f>
        <v>-</v>
      </c>
      <c r="DT19" s="215" t="str">
        <f>IFERROR(DT18/#REF!,"-")</f>
        <v>-</v>
      </c>
      <c r="DU19" s="7" t="str">
        <f>IFERROR(DU18/#REF!,"-")</f>
        <v>-</v>
      </c>
      <c r="DV19" s="7" t="str">
        <f>IFERROR(DV18/#REF!,"-")</f>
        <v>-</v>
      </c>
      <c r="DW19" s="7" t="str">
        <f>IFERROR(DW18/#REF!,"-")</f>
        <v>-</v>
      </c>
      <c r="DX19" s="234" t="str">
        <f>IFERROR(DX18/#REF!,"-")</f>
        <v>-</v>
      </c>
      <c r="DY19" s="215" t="str">
        <f>IFERROR(DY18/#REF!,"-")</f>
        <v>-</v>
      </c>
      <c r="DZ19" s="7" t="str">
        <f>IFERROR(DZ18/#REF!,"-")</f>
        <v>-</v>
      </c>
      <c r="EA19" s="7" t="str">
        <f>IFERROR(EA18/#REF!,"-")</f>
        <v>-</v>
      </c>
      <c r="EB19" s="7" t="str">
        <f>IFERROR(EB18/#REF!,"-")</f>
        <v>-</v>
      </c>
      <c r="EC19" s="234" t="str">
        <f>IFERROR(EC18/#REF!,"-")</f>
        <v>-</v>
      </c>
      <c r="ED19" s="215" t="str">
        <f>IFERROR(ED18/#REF!,"-")</f>
        <v>-</v>
      </c>
      <c r="EE19" s="7" t="str">
        <f>IFERROR(EE18/#REF!,"-")</f>
        <v>-</v>
      </c>
      <c r="EF19" s="7" t="str">
        <f>IFERROR(EF18/#REF!,"-")</f>
        <v>-</v>
      </c>
      <c r="EG19" s="7" t="str">
        <f>IFERROR(EG18/#REF!,"-")</f>
        <v>-</v>
      </c>
      <c r="EH19" s="359" t="str">
        <f>IFERROR(EH18/#REF!,"-")</f>
        <v>-</v>
      </c>
      <c r="EI19" s="215" t="str">
        <f>IFERROR(EI18/#REF!,"-")</f>
        <v>-</v>
      </c>
      <c r="EJ19" s="7" t="str">
        <f>IFERROR(EJ18/#REF!,"-")</f>
        <v>-</v>
      </c>
      <c r="EK19" s="7" t="str">
        <f>IFERROR(EK18/#REF!,"-")</f>
        <v>-</v>
      </c>
      <c r="EL19" s="7" t="str">
        <f>IFERROR(EL18/#REF!,"-")</f>
        <v>-</v>
      </c>
      <c r="EM19" s="234" t="str">
        <f>IFERROR(EM18/#REF!,"-")</f>
        <v>-</v>
      </c>
      <c r="EN19" s="215" t="str">
        <f>IFERROR(EN18/#REF!,"-")</f>
        <v>-</v>
      </c>
      <c r="EO19" s="7" t="str">
        <f>IFERROR(EO18/#REF!,"-")</f>
        <v>-</v>
      </c>
      <c r="EP19" s="7" t="str">
        <f>IFERROR(EP18/#REF!,"-")</f>
        <v>-</v>
      </c>
      <c r="EQ19" s="7" t="str">
        <f>IFERROR(EQ18/#REF!,"-")</f>
        <v>-</v>
      </c>
      <c r="ER19" s="234" t="str">
        <f>IFERROR(ER18/#REF!,"-")</f>
        <v>-</v>
      </c>
      <c r="ES19" s="215" t="str">
        <f>IFERROR(ES18/#REF!,"-")</f>
        <v>-</v>
      </c>
      <c r="ET19" s="7" t="str">
        <f>IFERROR(ET18/#REF!,"-")</f>
        <v>-</v>
      </c>
      <c r="EU19" s="7" t="str">
        <f>IFERROR(EU18/#REF!,"-")</f>
        <v>-</v>
      </c>
      <c r="EV19" s="7" t="str">
        <f>IFERROR(EV18/#REF!,"-")</f>
        <v>-</v>
      </c>
      <c r="EW19" s="234" t="str">
        <f>IFERROR(EW18/#REF!,"-")</f>
        <v>-</v>
      </c>
      <c r="EX19" s="215" t="str">
        <f>IFERROR(EX18/#REF!,"-")</f>
        <v>-</v>
      </c>
      <c r="EY19" s="7" t="str">
        <f>IFERROR(EY18/#REF!,"-")</f>
        <v>-</v>
      </c>
      <c r="EZ19" s="7" t="str">
        <f>IFERROR(EZ18/#REF!,"-")</f>
        <v>-</v>
      </c>
      <c r="FA19" s="7" t="str">
        <f>IFERROR(FA18/#REF!,"-")</f>
        <v>-</v>
      </c>
      <c r="FB19" s="234" t="str">
        <f>IFERROR(FB18/#REF!,"-")</f>
        <v>-</v>
      </c>
      <c r="FC19" s="215" t="str">
        <f>IFERROR(FC18/#REF!,"-")</f>
        <v>-</v>
      </c>
      <c r="FD19" s="7" t="str">
        <f>IFERROR(FD18/#REF!,"-")</f>
        <v>-</v>
      </c>
      <c r="FE19" s="7" t="str">
        <f>IFERROR(FE18/#REF!,"-")</f>
        <v>-</v>
      </c>
      <c r="FF19" s="7" t="str">
        <f>IFERROR(FF18/#REF!,"-")</f>
        <v>-</v>
      </c>
      <c r="FG19" s="234" t="str">
        <f>IFERROR(FG18/#REF!,"-")</f>
        <v>-</v>
      </c>
    </row>
    <row r="20" spans="2:163">
      <c r="B20" s="157"/>
      <c r="C20" s="239"/>
      <c r="D20" s="255"/>
      <c r="E20" s="256"/>
      <c r="F20" s="256"/>
      <c r="G20" s="256"/>
      <c r="H20" s="257"/>
      <c r="I20" s="255"/>
      <c r="J20" s="256"/>
      <c r="K20" s="256"/>
      <c r="L20" s="256"/>
      <c r="M20" s="257"/>
      <c r="N20" s="255"/>
      <c r="O20" s="256"/>
      <c r="P20" s="256"/>
      <c r="Q20" s="256"/>
      <c r="R20" s="257"/>
      <c r="S20" s="255"/>
      <c r="T20" s="256"/>
      <c r="U20" s="256"/>
      <c r="V20" s="256"/>
      <c r="W20" s="257"/>
      <c r="X20" s="255"/>
      <c r="Y20" s="256"/>
      <c r="Z20" s="256"/>
      <c r="AA20" s="256"/>
      <c r="AB20" s="257"/>
      <c r="AC20" s="255"/>
      <c r="AD20" s="256"/>
      <c r="AE20" s="256"/>
      <c r="AF20" s="256"/>
      <c r="AG20" s="257"/>
      <c r="AH20" s="255"/>
      <c r="AI20" s="256"/>
      <c r="AJ20" s="256"/>
      <c r="AK20" s="256"/>
      <c r="AL20" s="257"/>
      <c r="AM20" s="255"/>
      <c r="AN20" s="256"/>
      <c r="AO20" s="256"/>
      <c r="AP20" s="256"/>
      <c r="AQ20" s="257"/>
      <c r="AR20" s="255"/>
      <c r="AS20" s="256"/>
      <c r="AT20" s="256"/>
      <c r="AU20" s="256"/>
      <c r="AV20" s="257"/>
      <c r="AW20" s="255"/>
      <c r="AX20" s="256"/>
      <c r="AY20" s="256"/>
      <c r="AZ20" s="256"/>
      <c r="BA20" s="257"/>
      <c r="BB20" s="255"/>
      <c r="BC20" s="256"/>
      <c r="BD20" s="256"/>
      <c r="BE20" s="256"/>
      <c r="BF20" s="257"/>
      <c r="BG20" s="255"/>
      <c r="BH20" s="256"/>
      <c r="BI20" s="256"/>
      <c r="BJ20" s="256"/>
      <c r="BK20" s="257"/>
      <c r="BL20" s="255"/>
      <c r="BM20" s="256"/>
      <c r="BN20" s="256"/>
      <c r="BO20" s="256"/>
      <c r="BP20" s="257"/>
      <c r="BQ20" s="255"/>
      <c r="BR20" s="256"/>
      <c r="BS20" s="256"/>
      <c r="BT20" s="256"/>
      <c r="BU20" s="357"/>
      <c r="BV20" s="255"/>
      <c r="BW20" s="256"/>
      <c r="BX20" s="256"/>
      <c r="BY20" s="256"/>
      <c r="BZ20" s="257"/>
      <c r="CA20" s="255"/>
      <c r="CB20" s="256"/>
      <c r="CC20" s="256"/>
      <c r="CD20" s="256"/>
      <c r="CE20" s="257"/>
      <c r="CF20" s="255"/>
      <c r="CG20" s="256"/>
      <c r="CH20" s="256"/>
      <c r="CI20" s="256"/>
      <c r="CJ20" s="257"/>
      <c r="CK20" s="255"/>
      <c r="CL20" s="256"/>
      <c r="CM20" s="256"/>
      <c r="CN20" s="256"/>
      <c r="CO20" s="257"/>
      <c r="CP20" s="255"/>
      <c r="CQ20" s="256"/>
      <c r="CR20" s="256"/>
      <c r="CS20" s="256"/>
      <c r="CT20" s="257"/>
      <c r="CU20" s="255"/>
      <c r="CV20" s="256"/>
      <c r="CW20" s="256"/>
      <c r="CX20" s="256"/>
      <c r="CY20" s="257"/>
      <c r="CZ20" s="255"/>
      <c r="DA20" s="256"/>
      <c r="DB20" s="256"/>
      <c r="DC20" s="256"/>
      <c r="DD20" s="257"/>
      <c r="DE20" s="255"/>
      <c r="DF20" s="256"/>
      <c r="DG20" s="256"/>
      <c r="DH20" s="256"/>
      <c r="DI20" s="257"/>
      <c r="DJ20" s="255"/>
      <c r="DK20" s="256"/>
      <c r="DL20" s="256"/>
      <c r="DM20" s="256"/>
      <c r="DN20" s="257"/>
      <c r="DO20" s="255"/>
      <c r="DP20" s="256"/>
      <c r="DQ20" s="256"/>
      <c r="DR20" s="256"/>
      <c r="DS20" s="257"/>
      <c r="DT20" s="255"/>
      <c r="DU20" s="256"/>
      <c r="DV20" s="256"/>
      <c r="DW20" s="256"/>
      <c r="DX20" s="257"/>
      <c r="DY20" s="255"/>
      <c r="DZ20" s="256"/>
      <c r="EA20" s="256"/>
      <c r="EB20" s="256"/>
      <c r="EC20" s="257"/>
      <c r="ED20" s="255"/>
      <c r="EE20" s="256"/>
      <c r="EF20" s="256"/>
      <c r="EG20" s="256"/>
      <c r="EH20" s="357"/>
      <c r="EI20" s="255"/>
      <c r="EJ20" s="256"/>
      <c r="EK20" s="256"/>
      <c r="EL20" s="256"/>
      <c r="EM20" s="357"/>
      <c r="EN20" s="255"/>
      <c r="EO20" s="256"/>
      <c r="EP20" s="256"/>
      <c r="EQ20" s="256"/>
      <c r="ER20" s="257"/>
      <c r="ES20" s="255"/>
      <c r="ET20" s="256"/>
      <c r="EU20" s="256"/>
      <c r="EV20" s="256"/>
      <c r="EW20" s="257"/>
      <c r="EX20" s="255"/>
      <c r="EY20" s="256"/>
      <c r="EZ20" s="256"/>
      <c r="FA20" s="256"/>
      <c r="FB20" s="257"/>
      <c r="FC20" s="255"/>
      <c r="FD20" s="256"/>
      <c r="FE20" s="256"/>
      <c r="FF20" s="256"/>
      <c r="FG20" s="257"/>
    </row>
    <row r="21" spans="2:163">
      <c r="B21" s="157" t="s">
        <v>6</v>
      </c>
      <c r="C21" s="222" t="s">
        <v>186</v>
      </c>
      <c r="D21" s="255"/>
      <c r="E21" s="256"/>
      <c r="F21" s="256"/>
      <c r="G21" s="256"/>
      <c r="H21" s="232">
        <f>SUM(D21:G21)</f>
        <v>0</v>
      </c>
      <c r="I21" s="255"/>
      <c r="J21" s="256"/>
      <c r="K21" s="256"/>
      <c r="L21" s="256"/>
      <c r="M21" s="232">
        <f>SUM(I21:L21)</f>
        <v>0</v>
      </c>
      <c r="N21" s="255"/>
      <c r="O21" s="256"/>
      <c r="P21" s="256"/>
      <c r="Q21" s="256"/>
      <c r="R21" s="232">
        <f>SUM(N21:Q21)</f>
        <v>0</v>
      </c>
      <c r="S21" s="255"/>
      <c r="T21" s="256"/>
      <c r="U21" s="256"/>
      <c r="V21" s="256"/>
      <c r="W21" s="232">
        <f>SUM(S21:V21)</f>
        <v>0</v>
      </c>
      <c r="X21" s="255"/>
      <c r="Y21" s="256"/>
      <c r="Z21" s="256"/>
      <c r="AA21" s="256"/>
      <c r="AB21" s="232">
        <f>SUM(X21:AA21)</f>
        <v>0</v>
      </c>
      <c r="AC21" s="255"/>
      <c r="AD21" s="256"/>
      <c r="AE21" s="256"/>
      <c r="AF21" s="256"/>
      <c r="AG21" s="232">
        <f>SUM(AC21:AF21)</f>
        <v>0</v>
      </c>
      <c r="AH21" s="255"/>
      <c r="AI21" s="256"/>
      <c r="AJ21" s="256"/>
      <c r="AK21" s="256"/>
      <c r="AL21" s="232">
        <f>SUM(AH21:AK21)</f>
        <v>0</v>
      </c>
      <c r="AM21" s="255"/>
      <c r="AN21" s="256"/>
      <c r="AO21" s="256"/>
      <c r="AP21" s="256"/>
      <c r="AQ21" s="232">
        <f>SUM(AM21:AP21)</f>
        <v>0</v>
      </c>
      <c r="AR21" s="255"/>
      <c r="AS21" s="256"/>
      <c r="AT21" s="256"/>
      <c r="AU21" s="256"/>
      <c r="AV21" s="232">
        <f>SUM(AR21:AU21)</f>
        <v>0</v>
      </c>
      <c r="AW21" s="255"/>
      <c r="AX21" s="256"/>
      <c r="AY21" s="256"/>
      <c r="AZ21" s="256"/>
      <c r="BA21" s="232">
        <f>SUM(AW21:AZ21)</f>
        <v>0</v>
      </c>
      <c r="BB21" s="255">
        <v>740278.0</v>
      </c>
      <c r="BC21" s="256"/>
      <c r="BD21" s="256">
        <v>0.0</v>
      </c>
      <c r="BE21" s="256">
        <v>3860331.0</v>
      </c>
      <c r="BF21" s="232">
        <f>SUM(BB21:BE21)</f>
        <v>0</v>
      </c>
      <c r="BG21" s="255">
        <v>555362.0</v>
      </c>
      <c r="BH21" s="256"/>
      <c r="BI21" s="256">
        <v>0.0</v>
      </c>
      <c r="BJ21" s="256">
        <v>3025209.0</v>
      </c>
      <c r="BK21" s="232">
        <f>SUM(BG21:BJ21)</f>
        <v>0</v>
      </c>
      <c r="BL21" s="255">
        <v>967236.0</v>
      </c>
      <c r="BM21" s="256"/>
      <c r="BN21" s="256">
        <v>0.0</v>
      </c>
      <c r="BO21" s="256">
        <v>6622565.0</v>
      </c>
      <c r="BP21" s="232">
        <f>SUM(BL21:BO21)</f>
        <v>0</v>
      </c>
      <c r="BQ21" s="211">
        <f>BL21+BG21+BB21+AW21+AR21+AM21+AH21+AC21+X21+S21+N21+I21</f>
        <v>0</v>
      </c>
      <c r="BR21" s="186">
        <f>BM21+BH21+BC21+AX21+AS21+AN21+AI21+AD21+Y21+T21+O21+J21</f>
        <v>0</v>
      </c>
      <c r="BS21" s="186">
        <f>BN21+BI21+BD21+AY21+AT21+AO21+AJ21+AE21+Z21+U21+P21+K21</f>
        <v>0</v>
      </c>
      <c r="BT21" s="186">
        <f>BO21+BJ21+BE21+AZ21+AU21+AP21+AK21+AF21+AA21+V21+Q21+L21</f>
        <v>0</v>
      </c>
      <c r="BU21" s="232">
        <f>SUM(BQ21:BT21)</f>
        <v>0</v>
      </c>
      <c r="BV21" s="423">
        <v>1031138</v>
      </c>
      <c r="BW21" s="424">
        <v>2798012</v>
      </c>
      <c r="BX21" s="424">
        <v>0</v>
      </c>
      <c r="BY21" s="424">
        <v>2798012.0</v>
      </c>
      <c r="BZ21" s="232">
        <f>SUM(BV21:BY21)</f>
        <v>3829150</v>
      </c>
      <c r="CA21" s="423">
        <v>451069</v>
      </c>
      <c r="CB21" s="424">
        <v>3242120</v>
      </c>
      <c r="CC21" s="424">
        <v>0</v>
      </c>
      <c r="CD21" s="424">
        <v>3242120.0</v>
      </c>
      <c r="CE21" s="232">
        <f>SUM(CA21:CD21)</f>
        <v>3693189</v>
      </c>
      <c r="CF21" s="423">
        <v>132929</v>
      </c>
      <c r="CG21" s="424">
        <v>3167755</v>
      </c>
      <c r="CH21" s="424">
        <v>0</v>
      </c>
      <c r="CI21" s="424">
        <v>3167755.0</v>
      </c>
      <c r="CJ21" s="232">
        <f>SUM(CF21:CI21)</f>
        <v>3300684</v>
      </c>
      <c r="CK21" s="423">
        <v>545273</v>
      </c>
      <c r="CL21" s="424">
        <v>2209602</v>
      </c>
      <c r="CM21" s="424">
        <v>0</v>
      </c>
      <c r="CN21" s="424">
        <v>2209602.0</v>
      </c>
      <c r="CO21" s="232">
        <f>SUM(CK21:CN21)</f>
        <v>2754875</v>
      </c>
      <c r="CP21" s="423">
        <v>224711</v>
      </c>
      <c r="CQ21" s="424">
        <v>4984428</v>
      </c>
      <c r="CR21" s="256">
        <v>0</v>
      </c>
      <c r="CS21" s="256">
        <v>4984428.0</v>
      </c>
      <c r="CT21" s="232">
        <f>SUM(CP21:CS21)</f>
        <v>5209139</v>
      </c>
      <c r="CU21" s="423">
        <v>1572293</v>
      </c>
      <c r="CV21" s="424">
        <v>2611555</v>
      </c>
      <c r="CW21" s="256">
        <v>0</v>
      </c>
      <c r="CX21" s="256">
        <v>2611555.0</v>
      </c>
      <c r="CY21" s="232">
        <f>SUM(CU21:CX21)</f>
        <v>4183848</v>
      </c>
      <c r="CZ21" s="423">
        <v>959943</v>
      </c>
      <c r="DA21" s="424">
        <v>0</v>
      </c>
      <c r="DB21" s="424">
        <v>0</v>
      </c>
      <c r="DC21" s="424">
        <v>3175759</v>
      </c>
      <c r="DD21" s="232">
        <f>SUM(CZ21:DC21)</f>
        <v>4135702</v>
      </c>
      <c r="DE21" s="423">
        <v>1822839</v>
      </c>
      <c r="DF21" s="424"/>
      <c r="DG21" s="424">
        <v>0.0</v>
      </c>
      <c r="DH21" s="424">
        <v>5302101</v>
      </c>
      <c r="DI21" s="232">
        <f>SUM(DE21:DH21)</f>
        <v>7124940</v>
      </c>
      <c r="DJ21" s="423">
        <v>1519787</v>
      </c>
      <c r="DK21" s="424">
        <v>0</v>
      </c>
      <c r="DL21" s="424">
        <v>0</v>
      </c>
      <c r="DM21" s="424">
        <v>6725955</v>
      </c>
      <c r="DN21" s="232">
        <f>SUM(DJ21:DM21)</f>
        <v>8245742</v>
      </c>
      <c r="DO21" s="423">
        <v>1881268</v>
      </c>
      <c r="DP21" s="424">
        <v>0</v>
      </c>
      <c r="DQ21" s="424">
        <v>2720929.37</v>
      </c>
      <c r="DR21" s="424">
        <v>6394174</v>
      </c>
      <c r="DS21" s="232">
        <f>SUM(DO21:DR21)</f>
        <v>10996371.370000001</v>
      </c>
      <c r="DT21" s="423">
        <v>1961664</v>
      </c>
      <c r="DU21" s="424"/>
      <c r="DV21" s="424">
        <v>3940995</v>
      </c>
      <c r="DW21" s="424">
        <v>4893718</v>
      </c>
      <c r="DX21" s="232">
        <f>SUM(DT21:DW21)</f>
        <v>10796377</v>
      </c>
      <c r="DY21" s="423">
        <v>1893679</v>
      </c>
      <c r="DZ21" s="424">
        <v>0</v>
      </c>
      <c r="EA21" s="424">
        <v>6136581</v>
      </c>
      <c r="EB21" s="424">
        <v>3949716</v>
      </c>
      <c r="EC21" s="232">
        <f>SUM(DY21:EB21)</f>
        <v>11979976</v>
      </c>
      <c r="ED21" s="210">
        <f>DY21+DT21+DO21+DJ21+DE21+CZ21+CU21+CP21+CK21+CF21+CA21+BV21</f>
        <v>13996593</v>
      </c>
      <c r="EE21" s="56">
        <f>DZ21+DU21+DP21+DK21+DF21+DA21+CV21+CQ21+CL21+CG21+CB21+BW21</f>
        <v>19013472</v>
      </c>
      <c r="EF21" s="56">
        <f>EA21+DV21+DQ21+DL21+DG21+DB21+CW21+CR21+CM21+CH21+CC21+BX21</f>
        <v>12798505.370000001</v>
      </c>
      <c r="EG21" s="56">
        <f>EB21+DW21+DR21+DM21+DH21+DC21+CX21+CS21+CN21+CI21+CD21+BY21</f>
        <v>30441423</v>
      </c>
      <c r="EH21" s="358">
        <f>SUM(ED21:EG21)</f>
        <v>76249993.370000005</v>
      </c>
      <c r="EI21" s="423">
        <v>1673143</v>
      </c>
      <c r="EJ21" s="424">
        <v>0</v>
      </c>
      <c r="EK21" s="424">
        <v>3559664</v>
      </c>
      <c r="EL21" s="424">
        <v>2263454</v>
      </c>
      <c r="EM21" s="358">
        <f>SUM(EI21:EL21)</f>
        <v>7496261</v>
      </c>
      <c r="EN21" s="255">
        <v>1645297.0</v>
      </c>
      <c r="EO21" s="256"/>
      <c r="EP21" s="256">
        <v>7076690.0</v>
      </c>
      <c r="EQ21" s="256">
        <v>3148441.0</v>
      </c>
      <c r="ER21" s="257"/>
      <c r="ES21" s="255">
        <v>964046.0</v>
      </c>
      <c r="ET21" s="256"/>
      <c r="EU21" s="256">
        <v>6204521.0</v>
      </c>
      <c r="EV21" s="256">
        <v>2647762.0</v>
      </c>
      <c r="EW21" s="257"/>
      <c r="EX21" s="255">
        <v>1598044.0</v>
      </c>
      <c r="EY21" s="256"/>
      <c r="EZ21" s="256">
        <v>8723482.0</v>
      </c>
      <c r="FA21" s="256">
        <v>3034805.0</v>
      </c>
      <c r="FB21" s="257"/>
      <c r="FC21" s="255">
        <v>2577110.0</v>
      </c>
      <c r="FD21" s="256"/>
      <c r="FE21" s="256">
        <v>11960382.0</v>
      </c>
      <c r="FF21" s="256">
        <v>4831496.0</v>
      </c>
      <c r="FG21" s="257"/>
    </row>
    <row r="22" spans="2:163" ht="13.9" customHeight="1" thickBot="1">
      <c r="B22" s="187"/>
      <c r="C22" s="44"/>
      <c r="I22" s="44"/>
      <c r="J22" s="44"/>
      <c r="K22" s="44"/>
      <c r="L22" s="44"/>
      <c r="BV22" s="44"/>
      <c r="BW22" s="44"/>
      <c r="BX22" s="44"/>
      <c r="BY22" s="44"/>
      <c r="ED22" s="32"/>
      <c r="EE22" s="32"/>
      <c r="EF22" s="32"/>
      <c r="EG22" s="32"/>
    </row>
    <row r="23" spans="2:163">
      <c r="B23" s="406" t="s">
        <v>109</v>
      </c>
      <c r="C23" s="407" t="s">
        <v>1</v>
      </c>
      <c r="D23" s="408" t="s">
        <v>168</v>
      </c>
      <c r="E23" s="410" t="s">
        <v>166</v>
      </c>
      <c r="F23" s="409" t="s">
        <v>167</v>
      </c>
      <c r="G23" s="416"/>
      <c r="H23" s="416"/>
      <c r="BP23" s="416"/>
      <c r="ED23" s="32"/>
      <c r="EE23" s="32"/>
      <c r="EF23" s="32"/>
      <c r="EG23" s="32"/>
    </row>
    <row r="24" spans="2:163">
      <c r="B24" s="204">
        <v>1</v>
      </c>
      <c r="C24" s="217" t="s">
        <v>107</v>
      </c>
      <c r="D24" s="205"/>
      <c r="E24" s="205"/>
      <c r="F24" s="223"/>
      <c r="G24" s="411"/>
      <c r="H24" s="411"/>
      <c r="BP24" s="411"/>
    </row>
    <row r="25" spans="2:163">
      <c r="B25" s="201">
        <f>B24+1</f>
        <v>2</v>
      </c>
      <c r="C25" s="218" t="s">
        <v>108</v>
      </c>
      <c r="D25" s="206"/>
      <c r="E25" s="206"/>
      <c r="F25" s="224"/>
      <c r="G25" s="412"/>
      <c r="H25" s="412"/>
      <c r="BP25" s="412"/>
    </row>
    <row r="26" spans="2:163">
      <c r="B26" s="201">
        <f t="shared" ref="B26:B28" si="9">B25+1</f>
        <v>3</v>
      </c>
      <c r="C26" s="218" t="s">
        <v>110</v>
      </c>
      <c r="D26" s="207"/>
      <c r="E26" s="207"/>
      <c r="F26" s="225"/>
      <c r="G26" s="413"/>
      <c r="H26" s="413"/>
      <c r="BP26" s="413"/>
    </row>
    <row r="27" spans="2:163">
      <c r="B27" s="201">
        <f t="shared" si="9"/>
        <v>4</v>
      </c>
      <c r="C27" s="219" t="s">
        <v>112</v>
      </c>
      <c r="D27" s="227"/>
      <c r="E27" s="227"/>
      <c r="F27" s="228"/>
      <c r="G27" s="414"/>
      <c r="H27" s="414"/>
      <c r="BP27" s="414"/>
    </row>
    <row r="28" spans="2:163">
      <c r="B28" s="201">
        <f t="shared" si="9"/>
        <v>5</v>
      </c>
      <c r="C28" s="219" t="s">
        <v>252</v>
      </c>
      <c r="D28" s="227">
        <f>SUM(D29:D31)</f>
        <v>0</v>
      </c>
      <c r="E28" s="227">
        <f t="shared" ref="E28:F28" si="10">SUM(E29:E31)</f>
        <v>0</v>
      </c>
      <c r="F28" s="228">
        <f t="shared" si="10"/>
        <v>0</v>
      </c>
      <c r="G28" s="414"/>
      <c r="H28" s="414"/>
      <c r="BP28" s="414"/>
    </row>
    <row r="29" spans="2:163" outlineLevel="1">
      <c r="B29" s="203"/>
      <c r="C29" s="515" t="s">
        <v>253</v>
      </c>
      <c r="D29" s="227"/>
      <c r="E29" s="227"/>
      <c r="F29" s="228"/>
      <c r="G29" s="414"/>
      <c r="H29" s="414"/>
      <c r="BP29" s="414"/>
    </row>
    <row r="30" spans="2:163" outlineLevel="1">
      <c r="B30" s="203"/>
      <c r="C30" s="219"/>
      <c r="D30" s="227"/>
      <c r="E30" s="227"/>
      <c r="F30" s="228"/>
      <c r="G30" s="414"/>
      <c r="H30" s="414"/>
      <c r="BP30" s="414"/>
    </row>
    <row r="31" spans="2:163" outlineLevel="1">
      <c r="B31" s="203"/>
      <c r="C31" s="219"/>
      <c r="D31" s="227"/>
      <c r="E31" s="227"/>
      <c r="F31" s="228"/>
      <c r="G31" s="414"/>
      <c r="H31" s="414"/>
      <c r="BP31" s="414"/>
    </row>
    <row r="32" spans="2:163">
      <c r="B32" s="201">
        <f>B28+1</f>
        <v>6</v>
      </c>
      <c r="C32" s="218" t="s">
        <v>254</v>
      </c>
      <c r="D32" s="206"/>
      <c r="E32" s="206"/>
      <c r="F32" s="224"/>
      <c r="G32" s="412"/>
      <c r="H32" s="412"/>
      <c r="BP32" s="412"/>
    </row>
    <row r="33" spans="2:68">
      <c r="B33" s="201">
        <f>B32+1</f>
        <v>7</v>
      </c>
      <c r="C33" s="218" t="s">
        <v>111</v>
      </c>
      <c r="D33" s="516"/>
      <c r="E33" s="516"/>
      <c r="F33" s="517"/>
      <c r="G33" s="412"/>
      <c r="H33" s="412"/>
      <c r="BP33" s="412"/>
    </row>
    <row r="34" spans="2:68" ht="15" thickBot="1">
      <c r="B34" s="202">
        <f>B33+1</f>
        <v>8</v>
      </c>
      <c r="C34" s="220" t="s">
        <v>139</v>
      </c>
      <c r="D34" s="208"/>
      <c r="E34" s="208"/>
      <c r="F34" s="226"/>
      <c r="G34" s="415"/>
      <c r="H34" s="415"/>
      <c r="BP34" s="415"/>
    </row>
    <row r="35" spans="2:68">
      <c r="B35" s="154"/>
    </row>
    <row r="36" spans="2:68">
      <c r="B36" s="153"/>
    </row>
    <row r="37" spans="2:68">
      <c r="B37" s="153"/>
    </row>
    <row r="38" spans="2:68">
      <c r="B38" s="1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5E5E-6996-40BC-B4E4-CD5862A4D583}">
  <dimension ref="B2:AC55"/>
  <sheetViews>
    <sheetView showGridLines="0" zoomScale="69" zoomScaleNormal="100" workbookViewId="0">
      <pane xSplit="3" ySplit="4" topLeftCell="H16" activePane="bottomRight" state="frozen"/>
      <selection pane="topRight" activeCell="D1" sqref="D1"/>
      <selection pane="bottomLeft" activeCell="A7" sqref="A7"/>
      <selection pane="bottomRight" activeCell="B25" sqref="A25:XFD47"/>
    </sheetView>
  </sheetViews>
  <sheetFormatPr defaultRowHeight="14.5" outlineLevelCol="1"/>
  <cols>
    <col min="1" max="1" width="3.36328125" customWidth="1"/>
    <col min="2" max="2" width="5.81640625" customWidth="1"/>
    <col min="3" max="3" width="31.7265625" customWidth="1"/>
    <col min="4" max="15" width="12.81640625" customWidth="1" outlineLevel="1"/>
    <col min="16" max="16" width="13.453125" customWidth="1"/>
    <col min="17" max="28" width="12.81640625" customWidth="1" outlineLevel="1"/>
    <col min="29" max="29" width="12.81640625" customWidth="1"/>
  </cols>
  <sheetData>
    <row r="2" spans="2:29" ht="18.5">
      <c r="B2" s="258" t="s">
        <v>172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</row>
    <row r="3" spans="2:29" ht="4.9000000000000004" customHeight="1" thickBot="1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2:29">
      <c r="B4" s="155" t="s">
        <v>0</v>
      </c>
      <c r="C4" s="156" t="s">
        <v>1</v>
      </c>
      <c r="D4" s="48" t="s">
        <v>14</v>
      </c>
      <c r="E4" s="49" t="s">
        <v>15</v>
      </c>
      <c r="F4" s="49" t="s">
        <v>16</v>
      </c>
      <c r="G4" s="49" t="s">
        <v>17</v>
      </c>
      <c r="H4" s="49" t="s">
        <v>18</v>
      </c>
      <c r="I4" s="49" t="s">
        <v>19</v>
      </c>
      <c r="J4" s="49" t="s">
        <v>20</v>
      </c>
      <c r="K4" s="49" t="s">
        <v>36</v>
      </c>
      <c r="L4" s="49" t="s">
        <v>37</v>
      </c>
      <c r="M4" s="49" t="s">
        <v>38</v>
      </c>
      <c r="N4" s="49" t="s">
        <v>39</v>
      </c>
      <c r="O4" s="185" t="s">
        <v>40</v>
      </c>
      <c r="P4" s="360" t="s">
        <v>147</v>
      </c>
      <c r="Q4" s="387" t="s">
        <v>148</v>
      </c>
      <c r="R4" s="391" t="s">
        <v>149</v>
      </c>
      <c r="S4" s="391" t="s">
        <v>150</v>
      </c>
      <c r="T4" s="391" t="s">
        <v>151</v>
      </c>
      <c r="U4" s="391" t="s">
        <v>152</v>
      </c>
      <c r="V4" s="391" t="s">
        <v>161</v>
      </c>
      <c r="W4" s="391" t="s">
        <v>154</v>
      </c>
      <c r="X4" s="391" t="s">
        <v>155</v>
      </c>
      <c r="Y4" s="391" t="s">
        <v>156</v>
      </c>
      <c r="Z4" s="391" t="s">
        <v>157</v>
      </c>
      <c r="AA4" s="391" t="s">
        <v>158</v>
      </c>
      <c r="AB4" s="391" t="s">
        <v>159</v>
      </c>
      <c r="AC4" s="386" t="s">
        <v>160</v>
      </c>
    </row>
    <row r="5" spans="2:29">
      <c r="B5" s="51"/>
      <c r="C5" s="52"/>
      <c r="D5" s="15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341"/>
      <c r="Q5" s="341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372"/>
    </row>
    <row r="6" spans="2:29">
      <c r="B6" s="248" t="s">
        <v>2</v>
      </c>
      <c r="C6" s="524" t="s">
        <v>115</v>
      </c>
      <c r="D6" s="244" t="str">
        <f>IFERROR(D9/D8,"-")</f>
        <v>-</v>
      </c>
      <c r="E6" s="245" t="str">
        <f t="shared" ref="E6:AC6" si="0">IFERROR(E9/E8,"-")</f>
        <v>-</v>
      </c>
      <c r="F6" s="245" t="str">
        <f t="shared" si="0"/>
        <v>-</v>
      </c>
      <c r="G6" s="245" t="str">
        <f t="shared" si="0"/>
        <v>-</v>
      </c>
      <c r="H6" s="245" t="str">
        <f t="shared" si="0"/>
        <v>-</v>
      </c>
      <c r="I6" s="245" t="str">
        <f t="shared" si="0"/>
        <v>-</v>
      </c>
      <c r="J6" s="245" t="str">
        <f t="shared" si="0"/>
        <v>-</v>
      </c>
      <c r="K6" s="245" t="str">
        <f t="shared" si="0"/>
        <v>-</v>
      </c>
      <c r="L6" s="245" t="str">
        <f t="shared" si="0"/>
        <v>-</v>
      </c>
      <c r="M6" s="247" t="str">
        <f t="shared" si="0"/>
        <v>-</v>
      </c>
      <c r="N6" s="247" t="str">
        <f t="shared" si="0"/>
        <v>-</v>
      </c>
      <c r="O6" s="247" t="str">
        <f t="shared" si="0"/>
        <v>-</v>
      </c>
      <c r="P6" s="526" t="str">
        <f t="shared" si="0"/>
        <v>-</v>
      </c>
      <c r="Q6" s="244" t="str">
        <f t="shared" si="0"/>
        <v>-</v>
      </c>
      <c r="R6" s="245" t="str">
        <f t="shared" si="0"/>
        <v>-</v>
      </c>
      <c r="S6" s="245" t="str">
        <f t="shared" si="0"/>
        <v>-</v>
      </c>
      <c r="T6" s="245" t="str">
        <f t="shared" si="0"/>
        <v>-</v>
      </c>
      <c r="U6" s="245" t="str">
        <f t="shared" si="0"/>
        <v>-</v>
      </c>
      <c r="V6" s="245" t="str">
        <f t="shared" si="0"/>
        <v>-</v>
      </c>
      <c r="W6" s="245" t="str">
        <f t="shared" si="0"/>
        <v>-</v>
      </c>
      <c r="X6" s="245" t="str">
        <f t="shared" si="0"/>
        <v>-</v>
      </c>
      <c r="Y6" s="245" t="str">
        <f t="shared" si="0"/>
        <v>-</v>
      </c>
      <c r="Z6" s="247" t="str">
        <f t="shared" si="0"/>
        <v>-</v>
      </c>
      <c r="AA6" s="247" t="str">
        <f t="shared" si="0"/>
        <v>-</v>
      </c>
      <c r="AB6" s="247" t="str">
        <f t="shared" si="0"/>
        <v>-</v>
      </c>
      <c r="AC6" s="526" t="str">
        <f t="shared" si="0"/>
        <v>-</v>
      </c>
    </row>
    <row r="7" spans="2:29">
      <c r="B7" s="240"/>
      <c r="C7" s="525" t="s">
        <v>256</v>
      </c>
      <c r="D7" s="15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364">
        <f>SUM(D7:O7)</f>
        <v>0</v>
      </c>
      <c r="Q7" s="341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527">
        <f>SUM(Q7:AB7)</f>
        <v>0</v>
      </c>
    </row>
    <row r="8" spans="2:29">
      <c r="B8" s="240"/>
      <c r="C8" s="525" t="s">
        <v>255</v>
      </c>
      <c r="D8" s="15">
        <v>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78.0</v>
      </c>
      <c r="P8" s="364">
        <f t="shared" ref="P8:P9" si="1">SUM(D8:O8)</f>
        <v>0</v>
      </c>
      <c r="Q8" s="341">
        <v>83.0</v>
      </c>
      <c r="R8" s="10">
        <v>83.0</v>
      </c>
      <c r="S8" s="10">
        <v>47.0</v>
      </c>
      <c r="T8" s="10">
        <v>74.0</v>
      </c>
      <c r="U8" s="10">
        <v>76.0</v>
      </c>
      <c r="V8" s="10">
        <v>96.0</v>
      </c>
      <c r="W8" s="10"/>
      <c r="X8" s="10"/>
      <c r="Y8" s="10"/>
      <c r="Z8" s="10"/>
      <c r="AA8" s="10"/>
      <c r="AB8" s="10"/>
      <c r="AC8" s="527">
        <f t="shared" ref="AC8:AC9" si="2">SUM(Q8:AB8)</f>
        <v>0</v>
      </c>
    </row>
    <row r="9" spans="2:29">
      <c r="B9" s="240"/>
      <c r="C9" s="525" t="s">
        <v>116</v>
      </c>
      <c r="D9" s="15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33.0</v>
      </c>
      <c r="P9" s="364">
        <f t="shared" si="1"/>
        <v>0</v>
      </c>
      <c r="Q9" s="341">
        <v>31.0</v>
      </c>
      <c r="R9" s="10">
        <v>53.0</v>
      </c>
      <c r="S9" s="10">
        <v>23.0</v>
      </c>
      <c r="T9" s="10">
        <v>41.0</v>
      </c>
      <c r="U9" s="10">
        <v>35.0</v>
      </c>
      <c r="V9" s="10">
        <v>52.0</v>
      </c>
      <c r="W9" s="10"/>
      <c r="X9" s="10"/>
      <c r="Y9" s="10"/>
      <c r="Z9" s="10"/>
      <c r="AA9" s="10"/>
      <c r="AB9" s="10"/>
      <c r="AC9" s="527">
        <f t="shared" si="2"/>
        <v>0</v>
      </c>
    </row>
    <row r="10" spans="2:29">
      <c r="B10" s="51"/>
      <c r="C10" s="52"/>
      <c r="D10" s="15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341"/>
      <c r="Q10" s="34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372"/>
    </row>
    <row r="11" spans="2:29" s="21" customFormat="1">
      <c r="B11" s="309" t="s">
        <v>3</v>
      </c>
      <c r="C11" s="310" t="s">
        <v>95</v>
      </c>
      <c r="D11" s="311">
        <v>0.0</v>
      </c>
      <c r="E11" s="312">
        <v>0.0</v>
      </c>
      <c r="F11" s="312">
        <v>0.0</v>
      </c>
      <c r="G11" s="312">
        <v>0.0</v>
      </c>
      <c r="H11" s="312">
        <v>0.0</v>
      </c>
      <c r="I11" s="312">
        <v>0.0</v>
      </c>
      <c r="J11" s="312">
        <v>0.0</v>
      </c>
      <c r="K11" s="312">
        <v>0.0</v>
      </c>
      <c r="L11" s="312">
        <v>0.0</v>
      </c>
      <c r="M11" s="312">
        <v>0.0</v>
      </c>
      <c r="N11" s="312">
        <v>0.0</v>
      </c>
      <c r="O11" s="312">
        <v>4.0</v>
      </c>
      <c r="P11" s="361">
        <f>SUM(D11:O11)</f>
        <v>0</v>
      </c>
      <c r="Q11" s="361">
        <v>4.0</v>
      </c>
      <c r="R11" s="312">
        <v>8.0</v>
      </c>
      <c r="S11" s="312">
        <v>8.0</v>
      </c>
      <c r="T11" s="312">
        <v>9.0</v>
      </c>
      <c r="U11" s="312">
        <v>7.0</v>
      </c>
      <c r="V11" s="312">
        <v>4.0</v>
      </c>
      <c r="W11" s="312"/>
      <c r="X11" s="312"/>
      <c r="Y11" s="312"/>
      <c r="Z11" s="312"/>
      <c r="AA11" s="312"/>
      <c r="AB11" s="312"/>
      <c r="AC11" s="538">
        <f>SUM(Q11:AB11)</f>
        <v>0</v>
      </c>
    </row>
    <row r="12" spans="2:29">
      <c r="B12" s="51"/>
      <c r="C12" s="52"/>
      <c r="D12" s="15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341"/>
      <c r="Q12" s="34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372"/>
    </row>
    <row r="13" spans="2:29" s="121" customFormat="1">
      <c r="B13" s="305" t="s">
        <v>4</v>
      </c>
      <c r="C13" s="306" t="s">
        <v>69</v>
      </c>
      <c r="D13" s="307" t="str">
        <f t="shared" ref="D13:AC13" si="3">IFERROR(D22/D11,"-")</f>
        <v>-</v>
      </c>
      <c r="E13" s="308" t="str">
        <f t="shared" si="3"/>
        <v>-</v>
      </c>
      <c r="F13" s="308" t="str">
        <f t="shared" si="3"/>
        <v>-</v>
      </c>
      <c r="G13" s="308" t="str">
        <f t="shared" si="3"/>
        <v>-</v>
      </c>
      <c r="H13" s="308" t="str">
        <f t="shared" si="3"/>
        <v>-</v>
      </c>
      <c r="I13" s="308" t="str">
        <f t="shared" si="3"/>
        <v>-</v>
      </c>
      <c r="J13" s="308" t="str">
        <f t="shared" si="3"/>
        <v>-</v>
      </c>
      <c r="K13" s="308" t="str">
        <f t="shared" si="3"/>
        <v>-</v>
      </c>
      <c r="L13" s="308" t="str">
        <f t="shared" si="3"/>
        <v>-</v>
      </c>
      <c r="M13" s="308" t="str">
        <f t="shared" si="3"/>
        <v>-</v>
      </c>
      <c r="N13" s="308" t="str">
        <f t="shared" si="3"/>
        <v>-</v>
      </c>
      <c r="O13" s="308" t="str">
        <f t="shared" si="3"/>
        <v>-</v>
      </c>
      <c r="P13" s="362" t="str">
        <f t="shared" si="3"/>
        <v>-</v>
      </c>
      <c r="Q13" s="362" t="str">
        <f t="shared" si="3"/>
        <v>-</v>
      </c>
      <c r="R13" s="308" t="str">
        <f t="shared" si="3"/>
        <v>-</v>
      </c>
      <c r="S13" s="308" t="str">
        <f t="shared" si="3"/>
        <v>-</v>
      </c>
      <c r="T13" s="308" t="str">
        <f t="shared" si="3"/>
        <v>-</v>
      </c>
      <c r="U13" s="308" t="str">
        <f t="shared" si="3"/>
        <v>-</v>
      </c>
      <c r="V13" s="308" t="str">
        <f t="shared" si="3"/>
        <v>-</v>
      </c>
      <c r="W13" s="308" t="str">
        <f t="shared" si="3"/>
        <v>-</v>
      </c>
      <c r="X13" s="308" t="str">
        <f t="shared" si="3"/>
        <v>-</v>
      </c>
      <c r="Y13" s="308" t="str">
        <f t="shared" si="3"/>
        <v>-</v>
      </c>
      <c r="Z13" s="308" t="str">
        <f t="shared" si="3"/>
        <v>-</v>
      </c>
      <c r="AA13" s="308" t="str">
        <f t="shared" si="3"/>
        <v>-</v>
      </c>
      <c r="AB13" s="308" t="str">
        <f t="shared" si="3"/>
        <v>-</v>
      </c>
      <c r="AC13" s="374" t="str">
        <f t="shared" si="3"/>
        <v>-</v>
      </c>
    </row>
    <row r="14" spans="2:29">
      <c r="B14" s="51"/>
      <c r="C14" s="52"/>
      <c r="D14" s="15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341"/>
      <c r="Q14" s="34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380"/>
    </row>
    <row r="15" spans="2:29">
      <c r="B15" s="248" t="s">
        <v>5</v>
      </c>
      <c r="C15" s="524" t="s">
        <v>263</v>
      </c>
      <c r="D15" s="244" t="str">
        <f>IFERROR(D17/D22,"-")</f>
        <v>-</v>
      </c>
      <c r="E15" s="245" t="str">
        <f t="shared" ref="E15:AC15" si="4">IFERROR(E17/E22,"-")</f>
        <v>-</v>
      </c>
      <c r="F15" s="245" t="str">
        <f t="shared" si="4"/>
        <v>-</v>
      </c>
      <c r="G15" s="247" t="str">
        <f t="shared" si="4"/>
        <v>-</v>
      </c>
      <c r="H15" s="245" t="str">
        <f t="shared" si="4"/>
        <v>-</v>
      </c>
      <c r="I15" s="245" t="str">
        <f t="shared" si="4"/>
        <v>-</v>
      </c>
      <c r="J15" s="245" t="str">
        <f t="shared" si="4"/>
        <v>-</v>
      </c>
      <c r="K15" s="247" t="str">
        <f t="shared" si="4"/>
        <v>-</v>
      </c>
      <c r="L15" s="245" t="str">
        <f t="shared" si="4"/>
        <v>-</v>
      </c>
      <c r="M15" s="245" t="str">
        <f t="shared" si="4"/>
        <v>-</v>
      </c>
      <c r="N15" s="245" t="str">
        <f t="shared" si="4"/>
        <v>-</v>
      </c>
      <c r="O15" s="247" t="str">
        <f t="shared" si="4"/>
        <v>-</v>
      </c>
      <c r="P15" s="361" t="str">
        <f t="shared" si="4"/>
        <v>-</v>
      </c>
      <c r="Q15" s="244">
        <f t="shared" si="4"/>
        <v>0</v>
      </c>
      <c r="R15" s="245" t="str">
        <f t="shared" si="4"/>
        <v>-</v>
      </c>
      <c r="S15" s="245" t="str">
        <f t="shared" si="4"/>
        <v>-</v>
      </c>
      <c r="T15" s="247" t="str">
        <f t="shared" si="4"/>
        <v>-</v>
      </c>
      <c r="U15" s="245" t="str">
        <f t="shared" si="4"/>
        <v>-</v>
      </c>
      <c r="V15" s="245" t="str">
        <f t="shared" si="4"/>
        <v>-</v>
      </c>
      <c r="W15" s="245" t="str">
        <f t="shared" si="4"/>
        <v>-</v>
      </c>
      <c r="X15" s="247" t="str">
        <f t="shared" si="4"/>
        <v>-</v>
      </c>
      <c r="Y15" s="245" t="str">
        <f t="shared" si="4"/>
        <v>-</v>
      </c>
      <c r="Z15" s="245" t="str">
        <f t="shared" si="4"/>
        <v>-</v>
      </c>
      <c r="AA15" s="245" t="str">
        <f t="shared" si="4"/>
        <v>-</v>
      </c>
      <c r="AB15" s="247" t="str">
        <f t="shared" si="4"/>
        <v>-</v>
      </c>
      <c r="AC15" s="373">
        <f t="shared" si="4"/>
        <v>0</v>
      </c>
    </row>
    <row r="16" spans="2:29">
      <c r="B16" s="157"/>
      <c r="C16" s="525" t="s">
        <v>264</v>
      </c>
      <c r="D16" s="59"/>
      <c r="E16" s="60"/>
      <c r="F16" s="60"/>
      <c r="G16" s="60"/>
      <c r="H16" s="60"/>
      <c r="I16" s="60"/>
      <c r="J16" s="60"/>
      <c r="K16" s="31"/>
      <c r="L16" s="83"/>
      <c r="M16" s="83"/>
      <c r="N16" s="83"/>
      <c r="O16" s="61"/>
      <c r="P16" s="364">
        <f>SUM(D16:O16)</f>
        <v>0</v>
      </c>
      <c r="Q16" s="59"/>
      <c r="R16" s="60"/>
      <c r="S16" s="60"/>
      <c r="T16" s="60"/>
      <c r="U16" s="60"/>
      <c r="V16" s="60"/>
      <c r="W16" s="60"/>
      <c r="X16" s="31"/>
      <c r="Y16" s="83"/>
      <c r="Z16" s="83"/>
      <c r="AA16" s="83"/>
      <c r="AB16" s="61"/>
      <c r="AC16" s="384">
        <f>SUM(Q16:AB16)</f>
        <v>0</v>
      </c>
    </row>
    <row r="17" spans="2:29">
      <c r="B17" s="157"/>
      <c r="C17" s="525" t="s">
        <v>265</v>
      </c>
      <c r="D17" s="59"/>
      <c r="E17" s="60"/>
      <c r="F17" s="60"/>
      <c r="G17" s="60"/>
      <c r="H17" s="60"/>
      <c r="I17" s="60"/>
      <c r="J17" s="60"/>
      <c r="K17" s="31"/>
      <c r="L17" s="83"/>
      <c r="M17" s="83"/>
      <c r="N17" s="83"/>
      <c r="O17" s="61"/>
      <c r="P17" s="364">
        <f>SUM(D17:O17)</f>
        <v>0</v>
      </c>
      <c r="Q17" s="59"/>
      <c r="R17" s="60"/>
      <c r="S17" s="60"/>
      <c r="T17" s="60"/>
      <c r="U17" s="60"/>
      <c r="V17" s="60"/>
      <c r="W17" s="60"/>
      <c r="X17" s="31"/>
      <c r="Y17" s="83"/>
      <c r="Z17" s="83"/>
      <c r="AA17" s="83"/>
      <c r="AB17" s="61"/>
      <c r="AC17" s="527">
        <f>SUM(Q17:AB17)</f>
        <v>0</v>
      </c>
    </row>
    <row r="18" spans="2:29">
      <c r="B18" s="532"/>
      <c r="C18" s="533"/>
      <c r="D18" s="534"/>
      <c r="E18" s="535"/>
      <c r="F18" s="535"/>
      <c r="G18" s="535"/>
      <c r="H18" s="535"/>
      <c r="I18" s="535"/>
      <c r="J18" s="535"/>
      <c r="K18" s="535"/>
      <c r="L18" s="535"/>
      <c r="M18" s="535"/>
      <c r="N18" s="535"/>
      <c r="O18" s="535"/>
      <c r="P18" s="341"/>
      <c r="Q18" s="536"/>
      <c r="R18" s="535"/>
      <c r="S18" s="535"/>
      <c r="T18" s="535"/>
      <c r="U18" s="535"/>
      <c r="V18" s="535"/>
      <c r="W18" s="535"/>
      <c r="X18" s="535"/>
      <c r="Y18" s="535"/>
      <c r="Z18" s="535"/>
      <c r="AA18" s="535"/>
      <c r="AB18" s="535"/>
      <c r="AC18" s="372"/>
    </row>
    <row r="19" spans="2:29">
      <c r="B19" s="248" t="s">
        <v>6</v>
      </c>
      <c r="C19" s="524" t="s">
        <v>268</v>
      </c>
      <c r="D19" s="540">
        <v>0</v>
      </c>
      <c r="E19" s="541">
        <v>0</v>
      </c>
      <c r="F19" s="541">
        <v>0</v>
      </c>
      <c r="G19" s="542">
        <v>0</v>
      </c>
      <c r="H19" s="541">
        <v>0</v>
      </c>
      <c r="I19" s="541">
        <v>0</v>
      </c>
      <c r="J19" s="541">
        <v>0</v>
      </c>
      <c r="K19" s="542">
        <v>0</v>
      </c>
      <c r="L19" s="541">
        <v>0</v>
      </c>
      <c r="M19" s="541">
        <v>0</v>
      </c>
      <c r="N19" s="541">
        <v>0</v>
      </c>
      <c r="O19" s="542">
        <v>0</v>
      </c>
      <c r="P19" s="361">
        <f>SUM(D19:O19)</f>
        <v>0</v>
      </c>
      <c r="Q19" s="540"/>
      <c r="R19" s="541"/>
      <c r="S19" s="541"/>
      <c r="T19" s="542"/>
      <c r="U19" s="541"/>
      <c r="V19" s="541"/>
      <c r="W19" s="541"/>
      <c r="X19" s="542"/>
      <c r="Y19" s="541"/>
      <c r="Z19" s="541"/>
      <c r="AA19" s="541"/>
      <c r="AB19" s="542"/>
      <c r="AC19" s="538">
        <f>SUM(Q19:AB19)</f>
        <v>0</v>
      </c>
    </row>
    <row r="20" spans="2:29">
      <c r="B20" s="68"/>
      <c r="C20" s="73" t="s">
        <v>267</v>
      </c>
      <c r="D20" s="74" t="str">
        <f>IFERROR(D19/D22,"-")</f>
        <v>-</v>
      </c>
      <c r="E20" s="75" t="str">
        <f t="shared" ref="E20:AC20" si="5">IFERROR(E19/E22,"-")</f>
        <v>-</v>
      </c>
      <c r="F20" s="75" t="str">
        <f t="shared" si="5"/>
        <v>-</v>
      </c>
      <c r="G20" s="75" t="str">
        <f t="shared" si="5"/>
        <v>-</v>
      </c>
      <c r="H20" s="75" t="str">
        <f t="shared" si="5"/>
        <v>-</v>
      </c>
      <c r="I20" s="75" t="str">
        <f t="shared" si="5"/>
        <v>-</v>
      </c>
      <c r="J20" s="75" t="str">
        <f t="shared" si="5"/>
        <v>-</v>
      </c>
      <c r="K20" s="75" t="str">
        <f t="shared" si="5"/>
        <v>-</v>
      </c>
      <c r="L20" s="75" t="str">
        <f t="shared" si="5"/>
        <v>-</v>
      </c>
      <c r="M20" s="75" t="str">
        <f t="shared" si="5"/>
        <v>-</v>
      </c>
      <c r="N20" s="75" t="str">
        <f t="shared" si="5"/>
        <v>-</v>
      </c>
      <c r="O20" s="75" t="str">
        <f t="shared" si="5"/>
        <v>-</v>
      </c>
      <c r="P20" s="368" t="str">
        <f t="shared" si="5"/>
        <v>-</v>
      </c>
      <c r="Q20" s="368">
        <f t="shared" si="5"/>
        <v>0</v>
      </c>
      <c r="R20" s="75" t="str">
        <f t="shared" si="5"/>
        <v>-</v>
      </c>
      <c r="S20" s="75" t="str">
        <f t="shared" si="5"/>
        <v>-</v>
      </c>
      <c r="T20" s="75" t="str">
        <f t="shared" si="5"/>
        <v>-</v>
      </c>
      <c r="U20" s="75" t="str">
        <f t="shared" si="5"/>
        <v>-</v>
      </c>
      <c r="V20" s="75" t="str">
        <f t="shared" si="5"/>
        <v>-</v>
      </c>
      <c r="W20" s="75" t="str">
        <f t="shared" si="5"/>
        <v>-</v>
      </c>
      <c r="X20" s="75" t="str">
        <f t="shared" si="5"/>
        <v>-</v>
      </c>
      <c r="Y20" s="75" t="str">
        <f t="shared" si="5"/>
        <v>-</v>
      </c>
      <c r="Z20" s="75" t="str">
        <f t="shared" si="5"/>
        <v>-</v>
      </c>
      <c r="AA20" s="75" t="str">
        <f t="shared" si="5"/>
        <v>-</v>
      </c>
      <c r="AB20" s="75" t="str">
        <f t="shared" si="5"/>
        <v>-</v>
      </c>
      <c r="AC20" s="382">
        <f t="shared" si="5"/>
        <v>0</v>
      </c>
    </row>
    <row r="21" spans="2:29">
      <c r="B21" s="532"/>
      <c r="C21" s="533"/>
      <c r="D21" s="534"/>
      <c r="E21" s="535"/>
      <c r="F21" s="535"/>
      <c r="G21" s="535"/>
      <c r="H21" s="535"/>
      <c r="I21" s="535"/>
      <c r="J21" s="535"/>
      <c r="K21" s="535"/>
      <c r="L21" s="535"/>
      <c r="M21" s="535"/>
      <c r="N21" s="535"/>
      <c r="O21" s="535"/>
      <c r="P21" s="341"/>
      <c r="Q21" s="536"/>
      <c r="R21" s="535"/>
      <c r="S21" s="535"/>
      <c r="T21" s="535"/>
      <c r="U21" s="535"/>
      <c r="V21" s="535"/>
      <c r="W21" s="535"/>
      <c r="X21" s="535"/>
      <c r="Y21" s="535"/>
      <c r="Z21" s="535"/>
      <c r="AA21" s="535"/>
      <c r="AB21" s="535"/>
      <c r="AC21" s="537"/>
    </row>
    <row r="22" spans="2:29">
      <c r="B22" s="53" t="s">
        <v>7</v>
      </c>
      <c r="C22" s="54" t="s">
        <v>71</v>
      </c>
      <c r="D22" s="55">
        <f t="shared" ref="D22:AC22" si="6">SUM(D23:D23)</f>
        <v>0</v>
      </c>
      <c r="E22" s="56">
        <f t="shared" si="6"/>
        <v>0</v>
      </c>
      <c r="F22" s="56">
        <f t="shared" si="6"/>
        <v>0</v>
      </c>
      <c r="G22" s="56">
        <f t="shared" si="6"/>
        <v>0</v>
      </c>
      <c r="H22" s="56">
        <f t="shared" si="6"/>
        <v>0</v>
      </c>
      <c r="I22" s="56">
        <f t="shared" si="6"/>
        <v>0</v>
      </c>
      <c r="J22" s="56">
        <f t="shared" si="6"/>
        <v>0</v>
      </c>
      <c r="K22" s="56">
        <f t="shared" si="6"/>
        <v>0</v>
      </c>
      <c r="L22" s="56">
        <f t="shared" si="6"/>
        <v>0</v>
      </c>
      <c r="M22" s="56">
        <f t="shared" si="6"/>
        <v>0</v>
      </c>
      <c r="N22" s="56">
        <f t="shared" si="6"/>
        <v>0</v>
      </c>
      <c r="O22" s="56">
        <f t="shared" si="6"/>
        <v>0</v>
      </c>
      <c r="P22" s="363">
        <f t="shared" si="6"/>
        <v>0</v>
      </c>
      <c r="Q22" s="210">
        <f t="shared" si="6"/>
        <v>480416.75</v>
      </c>
      <c r="R22" s="56">
        <f t="shared" si="6"/>
        <v>0</v>
      </c>
      <c r="S22" s="56">
        <f t="shared" si="6"/>
        <v>0</v>
      </c>
      <c r="T22" s="56">
        <f t="shared" si="6"/>
        <v>0</v>
      </c>
      <c r="U22" s="56">
        <f t="shared" si="6"/>
        <v>0</v>
      </c>
      <c r="V22" s="56">
        <f t="shared" si="6"/>
        <v>0</v>
      </c>
      <c r="W22" s="56">
        <f t="shared" si="6"/>
        <v>0</v>
      </c>
      <c r="X22" s="56">
        <f t="shared" si="6"/>
        <v>0</v>
      </c>
      <c r="Y22" s="56">
        <f t="shared" si="6"/>
        <v>0</v>
      </c>
      <c r="Z22" s="56">
        <f t="shared" si="6"/>
        <v>0</v>
      </c>
      <c r="AA22" s="56">
        <f t="shared" si="6"/>
        <v>0</v>
      </c>
      <c r="AB22" s="56">
        <f t="shared" si="6"/>
        <v>0</v>
      </c>
      <c r="AC22" s="375">
        <f t="shared" si="6"/>
        <v>480416.75</v>
      </c>
    </row>
    <row r="23" spans="2:29">
      <c r="B23" s="57"/>
      <c r="C23" s="58" t="s">
        <v>72</v>
      </c>
      <c r="D23" s="59">
        <v>0.0</v>
      </c>
      <c r="E23" s="60">
        <v>0.0</v>
      </c>
      <c r="F23" s="60">
        <v>0.0</v>
      </c>
      <c r="G23" s="60">
        <v>0.0</v>
      </c>
      <c r="H23" s="60">
        <v>0.0</v>
      </c>
      <c r="I23" s="60">
        <v>0.0</v>
      </c>
      <c r="J23" s="60">
        <v>0.0</v>
      </c>
      <c r="K23" s="31">
        <v>0.0</v>
      </c>
      <c r="L23" s="83">
        <v>0.0</v>
      </c>
      <c r="M23" s="83">
        <v>0.0</v>
      </c>
      <c r="N23" s="83">
        <v>0.0</v>
      </c>
      <c r="O23" s="61">
        <v>483393.0</v>
      </c>
      <c r="P23" s="364">
        <f>SUM(D23:O23)</f>
        <v>0</v>
      </c>
      <c r="Q23" s="388">
        <v>480416.75</v>
      </c>
      <c r="R23" s="83">
        <v>943168.0</v>
      </c>
      <c r="S23" s="83">
        <v>706660.0</v>
      </c>
      <c r="T23" s="83">
        <v>1135596.0</v>
      </c>
      <c r="U23" s="83">
        <v>776398.0</v>
      </c>
      <c r="V23" s="83">
        <v>382590.0</v>
      </c>
      <c r="W23" s="83"/>
      <c r="X23" s="83"/>
      <c r="Y23" s="83"/>
      <c r="Z23" s="83"/>
      <c r="AA23" s="83"/>
      <c r="AB23" s="83"/>
      <c r="AC23" s="376">
        <f>Q23</f>
        <v>480416.75</v>
      </c>
    </row>
    <row r="24" spans="2:29">
      <c r="B24" s="62"/>
      <c r="C24" s="58"/>
      <c r="D24" s="63"/>
      <c r="E24" s="64"/>
      <c r="F24" s="64"/>
      <c r="G24" s="64"/>
      <c r="H24" s="64"/>
      <c r="I24" s="64"/>
      <c r="J24" s="64"/>
      <c r="K24" s="64"/>
      <c r="L24" s="64"/>
      <c r="M24" s="64"/>
      <c r="N24" s="332"/>
      <c r="O24" s="64"/>
      <c r="P24" s="365"/>
      <c r="Q24" s="389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77"/>
    </row>
    <row r="25" spans="2:29" hidden="1">
      <c r="B25" s="62" t="s">
        <v>8</v>
      </c>
      <c r="C25" s="65" t="s">
        <v>23</v>
      </c>
      <c r="D25" s="66">
        <f>SUM(D26:D28)</f>
        <v>0</v>
      </c>
      <c r="E25" s="67">
        <f t="shared" ref="E25:P25" si="7">SUM(E26:E28)</f>
        <v>0</v>
      </c>
      <c r="F25" s="67">
        <f t="shared" si="7"/>
        <v>0</v>
      </c>
      <c r="G25" s="67">
        <f t="shared" si="7"/>
        <v>0</v>
      </c>
      <c r="H25" s="67">
        <f t="shared" si="7"/>
        <v>0</v>
      </c>
      <c r="I25" s="67">
        <f t="shared" si="7"/>
        <v>0</v>
      </c>
      <c r="J25" s="67">
        <f t="shared" si="7"/>
        <v>0</v>
      </c>
      <c r="K25" s="67">
        <f t="shared" si="7"/>
        <v>0</v>
      </c>
      <c r="L25" s="67">
        <f t="shared" si="7"/>
        <v>0</v>
      </c>
      <c r="M25" s="67">
        <f t="shared" si="7"/>
        <v>0</v>
      </c>
      <c r="N25" s="67">
        <f t="shared" si="7"/>
        <v>0</v>
      </c>
      <c r="O25" s="67">
        <f t="shared" si="7"/>
        <v>0</v>
      </c>
      <c r="P25" s="366">
        <f t="shared" si="7"/>
        <v>0</v>
      </c>
      <c r="Q25" s="212">
        <f t="shared" ref="Q25:R25" si="8">SUM(Q26:Q28)</f>
        <v>307997</v>
      </c>
      <c r="R25" s="67">
        <f t="shared" si="8"/>
        <v>0</v>
      </c>
      <c r="S25" s="67">
        <f t="shared" ref="S25:AB25" si="9">SUM(S26:S28)</f>
        <v>0</v>
      </c>
      <c r="T25" s="67">
        <f t="shared" si="9"/>
        <v>0</v>
      </c>
      <c r="U25" s="67">
        <f t="shared" si="9"/>
        <v>0</v>
      </c>
      <c r="V25" s="67">
        <f t="shared" si="9"/>
        <v>0</v>
      </c>
      <c r="W25" s="67">
        <f t="shared" si="9"/>
        <v>0</v>
      </c>
      <c r="X25" s="67">
        <f t="shared" si="9"/>
        <v>0</v>
      </c>
      <c r="Y25" s="67">
        <f t="shared" si="9"/>
        <v>0</v>
      </c>
      <c r="Z25" s="67">
        <f t="shared" si="9"/>
        <v>0</v>
      </c>
      <c r="AA25" s="67">
        <f t="shared" si="9"/>
        <v>0</v>
      </c>
      <c r="AB25" s="67">
        <f t="shared" si="9"/>
        <v>0</v>
      </c>
      <c r="AC25" s="378">
        <f t="shared" ref="AC25" si="10">SUM(AC26:AC28)</f>
        <v>307997</v>
      </c>
    </row>
    <row r="26" spans="2:29" hidden="1">
      <c r="B26" s="68"/>
      <c r="C26" s="69" t="s">
        <v>73</v>
      </c>
      <c r="D26" s="12"/>
      <c r="E26" s="2"/>
      <c r="F26" s="2"/>
      <c r="G26" s="2"/>
      <c r="H26" s="2"/>
      <c r="I26" s="2"/>
      <c r="J26" s="2"/>
      <c r="K26" s="2"/>
      <c r="L26" s="17"/>
      <c r="M26" s="2"/>
      <c r="N26" s="2"/>
      <c r="O26" s="2"/>
      <c r="P26" s="364">
        <f t="shared" ref="P26:P28" si="11">SUM(D26:O26)</f>
        <v>0</v>
      </c>
      <c r="Q26" s="213">
        <v>307997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379">
        <f>Q26</f>
        <v>307997</v>
      </c>
    </row>
    <row r="27" spans="2:29" hidden="1">
      <c r="B27" s="68"/>
      <c r="C27" s="69" t="s">
        <v>33</v>
      </c>
      <c r="D27" s="12"/>
      <c r="E27" s="2"/>
      <c r="F27" s="2"/>
      <c r="G27" s="2"/>
      <c r="H27" s="2"/>
      <c r="I27" s="2"/>
      <c r="J27" s="2"/>
      <c r="K27" s="2"/>
      <c r="L27" s="17"/>
      <c r="M27" s="2"/>
      <c r="N27" s="2"/>
      <c r="O27" s="2"/>
      <c r="P27" s="364">
        <f t="shared" si="11"/>
        <v>0</v>
      </c>
      <c r="Q27" s="213">
        <v>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379">
        <f t="shared" ref="AC27:AC28" si="12">Q27</f>
        <v>0</v>
      </c>
    </row>
    <row r="28" spans="2:29" hidden="1">
      <c r="B28" s="68"/>
      <c r="C28" s="69" t="s">
        <v>30</v>
      </c>
      <c r="D28" s="12"/>
      <c r="E28" s="2"/>
      <c r="F28" s="2"/>
      <c r="G28" s="2"/>
      <c r="H28" s="2"/>
      <c r="I28" s="2"/>
      <c r="J28" s="2"/>
      <c r="K28" s="2"/>
      <c r="L28" s="17"/>
      <c r="M28" s="2"/>
      <c r="N28" s="2"/>
      <c r="O28" s="2"/>
      <c r="P28" s="364">
        <f t="shared" si="11"/>
        <v>0</v>
      </c>
      <c r="Q28" s="213">
        <v>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379">
        <f t="shared" si="12"/>
        <v>0</v>
      </c>
    </row>
    <row r="29" spans="2:29" hidden="1">
      <c r="B29" s="68"/>
      <c r="C29" s="70"/>
      <c r="D29" s="1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367"/>
      <c r="Q29" s="21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380"/>
    </row>
    <row r="30" spans="2:29" hidden="1">
      <c r="B30" s="71" t="s">
        <v>9</v>
      </c>
      <c r="C30" s="72" t="s">
        <v>24</v>
      </c>
      <c r="D30" s="14">
        <f t="shared" ref="D30:AC30" si="13">D22-D25</f>
        <v>0</v>
      </c>
      <c r="E30" s="8">
        <f t="shared" si="13"/>
        <v>0</v>
      </c>
      <c r="F30" s="8">
        <f t="shared" si="13"/>
        <v>0</v>
      </c>
      <c r="G30" s="8">
        <f t="shared" si="13"/>
        <v>0</v>
      </c>
      <c r="H30" s="8">
        <f t="shared" si="13"/>
        <v>0</v>
      </c>
      <c r="I30" s="8">
        <f t="shared" si="13"/>
        <v>0</v>
      </c>
      <c r="J30" s="8">
        <f t="shared" si="13"/>
        <v>0</v>
      </c>
      <c r="K30" s="8">
        <f t="shared" si="13"/>
        <v>0</v>
      </c>
      <c r="L30" s="8">
        <f t="shared" si="13"/>
        <v>0</v>
      </c>
      <c r="M30" s="8">
        <f t="shared" si="13"/>
        <v>0</v>
      </c>
      <c r="N30" s="8">
        <f t="shared" si="13"/>
        <v>0</v>
      </c>
      <c r="O30" s="8">
        <f t="shared" si="13"/>
        <v>0</v>
      </c>
      <c r="P30" s="188">
        <f t="shared" si="13"/>
        <v>0</v>
      </c>
      <c r="Q30" s="188">
        <f t="shared" si="13"/>
        <v>172419.75</v>
      </c>
      <c r="R30" s="8">
        <f t="shared" si="13"/>
        <v>0</v>
      </c>
      <c r="S30" s="8">
        <f t="shared" si="13"/>
        <v>0</v>
      </c>
      <c r="T30" s="8">
        <f t="shared" si="13"/>
        <v>0</v>
      </c>
      <c r="U30" s="8">
        <f t="shared" si="13"/>
        <v>0</v>
      </c>
      <c r="V30" s="8">
        <f t="shared" si="13"/>
        <v>0</v>
      </c>
      <c r="W30" s="8">
        <f t="shared" si="13"/>
        <v>0</v>
      </c>
      <c r="X30" s="8">
        <f t="shared" si="13"/>
        <v>0</v>
      </c>
      <c r="Y30" s="8">
        <f t="shared" si="13"/>
        <v>0</v>
      </c>
      <c r="Z30" s="8">
        <f t="shared" si="13"/>
        <v>0</v>
      </c>
      <c r="AA30" s="8">
        <f t="shared" si="13"/>
        <v>0</v>
      </c>
      <c r="AB30" s="8">
        <f t="shared" si="13"/>
        <v>0</v>
      </c>
      <c r="AC30" s="381">
        <f t="shared" si="13"/>
        <v>172419.75</v>
      </c>
    </row>
    <row r="31" spans="2:29" hidden="1">
      <c r="B31" s="68"/>
      <c r="C31" s="73" t="s">
        <v>25</v>
      </c>
      <c r="D31" s="74" t="str">
        <f t="shared" ref="D31:O31" si="14">IFERROR(D30/D$22,"-")</f>
        <v>-</v>
      </c>
      <c r="E31" s="75" t="str">
        <f t="shared" si="14"/>
        <v>-</v>
      </c>
      <c r="F31" s="75" t="str">
        <f t="shared" si="14"/>
        <v>-</v>
      </c>
      <c r="G31" s="75" t="str">
        <f t="shared" si="14"/>
        <v>-</v>
      </c>
      <c r="H31" s="75" t="str">
        <f t="shared" si="14"/>
        <v>-</v>
      </c>
      <c r="I31" s="75" t="str">
        <f t="shared" si="14"/>
        <v>-</v>
      </c>
      <c r="J31" s="75" t="str">
        <f t="shared" si="14"/>
        <v>-</v>
      </c>
      <c r="K31" s="75" t="str">
        <f t="shared" si="14"/>
        <v>-</v>
      </c>
      <c r="L31" s="75" t="str">
        <f t="shared" si="14"/>
        <v>-</v>
      </c>
      <c r="M31" s="75" t="str">
        <f t="shared" si="14"/>
        <v>-</v>
      </c>
      <c r="N31" s="75" t="str">
        <f t="shared" si="14"/>
        <v>-</v>
      </c>
      <c r="O31" s="75" t="str">
        <f t="shared" si="14"/>
        <v>-</v>
      </c>
      <c r="P31" s="368" t="str">
        <f t="shared" ref="P31:Q31" si="15">IFERROR(P30/P$22,"-")</f>
        <v>-</v>
      </c>
      <c r="Q31" s="368">
        <f t="shared" si="15"/>
        <v>0.35889620834410957</v>
      </c>
      <c r="R31" s="75" t="str">
        <f t="shared" ref="R31:AC31" si="16">IFERROR(R30/R$22,"-")</f>
        <v>-</v>
      </c>
      <c r="S31" s="75" t="str">
        <f t="shared" ref="S31:AB31" si="17">IFERROR(S30/S$22,"-")</f>
        <v>-</v>
      </c>
      <c r="T31" s="75" t="str">
        <f t="shared" si="17"/>
        <v>-</v>
      </c>
      <c r="U31" s="75" t="str">
        <f t="shared" si="17"/>
        <v>-</v>
      </c>
      <c r="V31" s="75" t="str">
        <f t="shared" si="17"/>
        <v>-</v>
      </c>
      <c r="W31" s="75" t="str">
        <f t="shared" si="17"/>
        <v>-</v>
      </c>
      <c r="X31" s="75" t="str">
        <f t="shared" si="17"/>
        <v>-</v>
      </c>
      <c r="Y31" s="75" t="str">
        <f t="shared" si="17"/>
        <v>-</v>
      </c>
      <c r="Z31" s="75" t="str">
        <f t="shared" si="17"/>
        <v>-</v>
      </c>
      <c r="AA31" s="75" t="str">
        <f t="shared" si="17"/>
        <v>-</v>
      </c>
      <c r="AB31" s="75" t="str">
        <f t="shared" si="17"/>
        <v>-</v>
      </c>
      <c r="AC31" s="382">
        <f t="shared" si="16"/>
        <v>0.35889620834410957</v>
      </c>
    </row>
    <row r="32" spans="2:29" hidden="1">
      <c r="B32" s="76"/>
      <c r="C32" s="73"/>
      <c r="D32" s="77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369"/>
      <c r="Q32" s="370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383"/>
    </row>
    <row r="33" spans="2:29" hidden="1">
      <c r="B33" s="76" t="s">
        <v>10</v>
      </c>
      <c r="C33" s="65" t="s">
        <v>26</v>
      </c>
      <c r="D33" s="66">
        <f>SUM(D34:D36)</f>
        <v>0</v>
      </c>
      <c r="E33" s="67">
        <f t="shared" ref="E33:P33" si="18">SUM(E34:E36)</f>
        <v>0</v>
      </c>
      <c r="F33" s="67">
        <f t="shared" si="18"/>
        <v>0</v>
      </c>
      <c r="G33" s="67">
        <f t="shared" si="18"/>
        <v>0</v>
      </c>
      <c r="H33" s="67">
        <f t="shared" si="18"/>
        <v>0</v>
      </c>
      <c r="I33" s="67">
        <f t="shared" si="18"/>
        <v>0</v>
      </c>
      <c r="J33" s="67">
        <f t="shared" si="18"/>
        <v>0</v>
      </c>
      <c r="K33" s="67">
        <f t="shared" si="18"/>
        <v>0</v>
      </c>
      <c r="L33" s="67">
        <f t="shared" si="18"/>
        <v>0</v>
      </c>
      <c r="M33" s="67">
        <f t="shared" si="18"/>
        <v>0</v>
      </c>
      <c r="N33" s="67">
        <f>SUM(N34:N36)</f>
        <v>0</v>
      </c>
      <c r="O33" s="67">
        <f t="shared" si="18"/>
        <v>0</v>
      </c>
      <c r="P33" s="366">
        <f t="shared" si="18"/>
        <v>0</v>
      </c>
      <c r="Q33" s="212">
        <f t="shared" ref="Q33:AC33" si="19">SUM(Q34:Q36)</f>
        <v>0</v>
      </c>
      <c r="R33" s="67">
        <f t="shared" si="19"/>
        <v>0</v>
      </c>
      <c r="S33" s="67">
        <f t="shared" si="19"/>
        <v>0</v>
      </c>
      <c r="T33" s="67">
        <f t="shared" si="19"/>
        <v>0</v>
      </c>
      <c r="U33" s="67">
        <f t="shared" si="19"/>
        <v>0</v>
      </c>
      <c r="V33" s="67">
        <f t="shared" si="19"/>
        <v>0</v>
      </c>
      <c r="W33" s="67">
        <f t="shared" si="19"/>
        <v>0</v>
      </c>
      <c r="X33" s="67">
        <f t="shared" si="19"/>
        <v>0</v>
      </c>
      <c r="Y33" s="67">
        <f t="shared" si="19"/>
        <v>0</v>
      </c>
      <c r="Z33" s="67">
        <f t="shared" si="19"/>
        <v>0</v>
      </c>
      <c r="AA33" s="67">
        <f t="shared" si="19"/>
        <v>0</v>
      </c>
      <c r="AB33" s="67">
        <f t="shared" si="19"/>
        <v>0</v>
      </c>
      <c r="AC33" s="378">
        <f t="shared" si="19"/>
        <v>0</v>
      </c>
    </row>
    <row r="34" spans="2:29" hidden="1">
      <c r="B34" s="76"/>
      <c r="C34" s="69" t="s">
        <v>32</v>
      </c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364">
        <f t="shared" ref="P34:P36" si="20">SUM(D34:O34)</f>
        <v>0</v>
      </c>
      <c r="Q34" s="216">
        <v>0</v>
      </c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379">
        <f>Q34</f>
        <v>0</v>
      </c>
    </row>
    <row r="35" spans="2:29" hidden="1">
      <c r="B35" s="76"/>
      <c r="C35" s="69" t="s">
        <v>31</v>
      </c>
      <c r="D35" s="12"/>
      <c r="E35" s="2"/>
      <c r="F35" s="2"/>
      <c r="G35" s="2"/>
      <c r="H35" s="2"/>
      <c r="I35" s="2"/>
      <c r="J35" s="2"/>
      <c r="K35" s="17"/>
      <c r="L35" s="17"/>
      <c r="M35" s="17"/>
      <c r="N35" s="20"/>
      <c r="O35" s="17"/>
      <c r="P35" s="364">
        <f t="shared" si="20"/>
        <v>0</v>
      </c>
      <c r="Q35" s="390">
        <v>0</v>
      </c>
      <c r="R35" s="392"/>
      <c r="S35" s="392"/>
      <c r="T35" s="392"/>
      <c r="U35" s="392"/>
      <c r="V35" s="392"/>
      <c r="W35" s="392"/>
      <c r="X35" s="392"/>
      <c r="Y35" s="392"/>
      <c r="Z35" s="392"/>
      <c r="AA35" s="392"/>
      <c r="AB35" s="392"/>
      <c r="AC35" s="379">
        <f t="shared" ref="AC35:AC36" si="21">Q35</f>
        <v>0</v>
      </c>
    </row>
    <row r="36" spans="2:29" hidden="1">
      <c r="B36" s="68"/>
      <c r="C36" s="69" t="s">
        <v>94</v>
      </c>
      <c r="D36" s="12"/>
      <c r="E36" s="2"/>
      <c r="F36" s="2"/>
      <c r="G36" s="2"/>
      <c r="H36" s="2"/>
      <c r="I36" s="2"/>
      <c r="J36" s="2"/>
      <c r="K36" s="2"/>
      <c r="L36" s="17"/>
      <c r="M36" s="2"/>
      <c r="N36" s="17"/>
      <c r="O36" s="17"/>
      <c r="P36" s="364">
        <f t="shared" si="20"/>
        <v>0</v>
      </c>
      <c r="Q36" s="216">
        <v>0</v>
      </c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379">
        <f t="shared" si="21"/>
        <v>0</v>
      </c>
    </row>
    <row r="37" spans="2:29" hidden="1">
      <c r="B37" s="76"/>
      <c r="C37" s="9"/>
      <c r="D37" s="1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367"/>
      <c r="Q37" s="214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380"/>
    </row>
    <row r="38" spans="2:29" hidden="1">
      <c r="B38" s="71" t="s">
        <v>11</v>
      </c>
      <c r="C38" s="72" t="s">
        <v>34</v>
      </c>
      <c r="D38" s="14">
        <f t="shared" ref="D38:P38" si="22">D30-D33</f>
        <v>0</v>
      </c>
      <c r="E38" s="8">
        <f t="shared" si="22"/>
        <v>0</v>
      </c>
      <c r="F38" s="8">
        <f t="shared" si="22"/>
        <v>0</v>
      </c>
      <c r="G38" s="8">
        <f t="shared" si="22"/>
        <v>0</v>
      </c>
      <c r="H38" s="8">
        <f t="shared" si="22"/>
        <v>0</v>
      </c>
      <c r="I38" s="8">
        <f t="shared" si="22"/>
        <v>0</v>
      </c>
      <c r="J38" s="8">
        <f t="shared" si="22"/>
        <v>0</v>
      </c>
      <c r="K38" s="8">
        <f t="shared" si="22"/>
        <v>0</v>
      </c>
      <c r="L38" s="8">
        <f t="shared" si="22"/>
        <v>0</v>
      </c>
      <c r="M38" s="8">
        <f t="shared" si="22"/>
        <v>0</v>
      </c>
      <c r="N38" s="8">
        <f t="shared" si="22"/>
        <v>0</v>
      </c>
      <c r="O38" s="8">
        <f t="shared" si="22"/>
        <v>0</v>
      </c>
      <c r="P38" s="349">
        <f t="shared" si="22"/>
        <v>0</v>
      </c>
      <c r="Q38" s="188">
        <f t="shared" ref="Q38:R38" si="23">Q30-Q33</f>
        <v>172419.75</v>
      </c>
      <c r="R38" s="8">
        <f t="shared" si="23"/>
        <v>0</v>
      </c>
      <c r="S38" s="8">
        <f t="shared" ref="S38:AB38" si="24">S30-S33</f>
        <v>0</v>
      </c>
      <c r="T38" s="8">
        <f t="shared" si="24"/>
        <v>0</v>
      </c>
      <c r="U38" s="8">
        <f t="shared" si="24"/>
        <v>0</v>
      </c>
      <c r="V38" s="8">
        <f t="shared" si="24"/>
        <v>0</v>
      </c>
      <c r="W38" s="8">
        <f t="shared" si="24"/>
        <v>0</v>
      </c>
      <c r="X38" s="8">
        <f t="shared" si="24"/>
        <v>0</v>
      </c>
      <c r="Y38" s="8">
        <f t="shared" si="24"/>
        <v>0</v>
      </c>
      <c r="Z38" s="8">
        <f t="shared" si="24"/>
        <v>0</v>
      </c>
      <c r="AA38" s="8">
        <f t="shared" si="24"/>
        <v>0</v>
      </c>
      <c r="AB38" s="8">
        <f t="shared" si="24"/>
        <v>0</v>
      </c>
      <c r="AC38" s="381">
        <f t="shared" ref="AC38" si="25">AC30-AC33</f>
        <v>172419.75</v>
      </c>
    </row>
    <row r="39" spans="2:29" hidden="1">
      <c r="B39" s="68"/>
      <c r="C39" s="73" t="s">
        <v>27</v>
      </c>
      <c r="D39" s="74" t="str">
        <f t="shared" ref="D39:O39" si="26">IFERROR(D38/D$22,"-")</f>
        <v>-</v>
      </c>
      <c r="E39" s="75" t="str">
        <f t="shared" si="26"/>
        <v>-</v>
      </c>
      <c r="F39" s="75" t="str">
        <f t="shared" si="26"/>
        <v>-</v>
      </c>
      <c r="G39" s="75" t="str">
        <f t="shared" si="26"/>
        <v>-</v>
      </c>
      <c r="H39" s="75" t="str">
        <f t="shared" si="26"/>
        <v>-</v>
      </c>
      <c r="I39" s="75" t="str">
        <f t="shared" si="26"/>
        <v>-</v>
      </c>
      <c r="J39" s="75" t="str">
        <f t="shared" si="26"/>
        <v>-</v>
      </c>
      <c r="K39" s="75" t="str">
        <f t="shared" si="26"/>
        <v>-</v>
      </c>
      <c r="L39" s="75" t="str">
        <f t="shared" si="26"/>
        <v>-</v>
      </c>
      <c r="M39" s="75" t="str">
        <f t="shared" si="26"/>
        <v>-</v>
      </c>
      <c r="N39" s="75" t="str">
        <f t="shared" si="26"/>
        <v>-</v>
      </c>
      <c r="O39" s="75" t="str">
        <f t="shared" si="26"/>
        <v>-</v>
      </c>
      <c r="P39" s="368"/>
      <c r="Q39" s="368">
        <f t="shared" ref="Q39:R39" si="27">IFERROR(Q38/Q$22,"-")</f>
        <v>0.35889620834410957</v>
      </c>
      <c r="R39" s="75" t="str">
        <f t="shared" si="27"/>
        <v>-</v>
      </c>
      <c r="S39" s="75" t="str">
        <f t="shared" ref="S39:AB39" si="28">IFERROR(S38/S$22,"-")</f>
        <v>-</v>
      </c>
      <c r="T39" s="75" t="str">
        <f t="shared" si="28"/>
        <v>-</v>
      </c>
      <c r="U39" s="75" t="str">
        <f t="shared" si="28"/>
        <v>-</v>
      </c>
      <c r="V39" s="75" t="str">
        <f t="shared" si="28"/>
        <v>-</v>
      </c>
      <c r="W39" s="75" t="str">
        <f t="shared" si="28"/>
        <v>-</v>
      </c>
      <c r="X39" s="75" t="str">
        <f t="shared" si="28"/>
        <v>-</v>
      </c>
      <c r="Y39" s="75" t="str">
        <f t="shared" si="28"/>
        <v>-</v>
      </c>
      <c r="Z39" s="75" t="str">
        <f t="shared" si="28"/>
        <v>-</v>
      </c>
      <c r="AA39" s="75" t="str">
        <f t="shared" si="28"/>
        <v>-</v>
      </c>
      <c r="AB39" s="75" t="str">
        <f t="shared" si="28"/>
        <v>-</v>
      </c>
      <c r="AC39" s="382">
        <f t="shared" ref="AC39" si="29">IFERROR(AC38/AC$22,"-")</f>
        <v>0.35889620834410957</v>
      </c>
    </row>
    <row r="40" spans="2:29" hidden="1">
      <c r="B40" s="68"/>
      <c r="C40" s="73"/>
      <c r="D40" s="77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370"/>
      <c r="Q40" s="370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383"/>
    </row>
    <row r="41" spans="2:29" hidden="1">
      <c r="B41" s="76" t="s">
        <v>12</v>
      </c>
      <c r="C41" s="65" t="s">
        <v>28</v>
      </c>
      <c r="D41" s="66">
        <f>SUM(D42:D43)</f>
        <v>0</v>
      </c>
      <c r="E41" s="67">
        <f t="shared" ref="E41:F41" si="30">SUM(E42:E43)</f>
        <v>0</v>
      </c>
      <c r="F41" s="67">
        <f t="shared" si="30"/>
        <v>0</v>
      </c>
      <c r="G41" s="67">
        <f t="shared" ref="G41" si="31">SUM(G42:G43)</f>
        <v>0</v>
      </c>
      <c r="H41" s="67">
        <f t="shared" ref="H41" si="32">SUM(H42:H43)</f>
        <v>0</v>
      </c>
      <c r="I41" s="67">
        <f t="shared" ref="I41" si="33">SUM(I42:I43)</f>
        <v>0</v>
      </c>
      <c r="J41" s="67">
        <f t="shared" ref="J41" si="34">SUM(J42:J43)</f>
        <v>0</v>
      </c>
      <c r="K41" s="67">
        <f t="shared" ref="K41" si="35">SUM(K42:K43)</f>
        <v>0</v>
      </c>
      <c r="L41" s="67">
        <f t="shared" ref="L41" si="36">SUM(L42:L43)</f>
        <v>0</v>
      </c>
      <c r="M41" s="67">
        <f t="shared" ref="M41" si="37">SUM(M42:M43)</f>
        <v>0</v>
      </c>
      <c r="N41" s="67">
        <f t="shared" ref="N41" si="38">SUM(N42:N43)</f>
        <v>0</v>
      </c>
      <c r="O41" s="67">
        <f t="shared" ref="O41:Q41" si="39">SUM(O42:O43)</f>
        <v>0</v>
      </c>
      <c r="P41" s="366">
        <f t="shared" si="39"/>
        <v>0</v>
      </c>
      <c r="Q41" s="212">
        <f t="shared" si="39"/>
        <v>50645.36</v>
      </c>
      <c r="R41" s="67">
        <f t="shared" ref="R41:AC41" si="40">SUM(R42:R43)</f>
        <v>0</v>
      </c>
      <c r="S41" s="67">
        <f t="shared" ref="S41:AB41" si="41">SUM(S42:S43)</f>
        <v>0</v>
      </c>
      <c r="T41" s="67">
        <f t="shared" si="41"/>
        <v>0</v>
      </c>
      <c r="U41" s="67">
        <f t="shared" si="41"/>
        <v>0</v>
      </c>
      <c r="V41" s="67">
        <f t="shared" si="41"/>
        <v>0</v>
      </c>
      <c r="W41" s="67">
        <f t="shared" si="41"/>
        <v>0</v>
      </c>
      <c r="X41" s="67">
        <f t="shared" si="41"/>
        <v>0</v>
      </c>
      <c r="Y41" s="67">
        <f t="shared" si="41"/>
        <v>0</v>
      </c>
      <c r="Z41" s="67">
        <f t="shared" si="41"/>
        <v>0</v>
      </c>
      <c r="AA41" s="67">
        <f t="shared" si="41"/>
        <v>0</v>
      </c>
      <c r="AB41" s="67">
        <f t="shared" si="41"/>
        <v>0</v>
      </c>
      <c r="AC41" s="378">
        <f t="shared" si="40"/>
        <v>50645.36</v>
      </c>
    </row>
    <row r="42" spans="2:29" hidden="1">
      <c r="B42" s="76"/>
      <c r="C42" s="69" t="s">
        <v>92</v>
      </c>
      <c r="D42" s="12"/>
      <c r="E42" s="2"/>
      <c r="F42" s="2"/>
      <c r="G42" s="2"/>
      <c r="H42" s="2"/>
      <c r="I42" s="2"/>
      <c r="J42" s="2"/>
      <c r="K42" s="17"/>
      <c r="L42" s="17"/>
      <c r="M42" s="17"/>
      <c r="N42" s="17"/>
      <c r="O42" s="1"/>
      <c r="P42" s="364">
        <f t="shared" ref="P42:P43" si="42">SUM(D42:O42)</f>
        <v>0</v>
      </c>
      <c r="Q42" s="216">
        <v>0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379">
        <f>Q42</f>
        <v>0</v>
      </c>
    </row>
    <row r="43" spans="2:29" hidden="1">
      <c r="B43" s="76"/>
      <c r="C43" s="69" t="s">
        <v>93</v>
      </c>
      <c r="D43" s="1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17">
        <v>0.0</v>
      </c>
      <c r="L43" s="17">
        <v>0.0</v>
      </c>
      <c r="M43" s="17">
        <v>0.0</v>
      </c>
      <c r="N43" s="17">
        <v>0.0</v>
      </c>
      <c r="O43" s="17">
        <v>48737.57</v>
      </c>
      <c r="P43" s="364">
        <f t="shared" si="42"/>
        <v>0</v>
      </c>
      <c r="Q43" s="216">
        <v>50645.36</v>
      </c>
      <c r="R43" s="17">
        <v>84869.92</v>
      </c>
      <c r="S43" s="17">
        <v>98525.24</v>
      </c>
      <c r="T43" s="17">
        <v>110781.58</v>
      </c>
      <c r="U43" s="17">
        <v>111198.16</v>
      </c>
      <c r="V43" s="17">
        <v>100489.67</v>
      </c>
      <c r="W43" s="17"/>
      <c r="X43" s="17"/>
      <c r="Y43" s="17"/>
      <c r="Z43" s="17"/>
      <c r="AA43" s="17"/>
      <c r="AB43" s="17"/>
      <c r="AC43" s="379">
        <f>Q43</f>
        <v>50645.36</v>
      </c>
    </row>
    <row r="44" spans="2:29" hidden="1">
      <c r="B44" s="76"/>
      <c r="C44" s="9"/>
      <c r="D44" s="1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367"/>
      <c r="Q44" s="21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80"/>
    </row>
    <row r="45" spans="2:29" hidden="1">
      <c r="B45" s="71" t="s">
        <v>13</v>
      </c>
      <c r="C45" s="72" t="s">
        <v>35</v>
      </c>
      <c r="D45" s="14">
        <f t="shared" ref="D45:O45" si="43">D38-D41</f>
        <v>0</v>
      </c>
      <c r="E45" s="8">
        <f t="shared" si="43"/>
        <v>0</v>
      </c>
      <c r="F45" s="8">
        <f t="shared" si="43"/>
        <v>0</v>
      </c>
      <c r="G45" s="8">
        <f t="shared" si="43"/>
        <v>0</v>
      </c>
      <c r="H45" s="8">
        <f t="shared" si="43"/>
        <v>0</v>
      </c>
      <c r="I45" s="8">
        <f t="shared" si="43"/>
        <v>0</v>
      </c>
      <c r="J45" s="8">
        <f t="shared" si="43"/>
        <v>0</v>
      </c>
      <c r="K45" s="8">
        <f t="shared" si="43"/>
        <v>0</v>
      </c>
      <c r="L45" s="8">
        <f t="shared" si="43"/>
        <v>0</v>
      </c>
      <c r="M45" s="8">
        <f t="shared" si="43"/>
        <v>0</v>
      </c>
      <c r="N45" s="8">
        <f t="shared" si="43"/>
        <v>0</v>
      </c>
      <c r="O45" s="8">
        <f t="shared" si="43"/>
        <v>0</v>
      </c>
      <c r="P45" s="349">
        <f t="shared" ref="P45:Q45" si="44">P38-P41</f>
        <v>0</v>
      </c>
      <c r="Q45" s="188">
        <f t="shared" si="44"/>
        <v>121774.39</v>
      </c>
      <c r="R45" s="8">
        <f t="shared" ref="R45:AC45" si="45">R38-R41</f>
        <v>0</v>
      </c>
      <c r="S45" s="8">
        <f t="shared" ref="S45:AB45" si="46">S38-S41</f>
        <v>0</v>
      </c>
      <c r="T45" s="8">
        <f t="shared" si="46"/>
        <v>0</v>
      </c>
      <c r="U45" s="8">
        <f t="shared" si="46"/>
        <v>0</v>
      </c>
      <c r="V45" s="8">
        <f t="shared" si="46"/>
        <v>0</v>
      </c>
      <c r="W45" s="8">
        <f t="shared" si="46"/>
        <v>0</v>
      </c>
      <c r="X45" s="8">
        <f t="shared" si="46"/>
        <v>0</v>
      </c>
      <c r="Y45" s="8">
        <f t="shared" si="46"/>
        <v>0</v>
      </c>
      <c r="Z45" s="8">
        <f t="shared" si="46"/>
        <v>0</v>
      </c>
      <c r="AA45" s="8">
        <f t="shared" si="46"/>
        <v>0</v>
      </c>
      <c r="AB45" s="8">
        <f t="shared" si="46"/>
        <v>0</v>
      </c>
      <c r="AC45" s="381">
        <f t="shared" si="45"/>
        <v>121774.39</v>
      </c>
    </row>
    <row r="46" spans="2:29" ht="15" hidden="1" thickBot="1">
      <c r="B46" s="79"/>
      <c r="C46" s="80" t="s">
        <v>29</v>
      </c>
      <c r="D46" s="81" t="str">
        <f t="shared" ref="D46:O46" si="47">IFERROR(D45/D$22,"-")</f>
        <v>-</v>
      </c>
      <c r="E46" s="82" t="str">
        <f t="shared" si="47"/>
        <v>-</v>
      </c>
      <c r="F46" s="82" t="str">
        <f t="shared" si="47"/>
        <v>-</v>
      </c>
      <c r="G46" s="82" t="str">
        <f t="shared" si="47"/>
        <v>-</v>
      </c>
      <c r="H46" s="82" t="str">
        <f t="shared" si="47"/>
        <v>-</v>
      </c>
      <c r="I46" s="82" t="str">
        <f t="shared" si="47"/>
        <v>-</v>
      </c>
      <c r="J46" s="82" t="str">
        <f t="shared" si="47"/>
        <v>-</v>
      </c>
      <c r="K46" s="82" t="str">
        <f t="shared" si="47"/>
        <v>-</v>
      </c>
      <c r="L46" s="82" t="str">
        <f t="shared" si="47"/>
        <v>-</v>
      </c>
      <c r="M46" s="82" t="str">
        <f t="shared" si="47"/>
        <v>-</v>
      </c>
      <c r="N46" s="82" t="str">
        <f t="shared" si="47"/>
        <v>-</v>
      </c>
      <c r="O46" s="82" t="str">
        <f t="shared" si="47"/>
        <v>-</v>
      </c>
      <c r="P46" s="371" t="str">
        <f t="shared" ref="P46:Q46" si="48">IFERROR(P45/P$22,"-")</f>
        <v>-</v>
      </c>
      <c r="Q46" s="371">
        <f t="shared" si="48"/>
        <v>0.25347657008212143</v>
      </c>
      <c r="R46" s="82" t="str">
        <f t="shared" ref="R46:AC46" si="49">IFERROR(R45/R$22,"-")</f>
        <v>-</v>
      </c>
      <c r="S46" s="82" t="str">
        <f t="shared" ref="S46:AB46" si="50">IFERROR(S45/S$22,"-")</f>
        <v>-</v>
      </c>
      <c r="T46" s="82" t="str">
        <f t="shared" si="50"/>
        <v>-</v>
      </c>
      <c r="U46" s="82" t="str">
        <f t="shared" si="50"/>
        <v>-</v>
      </c>
      <c r="V46" s="82" t="str">
        <f t="shared" si="50"/>
        <v>-</v>
      </c>
      <c r="W46" s="82" t="str">
        <f t="shared" si="50"/>
        <v>-</v>
      </c>
      <c r="X46" s="82" t="str">
        <f t="shared" si="50"/>
        <v>-</v>
      </c>
      <c r="Y46" s="82" t="str">
        <f t="shared" si="50"/>
        <v>-</v>
      </c>
      <c r="Z46" s="82" t="str">
        <f t="shared" si="50"/>
        <v>-</v>
      </c>
      <c r="AA46" s="82" t="str">
        <f t="shared" si="50"/>
        <v>-</v>
      </c>
      <c r="AB46" s="82" t="str">
        <f t="shared" si="50"/>
        <v>-</v>
      </c>
      <c r="AC46" s="385">
        <f t="shared" si="49"/>
        <v>0.25347657008212143</v>
      </c>
    </row>
    <row r="47" spans="2:29" hidden="1"/>
    <row r="48" spans="2:29">
      <c r="B48" s="154"/>
    </row>
    <row r="49" spans="2:12">
      <c r="B49" s="153"/>
    </row>
    <row r="50" spans="2:12">
      <c r="D50" s="18"/>
      <c r="E50" s="18"/>
      <c r="F50" s="18"/>
      <c r="G50" s="18"/>
      <c r="H50" s="18"/>
      <c r="I50" s="18"/>
      <c r="J50" s="18"/>
      <c r="K50" s="18"/>
      <c r="L50" s="18"/>
    </row>
    <row r="53" spans="2:12">
      <c r="D53" s="159"/>
      <c r="E53" s="159"/>
      <c r="F53" s="159"/>
      <c r="G53" s="159"/>
      <c r="H53" s="159"/>
      <c r="I53" s="159"/>
      <c r="J53" s="159"/>
      <c r="K53" s="159"/>
      <c r="L53" s="159"/>
    </row>
    <row r="54" spans="2:12">
      <c r="D54" s="159"/>
      <c r="E54" s="159"/>
      <c r="F54" s="159"/>
      <c r="G54" s="159"/>
      <c r="H54" s="159"/>
      <c r="I54" s="159"/>
      <c r="J54" s="159"/>
      <c r="K54" s="159"/>
      <c r="L54" s="159"/>
    </row>
    <row r="55" spans="2:12">
      <c r="D55" s="159"/>
      <c r="E55" s="159"/>
      <c r="F55" s="159"/>
      <c r="G55" s="159"/>
      <c r="H55" s="159"/>
      <c r="I55" s="159"/>
      <c r="J55" s="159"/>
      <c r="K55" s="159"/>
      <c r="L55" s="1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EB4E-809F-410C-AF8F-202316DA9C1E}">
  <dimension ref="A1:U64"/>
  <sheetViews>
    <sheetView showGridLines="0" zoomScale="60" zoomScaleNormal="70" workbookViewId="0"/>
  </sheetViews>
  <sheetFormatPr defaultColWidth="8.90625" defaultRowHeight="14.5"/>
  <cols>
    <col min="1" max="1" width="8.90625" style="11"/>
    <col min="2" max="2" width="54.6328125" style="11" customWidth="1"/>
    <col min="3" max="3" width="12.36328125" style="11" customWidth="1"/>
    <col min="4" max="4" width="18.54296875" style="11" customWidth="1"/>
    <col min="5" max="5" width="8.90625" style="11"/>
    <col min="6" max="6" width="13.7265625" style="11" bestFit="1" customWidth="1"/>
    <col min="7" max="7" width="12.26953125" style="11" bestFit="1" customWidth="1"/>
    <col min="8" max="16384" width="8.90625" style="11"/>
  </cols>
  <sheetData>
    <row r="1" spans="1:21">
      <c r="A1" s="455" t="s">
        <v>184</v>
      </c>
      <c r="D1" s="21"/>
      <c r="F1" s="456"/>
    </row>
    <row r="2" spans="1:21">
      <c r="A2" s="455" t="s">
        <v>193</v>
      </c>
      <c r="B2" s="457"/>
      <c r="C2" s="457"/>
      <c r="D2" s="458"/>
    </row>
    <row r="3" spans="1:21" ht="15" thickBot="1">
      <c r="A3" s="455"/>
      <c r="B3" s="457"/>
      <c r="C3" s="457"/>
      <c r="D3" s="458"/>
    </row>
    <row r="4" spans="1:21" s="454" customFormat="1">
      <c r="A4" s="491" t="s">
        <v>194</v>
      </c>
      <c r="B4" s="492" t="s">
        <v>1</v>
      </c>
      <c r="C4" s="492">
        <v>45748</v>
      </c>
      <c r="D4" s="492">
        <v>45778</v>
      </c>
      <c r="E4" s="492">
        <v>45809</v>
      </c>
      <c r="F4" s="492">
        <v>45839</v>
      </c>
      <c r="G4" s="492">
        <v>45870</v>
      </c>
      <c r="H4" s="492">
        <v>45901</v>
      </c>
      <c r="I4" s="492">
        <v>45931</v>
      </c>
      <c r="J4" s="492">
        <v>45962</v>
      </c>
      <c r="K4" s="492">
        <v>45992</v>
      </c>
      <c r="L4" s="492">
        <v>46023</v>
      </c>
      <c r="M4" s="492">
        <v>46054</v>
      </c>
      <c r="N4" s="492">
        <v>45717</v>
      </c>
      <c r="O4" s="493" t="s">
        <v>147</v>
      </c>
      <c r="P4" s="492">
        <v>46113</v>
      </c>
      <c r="Q4" s="552">
        <v>46143</v>
      </c>
      <c r="R4" s="552">
        <v>46174</v>
      </c>
      <c r="S4" s="552">
        <v>46204</v>
      </c>
      <c r="T4" s="552">
        <v>46235</v>
      </c>
      <c r="U4" s="494" t="s">
        <v>195</v>
      </c>
    </row>
    <row r="5" spans="1:21">
      <c r="A5" s="495" t="s">
        <v>96</v>
      </c>
      <c r="B5" s="460" t="s">
        <v>196</v>
      </c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459"/>
      <c r="P5" s="459"/>
      <c r="Q5" s="459"/>
      <c r="R5" s="459"/>
      <c r="S5" s="459"/>
      <c r="T5" s="459"/>
      <c r="U5" s="496"/>
    </row>
    <row r="6" spans="1:21">
      <c r="A6" s="497"/>
      <c r="B6" s="461" t="s">
        <v>197</v>
      </c>
      <c r="C6" s="461"/>
      <c r="D6" s="462"/>
      <c r="E6" s="461"/>
      <c r="F6" s="462"/>
      <c r="G6" s="461"/>
      <c r="H6" s="462"/>
      <c r="I6" s="461"/>
      <c r="J6" s="462"/>
      <c r="K6" s="461"/>
      <c r="L6" s="461"/>
      <c r="M6" s="461"/>
      <c r="N6" s="461"/>
      <c r="O6" s="550">
        <f>SUM(C6:N6)</f>
        <v>0</v>
      </c>
      <c r="P6" s="461"/>
      <c r="Q6" s="461"/>
      <c r="R6" s="461"/>
      <c r="S6" s="461"/>
      <c r="T6" s="461"/>
      <c r="U6" s="553">
        <f>SUM(P6:T6)</f>
        <v>0</v>
      </c>
    </row>
    <row r="7" spans="1:21">
      <c r="A7" s="497"/>
      <c r="B7" s="463"/>
      <c r="C7" s="463"/>
      <c r="D7" s="464"/>
      <c r="E7" s="463"/>
      <c r="F7" s="464"/>
      <c r="G7" s="463"/>
      <c r="H7" s="464"/>
      <c r="I7" s="463"/>
      <c r="J7" s="464"/>
      <c r="K7" s="463"/>
      <c r="L7" s="463"/>
      <c r="M7" s="463"/>
      <c r="N7" s="463"/>
      <c r="O7" s="463"/>
      <c r="P7" s="463"/>
      <c r="Q7" s="463"/>
      <c r="R7" s="463"/>
      <c r="S7" s="463"/>
      <c r="T7" s="463"/>
      <c r="U7" s="498"/>
    </row>
    <row r="8" spans="1:21">
      <c r="A8" s="497"/>
      <c r="B8" s="461" t="s">
        <v>198</v>
      </c>
      <c r="C8" s="464">
        <f t="shared" ref="C8:J8" si="0">SUM(C9:C11)</f>
        <v>0</v>
      </c>
      <c r="D8" s="464">
        <f t="shared" si="0"/>
        <v>0</v>
      </c>
      <c r="E8" s="464">
        <f t="shared" si="0"/>
        <v>0</v>
      </c>
      <c r="F8" s="464">
        <f t="shared" si="0"/>
        <v>0</v>
      </c>
      <c r="G8" s="464">
        <f t="shared" si="0"/>
        <v>0</v>
      </c>
      <c r="H8" s="464">
        <f t="shared" si="0"/>
        <v>0</v>
      </c>
      <c r="I8" s="464">
        <f t="shared" si="0"/>
        <v>0</v>
      </c>
      <c r="J8" s="464">
        <f t="shared" si="0"/>
        <v>0</v>
      </c>
      <c r="K8" s="464">
        <f t="shared" ref="K8:U8" si="1">SUM(K9:K11)</f>
        <v>0</v>
      </c>
      <c r="L8" s="464">
        <f t="shared" si="1"/>
        <v>0</v>
      </c>
      <c r="M8" s="464">
        <f t="shared" si="1"/>
        <v>0</v>
      </c>
      <c r="N8" s="464">
        <f t="shared" si="1"/>
        <v>0</v>
      </c>
      <c r="O8" s="464">
        <f t="shared" si="1"/>
        <v>0</v>
      </c>
      <c r="P8" s="464">
        <f t="shared" si="1"/>
        <v>0</v>
      </c>
      <c r="Q8" s="464">
        <f t="shared" si="1"/>
        <v>0</v>
      </c>
      <c r="R8" s="464">
        <f t="shared" si="1"/>
        <v>0</v>
      </c>
      <c r="S8" s="464">
        <f t="shared" si="1"/>
        <v>0</v>
      </c>
      <c r="T8" s="464">
        <f t="shared" si="1"/>
        <v>0</v>
      </c>
      <c r="U8" s="499">
        <f t="shared" si="1"/>
        <v>0</v>
      </c>
    </row>
    <row r="9" spans="1:21">
      <c r="A9" s="497"/>
      <c r="B9" s="463" t="s">
        <v>224</v>
      </c>
      <c r="C9" s="464"/>
      <c r="D9" s="464"/>
      <c r="E9" s="464"/>
      <c r="F9" s="464"/>
      <c r="G9" s="464"/>
      <c r="H9" s="464"/>
      <c r="I9" s="464"/>
      <c r="J9" s="464"/>
      <c r="K9" s="464"/>
      <c r="L9" s="464"/>
      <c r="M9" s="464"/>
      <c r="N9" s="464"/>
      <c r="O9" s="464">
        <f>SUM(C9:N9)</f>
        <v>0</v>
      </c>
      <c r="P9" s="464"/>
      <c r="Q9" s="464"/>
      <c r="R9" s="464"/>
      <c r="S9" s="464"/>
      <c r="T9" s="464"/>
      <c r="U9" s="499">
        <f>SUM(P9:T9)</f>
        <v>0</v>
      </c>
    </row>
    <row r="10" spans="1:21">
      <c r="A10" s="497"/>
      <c r="B10" s="461"/>
      <c r="C10" s="464"/>
      <c r="D10" s="464"/>
      <c r="E10" s="464"/>
      <c r="F10" s="464"/>
      <c r="G10" s="464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99"/>
    </row>
    <row r="11" spans="1:21">
      <c r="A11" s="497"/>
      <c r="B11" s="461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99"/>
    </row>
    <row r="12" spans="1:21">
      <c r="A12" s="497"/>
      <c r="B12" s="465"/>
      <c r="C12" s="466">
        <f t="shared" ref="C12:J12" si="2">SUM(C6:C8)</f>
        <v>0</v>
      </c>
      <c r="D12" s="466">
        <f t="shared" si="2"/>
        <v>0</v>
      </c>
      <c r="E12" s="466">
        <f t="shared" si="2"/>
        <v>0</v>
      </c>
      <c r="F12" s="466">
        <f t="shared" si="2"/>
        <v>0</v>
      </c>
      <c r="G12" s="466">
        <f t="shared" si="2"/>
        <v>0</v>
      </c>
      <c r="H12" s="466">
        <f t="shared" si="2"/>
        <v>0</v>
      </c>
      <c r="I12" s="466">
        <f t="shared" si="2"/>
        <v>0</v>
      </c>
      <c r="J12" s="466">
        <f t="shared" si="2"/>
        <v>0</v>
      </c>
      <c r="K12" s="466">
        <f t="shared" ref="K12:U12" si="3">SUM(K6:K8)</f>
        <v>0</v>
      </c>
      <c r="L12" s="466">
        <f t="shared" si="3"/>
        <v>0</v>
      </c>
      <c r="M12" s="466">
        <f t="shared" si="3"/>
        <v>0</v>
      </c>
      <c r="N12" s="466">
        <f t="shared" si="3"/>
        <v>0</v>
      </c>
      <c r="O12" s="466">
        <f t="shared" si="3"/>
        <v>0</v>
      </c>
      <c r="P12" s="466">
        <f t="shared" si="3"/>
        <v>0</v>
      </c>
      <c r="Q12" s="466"/>
      <c r="R12" s="466"/>
      <c r="S12" s="466"/>
      <c r="T12" s="466"/>
      <c r="U12" s="500">
        <f t="shared" si="3"/>
        <v>0</v>
      </c>
    </row>
    <row r="13" spans="1:21">
      <c r="A13" s="497"/>
      <c r="B13" s="461" t="s">
        <v>199</v>
      </c>
      <c r="C13" s="461"/>
      <c r="D13" s="464"/>
      <c r="U13" s="501"/>
    </row>
    <row r="14" spans="1:21">
      <c r="A14" s="497"/>
      <c r="B14" s="467" t="s">
        <v>200</v>
      </c>
      <c r="C14" s="502"/>
      <c r="D14" s="464"/>
      <c r="O14" s="551">
        <f t="shared" ref="O14:O18" si="4">SUM(C14:N14)</f>
        <v>0</v>
      </c>
      <c r="U14" s="554">
        <f t="shared" ref="U14:U16" si="5">SUM(P14:T14)</f>
        <v>0</v>
      </c>
    </row>
    <row r="15" spans="1:21">
      <c r="A15" s="497"/>
      <c r="B15" s="467" t="s">
        <v>201</v>
      </c>
      <c r="C15" s="502"/>
      <c r="D15" s="464"/>
      <c r="O15" s="551">
        <f t="shared" si="4"/>
        <v>0</v>
      </c>
      <c r="U15" s="554">
        <f t="shared" si="5"/>
        <v>0</v>
      </c>
    </row>
    <row r="16" spans="1:21">
      <c r="A16" s="497"/>
      <c r="B16" s="467" t="s">
        <v>202</v>
      </c>
      <c r="C16" s="467"/>
      <c r="D16" s="464"/>
      <c r="O16" s="551">
        <f t="shared" si="4"/>
        <v>0</v>
      </c>
      <c r="U16" s="554">
        <f t="shared" si="5"/>
        <v>0</v>
      </c>
    </row>
    <row r="17" spans="1:21">
      <c r="A17" s="497"/>
      <c r="B17" s="468" t="s">
        <v>203</v>
      </c>
      <c r="C17" s="466">
        <f>SUM(C12,C14,C15:C16)</f>
        <v>0</v>
      </c>
      <c r="D17" s="466">
        <f>SUM(D12,D14,D15:D16)</f>
        <v>0</v>
      </c>
      <c r="E17" s="466">
        <f t="shared" ref="E17:U17" si="6">SUM(E12,E14,E15:E16)</f>
        <v>0</v>
      </c>
      <c r="F17" s="466">
        <f t="shared" si="6"/>
        <v>0</v>
      </c>
      <c r="G17" s="466">
        <f t="shared" si="6"/>
        <v>0</v>
      </c>
      <c r="H17" s="466">
        <f t="shared" si="6"/>
        <v>0</v>
      </c>
      <c r="I17" s="466">
        <f t="shared" si="6"/>
        <v>0</v>
      </c>
      <c r="J17" s="466">
        <f t="shared" si="6"/>
        <v>0</v>
      </c>
      <c r="K17" s="466">
        <f t="shared" si="6"/>
        <v>0</v>
      </c>
      <c r="L17" s="466">
        <f t="shared" si="6"/>
        <v>0</v>
      </c>
      <c r="M17" s="466">
        <f t="shared" si="6"/>
        <v>0</v>
      </c>
      <c r="N17" s="466">
        <f t="shared" si="6"/>
        <v>0</v>
      </c>
      <c r="O17" s="466">
        <f t="shared" si="6"/>
        <v>0</v>
      </c>
      <c r="P17" s="466">
        <f t="shared" si="6"/>
        <v>0</v>
      </c>
      <c r="Q17" s="466"/>
      <c r="R17" s="466"/>
      <c r="S17" s="466"/>
      <c r="T17" s="466"/>
      <c r="U17" s="500">
        <f t="shared" si="6"/>
        <v>0</v>
      </c>
    </row>
    <row r="18" spans="1:21">
      <c r="A18" s="497"/>
      <c r="B18" s="467" t="s">
        <v>204</v>
      </c>
      <c r="C18" s="464">
        <v>0</v>
      </c>
      <c r="D18" s="464">
        <v>0</v>
      </c>
      <c r="E18" s="464">
        <v>0</v>
      </c>
      <c r="F18" s="464">
        <v>0</v>
      </c>
      <c r="G18" s="464">
        <v>0</v>
      </c>
      <c r="H18" s="464">
        <v>0</v>
      </c>
      <c r="I18" s="464">
        <v>0</v>
      </c>
      <c r="J18" s="464">
        <v>0</v>
      </c>
      <c r="K18" s="464">
        <v>0</v>
      </c>
      <c r="L18" s="464">
        <v>0</v>
      </c>
      <c r="M18" s="464">
        <v>0</v>
      </c>
      <c r="N18" s="464">
        <v>0</v>
      </c>
      <c r="O18" s="464">
        <f t="shared" si="4"/>
        <v>0</v>
      </c>
      <c r="P18" s="464">
        <v>0</v>
      </c>
      <c r="Q18" s="464"/>
      <c r="R18" s="464"/>
      <c r="S18" s="464"/>
      <c r="T18" s="464"/>
      <c r="U18" s="499">
        <v>0</v>
      </c>
    </row>
    <row r="19" spans="1:21" ht="15" thickBot="1">
      <c r="A19" s="497"/>
      <c r="B19" s="468" t="s">
        <v>205</v>
      </c>
      <c r="C19" s="469">
        <f>C17-C18</f>
        <v>0</v>
      </c>
      <c r="D19" s="469">
        <f>D17-D18</f>
        <v>0</v>
      </c>
      <c r="E19" s="469">
        <f t="shared" ref="E19:U19" si="7">E17-E18</f>
        <v>0</v>
      </c>
      <c r="F19" s="469">
        <f t="shared" si="7"/>
        <v>0</v>
      </c>
      <c r="G19" s="469">
        <f t="shared" si="7"/>
        <v>0</v>
      </c>
      <c r="H19" s="469">
        <f t="shared" si="7"/>
        <v>0</v>
      </c>
      <c r="I19" s="469">
        <f t="shared" si="7"/>
        <v>0</v>
      </c>
      <c r="J19" s="469">
        <f t="shared" si="7"/>
        <v>0</v>
      </c>
      <c r="K19" s="469">
        <f t="shared" si="7"/>
        <v>0</v>
      </c>
      <c r="L19" s="469">
        <f t="shared" si="7"/>
        <v>0</v>
      </c>
      <c r="M19" s="469">
        <f t="shared" si="7"/>
        <v>0</v>
      </c>
      <c r="N19" s="469">
        <f t="shared" si="7"/>
        <v>0</v>
      </c>
      <c r="O19" s="469">
        <f t="shared" si="7"/>
        <v>0</v>
      </c>
      <c r="P19" s="469">
        <f t="shared" si="7"/>
        <v>0</v>
      </c>
      <c r="Q19" s="469"/>
      <c r="R19" s="469"/>
      <c r="S19" s="469"/>
      <c r="T19" s="469"/>
      <c r="U19" s="503">
        <f t="shared" si="7"/>
        <v>0</v>
      </c>
    </row>
    <row r="20" spans="1:21" ht="15" thickTop="1">
      <c r="A20" s="497"/>
      <c r="B20" s="461"/>
      <c r="C20" s="461"/>
      <c r="D20" s="470"/>
      <c r="U20" s="501"/>
    </row>
    <row r="21" spans="1:21">
      <c r="A21" s="495" t="s">
        <v>101</v>
      </c>
      <c r="B21" s="460" t="s">
        <v>206</v>
      </c>
      <c r="C21" s="459"/>
      <c r="D21" s="459"/>
      <c r="E21" s="459"/>
      <c r="F21" s="459"/>
      <c r="G21" s="459"/>
      <c r="H21" s="459"/>
      <c r="I21" s="459"/>
      <c r="J21" s="459"/>
      <c r="K21" s="459"/>
      <c r="L21" s="459"/>
      <c r="M21" s="459"/>
      <c r="N21" s="459"/>
      <c r="O21" s="459"/>
      <c r="P21" s="459"/>
      <c r="Q21" s="459"/>
      <c r="R21" s="459"/>
      <c r="S21" s="459"/>
      <c r="T21" s="459"/>
      <c r="U21" s="496"/>
    </row>
    <row r="22" spans="1:21">
      <c r="A22" s="497"/>
      <c r="B22" s="467" t="s">
        <v>207</v>
      </c>
      <c r="C22" s="464"/>
      <c r="D22" s="464"/>
      <c r="E22" s="464"/>
      <c r="F22" s="464"/>
      <c r="G22" s="464"/>
      <c r="H22" s="464"/>
      <c r="I22" s="464"/>
      <c r="J22" s="464"/>
      <c r="K22" s="464"/>
      <c r="L22" s="464"/>
      <c r="M22" s="464"/>
      <c r="N22" s="464"/>
      <c r="O22" s="464">
        <f t="shared" ref="O22" si="8">SUM(C22:N22)</f>
        <v>0</v>
      </c>
      <c r="P22" s="464"/>
      <c r="Q22" s="464"/>
      <c r="R22" s="464"/>
      <c r="S22" s="464"/>
      <c r="T22" s="464"/>
      <c r="U22" s="499">
        <f t="shared" ref="U22" si="9">SUM(P22:T22)</f>
        <v>0</v>
      </c>
    </row>
    <row r="23" spans="1:21">
      <c r="A23" s="497"/>
      <c r="B23" s="471" t="s">
        <v>208</v>
      </c>
      <c r="C23" s="472">
        <v>0</v>
      </c>
      <c r="D23" s="472">
        <v>0</v>
      </c>
      <c r="E23" s="472">
        <v>0</v>
      </c>
      <c r="F23" s="472">
        <v>0</v>
      </c>
      <c r="G23" s="472">
        <v>0</v>
      </c>
      <c r="H23" s="472">
        <v>0</v>
      </c>
      <c r="I23" s="472">
        <v>0</v>
      </c>
      <c r="J23" s="472">
        <v>0</v>
      </c>
      <c r="K23" s="472">
        <v>0</v>
      </c>
      <c r="L23" s="472">
        <v>0</v>
      </c>
      <c r="M23" s="472">
        <v>0</v>
      </c>
      <c r="N23" s="472">
        <v>0</v>
      </c>
      <c r="O23" s="472">
        <v>0</v>
      </c>
      <c r="P23" s="472">
        <v>0</v>
      </c>
      <c r="Q23" s="472"/>
      <c r="R23" s="472"/>
      <c r="S23" s="472"/>
      <c r="T23" s="472"/>
      <c r="U23" s="504">
        <v>0</v>
      </c>
    </row>
    <row r="24" spans="1:21" ht="15" thickBot="1">
      <c r="A24" s="497"/>
      <c r="B24" s="461" t="s">
        <v>209</v>
      </c>
      <c r="C24" s="469">
        <f>SUM(C22:C23)</f>
        <v>0</v>
      </c>
      <c r="D24" s="469">
        <f>SUM(D22:D23)</f>
        <v>0</v>
      </c>
      <c r="E24" s="469">
        <f t="shared" ref="E24:U24" si="10">SUM(E22:E23)</f>
        <v>0</v>
      </c>
      <c r="F24" s="469">
        <f t="shared" si="10"/>
        <v>0</v>
      </c>
      <c r="G24" s="469">
        <f t="shared" si="10"/>
        <v>0</v>
      </c>
      <c r="H24" s="469">
        <f t="shared" si="10"/>
        <v>0</v>
      </c>
      <c r="I24" s="469">
        <f t="shared" si="10"/>
        <v>0</v>
      </c>
      <c r="J24" s="469">
        <f t="shared" si="10"/>
        <v>0</v>
      </c>
      <c r="K24" s="469">
        <f t="shared" si="10"/>
        <v>0</v>
      </c>
      <c r="L24" s="469">
        <f t="shared" si="10"/>
        <v>0</v>
      </c>
      <c r="M24" s="469">
        <f t="shared" si="10"/>
        <v>0</v>
      </c>
      <c r="N24" s="469">
        <f t="shared" si="10"/>
        <v>0</v>
      </c>
      <c r="O24" s="469">
        <f t="shared" si="10"/>
        <v>0</v>
      </c>
      <c r="P24" s="469">
        <f t="shared" si="10"/>
        <v>0</v>
      </c>
      <c r="Q24" s="469"/>
      <c r="R24" s="469"/>
      <c r="S24" s="469"/>
      <c r="T24" s="469"/>
      <c r="U24" s="503">
        <f t="shared" si="10"/>
        <v>0</v>
      </c>
    </row>
    <row r="25" spans="1:21" ht="15" thickTop="1">
      <c r="A25" s="497"/>
      <c r="B25" s="463"/>
      <c r="C25" s="463"/>
      <c r="D25" s="472"/>
      <c r="U25" s="501"/>
    </row>
    <row r="26" spans="1:21">
      <c r="A26" s="495" t="s">
        <v>102</v>
      </c>
      <c r="B26" s="460" t="s">
        <v>210</v>
      </c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96"/>
    </row>
    <row r="27" spans="1:21">
      <c r="A27" s="497"/>
      <c r="B27" s="465" t="s">
        <v>225</v>
      </c>
      <c r="C27" s="505"/>
      <c r="D27" s="505"/>
      <c r="E27" s="505"/>
      <c r="F27" s="505"/>
      <c r="G27" s="505"/>
      <c r="H27" s="505"/>
      <c r="I27" s="505"/>
      <c r="J27" s="505"/>
      <c r="K27" s="505"/>
      <c r="L27" s="505"/>
      <c r="M27" s="505"/>
      <c r="N27" s="505"/>
      <c r="O27" s="505">
        <f t="shared" ref="O27:O29" si="11">SUM(C27:N27)</f>
        <v>0</v>
      </c>
      <c r="P27" s="505"/>
      <c r="Q27" s="505"/>
      <c r="R27" s="505"/>
      <c r="S27" s="505"/>
      <c r="T27" s="505"/>
      <c r="U27" s="506">
        <f t="shared" ref="U27:U29" si="12">SUM(P27:T27)</f>
        <v>0</v>
      </c>
    </row>
    <row r="28" spans="1:21">
      <c r="A28" s="497"/>
      <c r="B28" s="465" t="s">
        <v>226</v>
      </c>
      <c r="C28" s="505"/>
      <c r="D28" s="505"/>
      <c r="E28" s="505"/>
      <c r="F28" s="505"/>
      <c r="G28" s="505"/>
      <c r="H28" s="505"/>
      <c r="I28" s="505"/>
      <c r="J28" s="505"/>
      <c r="K28" s="505"/>
      <c r="L28" s="505"/>
      <c r="M28" s="505"/>
      <c r="N28" s="505"/>
      <c r="O28" s="505">
        <f t="shared" si="11"/>
        <v>0</v>
      </c>
      <c r="P28" s="505"/>
      <c r="Q28" s="505"/>
      <c r="R28" s="505"/>
      <c r="S28" s="505"/>
      <c r="T28" s="505"/>
      <c r="U28" s="506">
        <f t="shared" si="12"/>
        <v>0</v>
      </c>
    </row>
    <row r="29" spans="1:21">
      <c r="A29" s="497"/>
      <c r="B29" s="465" t="s">
        <v>227</v>
      </c>
      <c r="C29" s="505"/>
      <c r="D29" s="505"/>
      <c r="E29" s="505"/>
      <c r="F29" s="505"/>
      <c r="G29" s="505"/>
      <c r="H29" s="505"/>
      <c r="I29" s="505"/>
      <c r="J29" s="505"/>
      <c r="K29" s="505"/>
      <c r="L29" s="505"/>
      <c r="M29" s="505"/>
      <c r="N29" s="505"/>
      <c r="O29" s="505">
        <f t="shared" si="11"/>
        <v>0</v>
      </c>
      <c r="P29" s="505"/>
      <c r="Q29" s="505"/>
      <c r="R29" s="505"/>
      <c r="S29" s="505"/>
      <c r="T29" s="505"/>
      <c r="U29" s="506">
        <f t="shared" si="12"/>
        <v>0</v>
      </c>
    </row>
    <row r="30" spans="1:21">
      <c r="A30" s="497"/>
      <c r="B30" s="468"/>
      <c r="C30" s="505"/>
      <c r="D30" s="505"/>
      <c r="E30" s="505"/>
      <c r="F30" s="505"/>
      <c r="G30" s="505"/>
      <c r="H30" s="505"/>
      <c r="I30" s="505"/>
      <c r="J30" s="505"/>
      <c r="K30" s="505"/>
      <c r="L30" s="505"/>
      <c r="M30" s="505"/>
      <c r="N30" s="505"/>
      <c r="O30" s="505"/>
      <c r="P30" s="505"/>
      <c r="Q30" s="505"/>
      <c r="R30" s="505"/>
      <c r="S30" s="505"/>
      <c r="T30" s="505"/>
      <c r="U30" s="506"/>
    </row>
    <row r="31" spans="1:21" ht="15" thickBot="1">
      <c r="A31" s="497"/>
      <c r="B31" s="461" t="s">
        <v>211</v>
      </c>
      <c r="C31" s="473">
        <f>SUM(C27:C29)</f>
        <v>0</v>
      </c>
      <c r="D31" s="473">
        <f>SUM(D27:D29)</f>
        <v>0</v>
      </c>
      <c r="E31" s="473">
        <f t="shared" ref="E31:U31" si="13">SUM(E27:E29)</f>
        <v>0</v>
      </c>
      <c r="F31" s="473">
        <f t="shared" si="13"/>
        <v>0</v>
      </c>
      <c r="G31" s="473">
        <f t="shared" si="13"/>
        <v>0</v>
      </c>
      <c r="H31" s="473">
        <f t="shared" si="13"/>
        <v>0</v>
      </c>
      <c r="I31" s="473">
        <f t="shared" si="13"/>
        <v>0</v>
      </c>
      <c r="J31" s="473">
        <f t="shared" si="13"/>
        <v>0</v>
      </c>
      <c r="K31" s="473">
        <f t="shared" si="13"/>
        <v>0</v>
      </c>
      <c r="L31" s="473">
        <f t="shared" si="13"/>
        <v>0</v>
      </c>
      <c r="M31" s="473">
        <f t="shared" si="13"/>
        <v>0</v>
      </c>
      <c r="N31" s="473">
        <f t="shared" si="13"/>
        <v>0</v>
      </c>
      <c r="O31" s="473">
        <f t="shared" si="13"/>
        <v>0</v>
      </c>
      <c r="P31" s="473">
        <f t="shared" si="13"/>
        <v>0</v>
      </c>
      <c r="Q31" s="473"/>
      <c r="R31" s="473"/>
      <c r="S31" s="473"/>
      <c r="T31" s="473"/>
      <c r="U31" s="507">
        <f t="shared" si="13"/>
        <v>0</v>
      </c>
    </row>
    <row r="32" spans="1:21" ht="15" thickTop="1">
      <c r="A32" s="497"/>
      <c r="B32" s="463"/>
      <c r="C32" s="463"/>
      <c r="D32" s="472"/>
      <c r="U32" s="501"/>
    </row>
    <row r="33" spans="1:21">
      <c r="A33" s="495" t="s">
        <v>103</v>
      </c>
      <c r="B33" s="460" t="s">
        <v>228</v>
      </c>
      <c r="C33" s="490">
        <f>C19+C24+C31</f>
        <v>0</v>
      </c>
      <c r="D33" s="490">
        <f>D19+D24+D31</f>
        <v>0</v>
      </c>
      <c r="E33" s="490">
        <f t="shared" ref="E33:U33" si="14">E19+E24+E31</f>
        <v>0</v>
      </c>
      <c r="F33" s="490">
        <f t="shared" si="14"/>
        <v>0</v>
      </c>
      <c r="G33" s="490">
        <f t="shared" si="14"/>
        <v>0</v>
      </c>
      <c r="H33" s="490">
        <f t="shared" si="14"/>
        <v>0</v>
      </c>
      <c r="I33" s="490">
        <f t="shared" si="14"/>
        <v>0</v>
      </c>
      <c r="J33" s="490">
        <f t="shared" si="14"/>
        <v>0</v>
      </c>
      <c r="K33" s="490">
        <f t="shared" si="14"/>
        <v>0</v>
      </c>
      <c r="L33" s="490">
        <f t="shared" si="14"/>
        <v>0</v>
      </c>
      <c r="M33" s="490">
        <f t="shared" si="14"/>
        <v>0</v>
      </c>
      <c r="N33" s="490">
        <f t="shared" si="14"/>
        <v>0</v>
      </c>
      <c r="O33" s="490">
        <f t="shared" si="14"/>
        <v>0</v>
      </c>
      <c r="P33" s="490">
        <f t="shared" si="14"/>
        <v>0</v>
      </c>
      <c r="Q33" s="490"/>
      <c r="R33" s="490"/>
      <c r="S33" s="490"/>
      <c r="T33" s="490"/>
      <c r="U33" s="508">
        <f t="shared" si="14"/>
        <v>0</v>
      </c>
    </row>
    <row r="34" spans="1:21">
      <c r="A34" s="497"/>
      <c r="B34" s="461"/>
      <c r="C34" s="464"/>
      <c r="D34" s="464"/>
      <c r="E34" s="464"/>
      <c r="F34" s="464"/>
      <c r="G34" s="464"/>
      <c r="H34" s="464"/>
      <c r="I34" s="464"/>
      <c r="J34" s="464"/>
      <c r="K34" s="464"/>
      <c r="L34" s="464"/>
      <c r="M34" s="464"/>
      <c r="N34" s="464"/>
      <c r="O34" s="464"/>
      <c r="P34" s="464"/>
      <c r="Q34" s="464"/>
      <c r="R34" s="464"/>
      <c r="S34" s="464"/>
      <c r="T34" s="464"/>
      <c r="U34" s="499"/>
    </row>
    <row r="35" spans="1:21">
      <c r="A35" s="497"/>
      <c r="B35" s="471" t="s">
        <v>212</v>
      </c>
      <c r="C35" s="464">
        <f>C47</f>
        <v>0</v>
      </c>
      <c r="D35" s="464">
        <f>D47</f>
        <v>0</v>
      </c>
      <c r="E35" s="464">
        <f t="shared" ref="E35:U35" si="15">E47</f>
        <v>0</v>
      </c>
      <c r="F35" s="464">
        <f t="shared" si="15"/>
        <v>0</v>
      </c>
      <c r="G35" s="464">
        <f t="shared" si="15"/>
        <v>0</v>
      </c>
      <c r="H35" s="464">
        <f t="shared" si="15"/>
        <v>0</v>
      </c>
      <c r="I35" s="464">
        <f t="shared" si="15"/>
        <v>0</v>
      </c>
      <c r="J35" s="464">
        <f t="shared" si="15"/>
        <v>0</v>
      </c>
      <c r="K35" s="464">
        <f t="shared" si="15"/>
        <v>0</v>
      </c>
      <c r="L35" s="464">
        <f t="shared" si="15"/>
        <v>0</v>
      </c>
      <c r="M35" s="464">
        <f t="shared" si="15"/>
        <v>0</v>
      </c>
      <c r="N35" s="464">
        <f t="shared" si="15"/>
        <v>0</v>
      </c>
      <c r="O35" s="464">
        <f t="shared" si="15"/>
        <v>0</v>
      </c>
      <c r="P35" s="464">
        <f t="shared" si="15"/>
        <v>0</v>
      </c>
      <c r="Q35" s="464">
        <f t="shared" si="15"/>
        <v>0</v>
      </c>
      <c r="R35" s="464">
        <f t="shared" si="15"/>
        <v>0</v>
      </c>
      <c r="S35" s="464">
        <f t="shared" si="15"/>
        <v>0</v>
      </c>
      <c r="T35" s="464">
        <f t="shared" si="15"/>
        <v>0</v>
      </c>
      <c r="U35" s="499">
        <f t="shared" si="15"/>
        <v>0</v>
      </c>
    </row>
    <row r="36" spans="1:21" ht="15" thickBot="1">
      <c r="A36" s="509" t="s">
        <v>229</v>
      </c>
      <c r="B36" s="510" t="s">
        <v>213</v>
      </c>
      <c r="C36" s="511">
        <f t="shared" ref="C36:P36" si="16">C33+C35</f>
        <v>0</v>
      </c>
      <c r="D36" s="511">
        <f t="shared" si="16"/>
        <v>0</v>
      </c>
      <c r="E36" s="511">
        <f t="shared" si="16"/>
        <v>0</v>
      </c>
      <c r="F36" s="511">
        <f t="shared" si="16"/>
        <v>0</v>
      </c>
      <c r="G36" s="511">
        <f t="shared" si="16"/>
        <v>0</v>
      </c>
      <c r="H36" s="511">
        <f t="shared" si="16"/>
        <v>0</v>
      </c>
      <c r="I36" s="511">
        <f t="shared" si="16"/>
        <v>0</v>
      </c>
      <c r="J36" s="511">
        <f t="shared" si="16"/>
        <v>0</v>
      </c>
      <c r="K36" s="511">
        <f t="shared" si="16"/>
        <v>0</v>
      </c>
      <c r="L36" s="511">
        <f t="shared" si="16"/>
        <v>0</v>
      </c>
      <c r="M36" s="511">
        <f t="shared" si="16"/>
        <v>0</v>
      </c>
      <c r="N36" s="511">
        <f t="shared" si="16"/>
        <v>0</v>
      </c>
      <c r="O36" s="511">
        <f t="shared" si="16"/>
        <v>0</v>
      </c>
      <c r="P36" s="511">
        <f t="shared" si="16"/>
        <v>0</v>
      </c>
      <c r="Q36" s="511"/>
      <c r="R36" s="511"/>
      <c r="S36" s="511"/>
      <c r="T36" s="511"/>
      <c r="U36" s="512">
        <f>U33+U35</f>
        <v>0</v>
      </c>
    </row>
    <row r="37" spans="1:21">
      <c r="B37" s="463"/>
      <c r="C37" s="472"/>
      <c r="D37" s="472"/>
      <c r="E37" s="472"/>
      <c r="F37" s="472"/>
      <c r="G37" s="472"/>
      <c r="H37" s="472"/>
      <c r="I37" s="472"/>
      <c r="J37" s="472"/>
      <c r="K37" s="472"/>
      <c r="L37" s="472"/>
      <c r="M37" s="472"/>
      <c r="N37" s="472"/>
      <c r="O37" s="472"/>
      <c r="P37" s="472"/>
      <c r="Q37" s="472"/>
      <c r="R37" s="472"/>
      <c r="S37" s="472"/>
      <c r="T37" s="472"/>
      <c r="U37" s="472"/>
    </row>
    <row r="38" spans="1:21">
      <c r="B38" s="474" t="s">
        <v>214</v>
      </c>
      <c r="C38" s="472"/>
      <c r="D38" s="472"/>
      <c r="E38" s="472"/>
      <c r="F38" s="472"/>
      <c r="G38" s="472"/>
      <c r="H38" s="472"/>
      <c r="I38" s="472"/>
      <c r="J38" s="472"/>
      <c r="K38" s="472"/>
      <c r="L38" s="472"/>
      <c r="M38" s="472"/>
      <c r="N38" s="472"/>
      <c r="O38" s="472"/>
      <c r="P38" s="472"/>
      <c r="Q38" s="472"/>
      <c r="R38" s="472"/>
      <c r="S38" s="472"/>
      <c r="T38" s="472"/>
      <c r="U38" s="472"/>
    </row>
    <row r="39" spans="1:21">
      <c r="B39" s="463"/>
      <c r="C39" s="472"/>
      <c r="D39" s="472"/>
      <c r="E39" s="472"/>
      <c r="F39" s="472"/>
      <c r="G39" s="472"/>
      <c r="H39" s="472"/>
      <c r="I39" s="472"/>
      <c r="J39" s="472"/>
      <c r="K39" s="472"/>
      <c r="L39" s="472"/>
      <c r="M39" s="472"/>
      <c r="N39" s="472"/>
      <c r="O39" s="472"/>
      <c r="P39" s="472"/>
      <c r="Q39" s="472"/>
      <c r="R39" s="472"/>
      <c r="S39" s="472"/>
      <c r="T39" s="472"/>
      <c r="U39" s="472"/>
    </row>
    <row r="40" spans="1:21">
      <c r="B40" s="475" t="s">
        <v>215</v>
      </c>
      <c r="C40" s="472"/>
      <c r="D40" s="472"/>
      <c r="E40" s="472"/>
      <c r="F40" s="472"/>
      <c r="G40" s="472"/>
      <c r="H40" s="472"/>
      <c r="I40" s="472"/>
      <c r="J40" s="472"/>
      <c r="K40" s="472"/>
      <c r="L40" s="472"/>
      <c r="M40" s="472"/>
      <c r="N40" s="472"/>
      <c r="O40" s="472"/>
      <c r="P40" s="472"/>
      <c r="Q40" s="472"/>
      <c r="R40" s="472"/>
      <c r="S40" s="472"/>
      <c r="T40" s="472"/>
      <c r="U40" s="472"/>
    </row>
    <row r="41" spans="1:21">
      <c r="B41" s="471" t="s">
        <v>216</v>
      </c>
      <c r="C41" s="464"/>
      <c r="D41" s="464"/>
      <c r="E41" s="464"/>
      <c r="F41" s="464"/>
      <c r="G41" s="464"/>
      <c r="H41" s="464"/>
      <c r="I41" s="464"/>
      <c r="J41" s="464"/>
      <c r="K41" s="464"/>
      <c r="L41" s="464"/>
      <c r="M41" s="464"/>
      <c r="N41" s="464"/>
      <c r="O41" s="464">
        <f t="shared" ref="O41" si="17">O54</f>
        <v>0</v>
      </c>
      <c r="P41" s="464"/>
      <c r="Q41" s="464"/>
      <c r="R41" s="464"/>
      <c r="S41" s="464"/>
      <c r="T41" s="464"/>
      <c r="U41" s="464">
        <f>SUM(P41:T41)</f>
        <v>0</v>
      </c>
    </row>
    <row r="42" spans="1:21">
      <c r="B42" s="476" t="s">
        <v>217</v>
      </c>
      <c r="C42" s="464"/>
      <c r="D42" s="464"/>
      <c r="E42" s="464"/>
      <c r="F42" s="464"/>
      <c r="G42" s="464"/>
      <c r="H42" s="464"/>
      <c r="I42" s="464"/>
      <c r="J42" s="464"/>
      <c r="K42" s="464"/>
      <c r="L42" s="464"/>
      <c r="M42" s="464"/>
      <c r="N42" s="464"/>
      <c r="O42" s="464">
        <f t="shared" ref="O42" si="18">O55</f>
        <v>0</v>
      </c>
      <c r="P42" s="464"/>
      <c r="Q42" s="464"/>
      <c r="R42" s="464"/>
      <c r="S42" s="464"/>
      <c r="T42" s="464"/>
      <c r="U42" s="464">
        <f t="shared" ref="U42:U46" si="19">SUM(P42:T42)</f>
        <v>0</v>
      </c>
    </row>
    <row r="43" spans="1:21">
      <c r="B43" s="471" t="s">
        <v>218</v>
      </c>
      <c r="C43" s="464"/>
      <c r="D43" s="464"/>
      <c r="E43" s="464"/>
      <c r="F43" s="464"/>
      <c r="G43" s="464"/>
      <c r="H43" s="464"/>
      <c r="I43" s="464"/>
      <c r="J43" s="464"/>
      <c r="K43" s="464"/>
      <c r="L43" s="464"/>
      <c r="M43" s="464"/>
      <c r="N43" s="464"/>
      <c r="O43" s="464">
        <f t="shared" ref="O43" si="20">O56</f>
        <v>0</v>
      </c>
      <c r="P43" s="464"/>
      <c r="Q43" s="464"/>
      <c r="R43" s="464"/>
      <c r="S43" s="464"/>
      <c r="T43" s="464"/>
      <c r="U43" s="464">
        <f t="shared" si="19"/>
        <v>0</v>
      </c>
    </row>
    <row r="44" spans="1:21">
      <c r="B44" s="471" t="s">
        <v>219</v>
      </c>
      <c r="C44" s="464"/>
      <c r="D44" s="464"/>
      <c r="E44" s="464"/>
      <c r="F44" s="464"/>
      <c r="G44" s="464"/>
      <c r="H44" s="464"/>
      <c r="I44" s="464"/>
      <c r="J44" s="464"/>
      <c r="K44" s="464"/>
      <c r="L44" s="464"/>
      <c r="M44" s="464"/>
      <c r="N44" s="464"/>
      <c r="O44" s="464">
        <f t="shared" ref="O44" si="21">O57</f>
        <v>0</v>
      </c>
      <c r="P44" s="464"/>
      <c r="Q44" s="464"/>
      <c r="R44" s="464"/>
      <c r="S44" s="464"/>
      <c r="T44" s="464"/>
      <c r="U44" s="464">
        <f t="shared" si="19"/>
        <v>0</v>
      </c>
    </row>
    <row r="45" spans="1:21">
      <c r="B45" s="471" t="s">
        <v>220</v>
      </c>
      <c r="C45" s="464"/>
      <c r="D45" s="464"/>
      <c r="E45" s="464"/>
      <c r="F45" s="464"/>
      <c r="G45" s="464"/>
      <c r="H45" s="464"/>
      <c r="I45" s="464"/>
      <c r="J45" s="464"/>
      <c r="K45" s="464"/>
      <c r="L45" s="464"/>
      <c r="M45" s="464"/>
      <c r="N45" s="464"/>
      <c r="O45" s="464">
        <f t="shared" ref="O45" si="22">O58</f>
        <v>0</v>
      </c>
      <c r="P45" s="464"/>
      <c r="Q45" s="464"/>
      <c r="R45" s="464"/>
      <c r="S45" s="464"/>
      <c r="T45" s="464"/>
      <c r="U45" s="464">
        <f t="shared" si="19"/>
        <v>0</v>
      </c>
    </row>
    <row r="46" spans="1:21">
      <c r="B46" s="471" t="s">
        <v>221</v>
      </c>
      <c r="C46" s="464"/>
      <c r="D46" s="464"/>
      <c r="E46" s="464"/>
      <c r="F46" s="464"/>
      <c r="G46" s="464"/>
      <c r="H46" s="464"/>
      <c r="I46" s="464"/>
      <c r="J46" s="464"/>
      <c r="K46" s="464"/>
      <c r="L46" s="464"/>
      <c r="M46" s="464"/>
      <c r="N46" s="464"/>
      <c r="O46" s="464">
        <f t="shared" ref="O46" si="23">O59</f>
        <v>0</v>
      </c>
      <c r="P46" s="464"/>
      <c r="Q46" s="464"/>
      <c r="R46" s="464"/>
      <c r="S46" s="464"/>
      <c r="T46" s="464"/>
      <c r="U46" s="464">
        <f t="shared" si="19"/>
        <v>0</v>
      </c>
    </row>
    <row r="47" spans="1:21" ht="15" thickBot="1">
      <c r="B47" s="461" t="s">
        <v>62</v>
      </c>
      <c r="C47" s="469">
        <f>SUM(C41:C46)</f>
        <v>0</v>
      </c>
      <c r="D47" s="469">
        <f>SUM(D41:D46)</f>
        <v>0</v>
      </c>
      <c r="E47" s="469">
        <f t="shared" ref="E47:U47" si="24">SUM(E41:E46)</f>
        <v>0</v>
      </c>
      <c r="F47" s="469">
        <f t="shared" si="24"/>
        <v>0</v>
      </c>
      <c r="G47" s="469">
        <f t="shared" si="24"/>
        <v>0</v>
      </c>
      <c r="H47" s="469">
        <f t="shared" si="24"/>
        <v>0</v>
      </c>
      <c r="I47" s="469">
        <f t="shared" si="24"/>
        <v>0</v>
      </c>
      <c r="J47" s="469">
        <f t="shared" si="24"/>
        <v>0</v>
      </c>
      <c r="K47" s="469">
        <f t="shared" si="24"/>
        <v>0</v>
      </c>
      <c r="L47" s="469">
        <f t="shared" si="24"/>
        <v>0</v>
      </c>
      <c r="M47" s="469">
        <f t="shared" si="24"/>
        <v>0</v>
      </c>
      <c r="N47" s="469">
        <f t="shared" si="24"/>
        <v>0</v>
      </c>
      <c r="O47" s="469">
        <f t="shared" si="24"/>
        <v>0</v>
      </c>
      <c r="P47" s="469">
        <f t="shared" si="24"/>
        <v>0</v>
      </c>
      <c r="Q47" s="469"/>
      <c r="R47" s="469"/>
      <c r="S47" s="469"/>
      <c r="T47" s="469"/>
      <c r="U47" s="469">
        <f t="shared" si="24"/>
        <v>0</v>
      </c>
    </row>
    <row r="48" spans="1:21" ht="15" thickTop="1">
      <c r="B48" s="463"/>
      <c r="C48" s="463"/>
      <c r="D48" s="477"/>
    </row>
    <row r="49" spans="2:4">
      <c r="B49" s="463"/>
      <c r="C49" s="463"/>
      <c r="D49" s="478"/>
    </row>
    <row r="50" spans="2:4">
      <c r="B50" s="479" t="s">
        <v>222</v>
      </c>
      <c r="C50" s="479"/>
      <c r="D50" s="480"/>
    </row>
    <row r="51" spans="2:4">
      <c r="B51" s="564" t="s">
        <v>223</v>
      </c>
      <c r="C51" s="564"/>
      <c r="D51" s="564"/>
    </row>
    <row r="52" spans="2:4">
      <c r="B52" s="481"/>
      <c r="C52" s="481"/>
      <c r="D52" s="482"/>
    </row>
    <row r="53" spans="2:4">
      <c r="B53" s="483"/>
      <c r="C53" s="483"/>
      <c r="D53" s="482"/>
    </row>
    <row r="54" spans="2:4">
      <c r="B54" s="484"/>
      <c r="C54" s="484"/>
      <c r="D54" s="482"/>
    </row>
    <row r="55" spans="2:4">
      <c r="B55" s="485"/>
      <c r="C55" s="485"/>
      <c r="D55" s="482"/>
    </row>
    <row r="56" spans="2:4">
      <c r="B56" s="486"/>
      <c r="C56" s="486"/>
      <c r="D56" s="482"/>
    </row>
    <row r="57" spans="2:4">
      <c r="B57" s="487"/>
      <c r="C57" s="484"/>
      <c r="D57" s="488"/>
    </row>
    <row r="58" spans="2:4">
      <c r="B58" s="487"/>
      <c r="C58" s="487"/>
      <c r="D58" s="489"/>
    </row>
    <row r="59" spans="2:4">
      <c r="B59" s="486"/>
      <c r="C59" s="487"/>
      <c r="D59" s="482"/>
    </row>
    <row r="60" spans="2:4">
      <c r="B60" s="487"/>
      <c r="C60" s="485"/>
      <c r="D60" s="482"/>
    </row>
    <row r="61" spans="2:4">
      <c r="B61" s="487"/>
      <c r="C61" s="483"/>
      <c r="D61" s="482"/>
    </row>
    <row r="62" spans="2:4">
      <c r="B62" s="487"/>
      <c r="C62" s="483"/>
      <c r="D62" s="482"/>
    </row>
    <row r="63" spans="2:4">
      <c r="B63" s="487"/>
      <c r="C63" s="488"/>
      <c r="D63" s="482"/>
    </row>
    <row r="64" spans="2:4">
      <c r="B64" s="487"/>
      <c r="C64" s="488"/>
      <c r="D64" s="482"/>
    </row>
  </sheetData>
  <mergeCells count="1">
    <mergeCell ref="B51:D51"/>
  </mergeCells>
  <conditionalFormatting sqref="B4">
    <cfRule type="duplicateValues" dxfId="0" priority="1"/>
  </conditionalFormatting>
  <pageMargins left="0.7" right="0.7" top="0.75" bottom="0.75" header="0.3" footer="0.3"/>
  <ignoredErrors>
    <ignoredError sqref="C17:N17 C19:N19 C7:N13 U17 U19 C24:N31 C33:N35 U33:U35 O22:O35 P33:P35 C47:P47 P24:P31 P19 P17 P7:P13 Q8:T8 U10:U13 U30:U31 U24:U26 U22:U23 U27:U29 U7:U8 U6 U9 C36:N46 U36:U40 O36:O46 P36:P46 Q35:T35 U47 U41:U46" unlockedFormula="1"/>
    <ignoredError sqref="O14:O16 O20:O21 O18 O9 O6 O7:O8 O17 O19 O10:O13" formula="1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873E-8CED-4498-8142-459438B6723C}">
  <dimension ref="A1:DT113"/>
  <sheetViews>
    <sheetView showGridLines="0" zoomScale="63" zoomScaleNormal="100" workbookViewId="0">
      <pane xSplit="4" ySplit="5" topLeftCell="E39" activePane="bottomRight" state="frozen"/>
      <selection pane="topRight" activeCell="E1" sqref="E1"/>
      <selection pane="bottomLeft" activeCell="A6" sqref="A6"/>
      <selection pane="bottomRight" activeCell="A78" sqref="A78"/>
    </sheetView>
  </sheetViews>
  <sheetFormatPr defaultColWidth="14" defaultRowHeight="15" customHeight="1" outlineLevelCol="1"/>
  <cols>
    <col min="1" max="3" width="3.36328125" customWidth="1"/>
    <col min="4" max="4" width="57.81640625" customWidth="1"/>
    <col min="5" max="7" width="15.6328125" customWidth="1"/>
    <col min="8" max="43" width="15.6328125" customWidth="1" outlineLevel="1"/>
    <col min="44" max="46" width="15.6328125" customWidth="1"/>
    <col min="47" max="82" width="15.6328125" customWidth="1" outlineLevel="1"/>
    <col min="83" max="85" width="15.6328125" customWidth="1"/>
    <col min="86" max="121" width="15.6328125" customWidth="1" outlineLevel="1"/>
    <col min="122" max="124" width="15.6328125" customWidth="1"/>
  </cols>
  <sheetData>
    <row r="1" spans="1:124" ht="15" customHeight="1" thickBo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</row>
    <row r="2" spans="1:124" ht="18" customHeight="1">
      <c r="A2" s="23"/>
      <c r="B2" s="35" t="s">
        <v>243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7"/>
    </row>
    <row r="3" spans="1:124" ht="4.9000000000000004" customHeight="1" thickBot="1">
      <c r="A3" s="23"/>
      <c r="B3" s="47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</row>
    <row r="4" spans="1:124" ht="14.25" customHeight="1">
      <c r="A4" s="23"/>
      <c r="B4" s="565" t="s">
        <v>0</v>
      </c>
      <c r="C4" s="566"/>
      <c r="D4" s="261" t="s">
        <v>1</v>
      </c>
      <c r="E4" s="426" t="s">
        <v>21</v>
      </c>
      <c r="F4" s="427"/>
      <c r="G4" s="428"/>
      <c r="H4" s="263" t="s">
        <v>48</v>
      </c>
      <c r="I4" s="263"/>
      <c r="J4" s="543"/>
      <c r="K4" s="263" t="s">
        <v>49</v>
      </c>
      <c r="L4" s="263"/>
      <c r="M4" s="543"/>
      <c r="N4" s="262" t="s">
        <v>50</v>
      </c>
      <c r="O4" s="263"/>
      <c r="P4" s="543"/>
      <c r="Q4" s="262" t="s">
        <v>51</v>
      </c>
      <c r="R4" s="263"/>
      <c r="S4" s="543"/>
      <c r="T4" s="262" t="s">
        <v>52</v>
      </c>
      <c r="U4" s="263"/>
      <c r="V4" s="543"/>
      <c r="W4" s="262" t="s">
        <v>53</v>
      </c>
      <c r="X4" s="263"/>
      <c r="Y4" s="543"/>
      <c r="Z4" s="262" t="s">
        <v>54</v>
      </c>
      <c r="AA4" s="263"/>
      <c r="AB4" s="543"/>
      <c r="AC4" s="262" t="s">
        <v>55</v>
      </c>
      <c r="AD4" s="263"/>
      <c r="AE4" s="543"/>
      <c r="AF4" s="262" t="s">
        <v>56</v>
      </c>
      <c r="AG4" s="263"/>
      <c r="AH4" s="543"/>
      <c r="AI4" s="262" t="s">
        <v>57</v>
      </c>
      <c r="AJ4" s="263"/>
      <c r="AK4" s="543"/>
      <c r="AL4" s="262" t="s">
        <v>58</v>
      </c>
      <c r="AM4" s="263"/>
      <c r="AN4" s="543"/>
      <c r="AO4" s="262" t="s">
        <v>59</v>
      </c>
      <c r="AP4" s="263"/>
      <c r="AQ4" s="543"/>
      <c r="AR4" s="426" t="s">
        <v>22</v>
      </c>
      <c r="AS4" s="427"/>
      <c r="AT4" s="428"/>
      <c r="AU4" s="264" t="s">
        <v>14</v>
      </c>
      <c r="AV4" s="263"/>
      <c r="AW4" s="543"/>
      <c r="AX4" s="262" t="s">
        <v>15</v>
      </c>
      <c r="AY4" s="263"/>
      <c r="AZ4" s="543"/>
      <c r="BA4" s="262" t="s">
        <v>16</v>
      </c>
      <c r="BB4" s="263"/>
      <c r="BC4" s="543"/>
      <c r="BD4" s="262" t="s">
        <v>17</v>
      </c>
      <c r="BE4" s="263"/>
      <c r="BF4" s="543"/>
      <c r="BG4" s="262" t="s">
        <v>18</v>
      </c>
      <c r="BH4" s="263"/>
      <c r="BI4" s="543"/>
      <c r="BJ4" s="262" t="s">
        <v>19</v>
      </c>
      <c r="BK4" s="263"/>
      <c r="BL4" s="543"/>
      <c r="BM4" s="262" t="s">
        <v>20</v>
      </c>
      <c r="BN4" s="263"/>
      <c r="BO4" s="543"/>
      <c r="BP4" s="262" t="s">
        <v>36</v>
      </c>
      <c r="BQ4" s="263"/>
      <c r="BR4" s="543"/>
      <c r="BS4" s="262" t="s">
        <v>37</v>
      </c>
      <c r="BT4" s="263"/>
      <c r="BU4" s="543"/>
      <c r="BV4" s="262" t="s">
        <v>38</v>
      </c>
      <c r="BW4" s="263"/>
      <c r="BX4" s="543"/>
      <c r="BY4" s="262" t="s">
        <v>39</v>
      </c>
      <c r="BZ4" s="263"/>
      <c r="CA4" s="543"/>
      <c r="CB4" s="262" t="s">
        <v>40</v>
      </c>
      <c r="CC4" s="263"/>
      <c r="CD4" s="543"/>
      <c r="CE4" s="443" t="s">
        <v>147</v>
      </c>
      <c r="CF4" s="444"/>
      <c r="CG4" s="445"/>
      <c r="CH4" s="263" t="s">
        <v>148</v>
      </c>
      <c r="CI4" s="263"/>
      <c r="CJ4" s="543"/>
      <c r="CK4" s="262" t="s">
        <v>149</v>
      </c>
      <c r="CL4" s="263"/>
      <c r="CM4" s="543"/>
      <c r="CN4" s="262" t="s">
        <v>150</v>
      </c>
      <c r="CO4" s="263"/>
      <c r="CP4" s="543"/>
      <c r="CQ4" s="262" t="s">
        <v>151</v>
      </c>
      <c r="CR4" s="263"/>
      <c r="CS4" s="543"/>
      <c r="CT4" s="262" t="s">
        <v>152</v>
      </c>
      <c r="CU4" s="263"/>
      <c r="CV4" s="543"/>
      <c r="CW4" s="262" t="s">
        <v>153</v>
      </c>
      <c r="CX4" s="263"/>
      <c r="CY4" s="543"/>
      <c r="CZ4" s="262" t="s">
        <v>154</v>
      </c>
      <c r="DA4" s="263"/>
      <c r="DB4" s="543"/>
      <c r="DC4" s="262" t="s">
        <v>155</v>
      </c>
      <c r="DD4" s="263"/>
      <c r="DE4" s="543"/>
      <c r="DF4" s="262" t="s">
        <v>156</v>
      </c>
      <c r="DG4" s="263"/>
      <c r="DH4" s="543"/>
      <c r="DI4" s="262" t="s">
        <v>38</v>
      </c>
      <c r="DJ4" s="263"/>
      <c r="DK4" s="543"/>
      <c r="DL4" s="262" t="s">
        <v>39</v>
      </c>
      <c r="DM4" s="263"/>
      <c r="DN4" s="543"/>
      <c r="DO4" s="262" t="s">
        <v>40</v>
      </c>
      <c r="DP4" s="263"/>
      <c r="DQ4" s="543"/>
      <c r="DR4" s="451" t="s">
        <v>160</v>
      </c>
      <c r="DS4" s="452"/>
      <c r="DT4" s="453"/>
    </row>
    <row r="5" spans="1:124" s="30" customFormat="1" ht="14.25" customHeight="1">
      <c r="A5" s="24"/>
      <c r="B5" s="25"/>
      <c r="C5" s="26"/>
      <c r="D5" s="27"/>
      <c r="E5" s="429" t="s">
        <v>60</v>
      </c>
      <c r="F5" s="29" t="s">
        <v>61</v>
      </c>
      <c r="G5" s="430" t="s">
        <v>62</v>
      </c>
      <c r="H5" s="29" t="s">
        <v>60</v>
      </c>
      <c r="I5" s="29" t="s">
        <v>61</v>
      </c>
      <c r="J5" s="544" t="s">
        <v>62</v>
      </c>
      <c r="K5" s="29" t="s">
        <v>60</v>
      </c>
      <c r="L5" s="29" t="s">
        <v>61</v>
      </c>
      <c r="M5" s="544" t="s">
        <v>62</v>
      </c>
      <c r="N5" s="28" t="s">
        <v>60</v>
      </c>
      <c r="O5" s="29" t="s">
        <v>61</v>
      </c>
      <c r="P5" s="544" t="s">
        <v>62</v>
      </c>
      <c r="Q5" s="28" t="s">
        <v>60</v>
      </c>
      <c r="R5" s="29" t="s">
        <v>61</v>
      </c>
      <c r="S5" s="544" t="s">
        <v>62</v>
      </c>
      <c r="T5" s="28" t="s">
        <v>60</v>
      </c>
      <c r="U5" s="29" t="s">
        <v>61</v>
      </c>
      <c r="V5" s="544" t="s">
        <v>62</v>
      </c>
      <c r="W5" s="28" t="s">
        <v>60</v>
      </c>
      <c r="X5" s="29" t="s">
        <v>61</v>
      </c>
      <c r="Y5" s="544" t="s">
        <v>62</v>
      </c>
      <c r="Z5" s="28" t="s">
        <v>60</v>
      </c>
      <c r="AA5" s="29" t="s">
        <v>61</v>
      </c>
      <c r="AB5" s="544" t="s">
        <v>62</v>
      </c>
      <c r="AC5" s="28" t="s">
        <v>60</v>
      </c>
      <c r="AD5" s="29" t="s">
        <v>61</v>
      </c>
      <c r="AE5" s="544" t="s">
        <v>62</v>
      </c>
      <c r="AF5" s="28" t="s">
        <v>60</v>
      </c>
      <c r="AG5" s="29" t="s">
        <v>61</v>
      </c>
      <c r="AH5" s="544" t="s">
        <v>62</v>
      </c>
      <c r="AI5" s="28" t="s">
        <v>60</v>
      </c>
      <c r="AJ5" s="29" t="s">
        <v>61</v>
      </c>
      <c r="AK5" s="544" t="s">
        <v>62</v>
      </c>
      <c r="AL5" s="28" t="s">
        <v>60</v>
      </c>
      <c r="AM5" s="29" t="s">
        <v>61</v>
      </c>
      <c r="AN5" s="544" t="s">
        <v>62</v>
      </c>
      <c r="AO5" s="28" t="s">
        <v>60</v>
      </c>
      <c r="AP5" s="29" t="s">
        <v>61</v>
      </c>
      <c r="AQ5" s="544" t="s">
        <v>62</v>
      </c>
      <c r="AR5" s="429" t="s">
        <v>60</v>
      </c>
      <c r="AS5" s="29" t="s">
        <v>61</v>
      </c>
      <c r="AT5" s="430" t="s">
        <v>62</v>
      </c>
      <c r="AU5" s="33" t="s">
        <v>60</v>
      </c>
      <c r="AV5" s="29" t="s">
        <v>61</v>
      </c>
      <c r="AW5" s="544" t="s">
        <v>62</v>
      </c>
      <c r="AX5" s="28" t="s">
        <v>60</v>
      </c>
      <c r="AY5" s="29" t="s">
        <v>61</v>
      </c>
      <c r="AZ5" s="544" t="s">
        <v>62</v>
      </c>
      <c r="BA5" s="28" t="s">
        <v>60</v>
      </c>
      <c r="BB5" s="29" t="s">
        <v>61</v>
      </c>
      <c r="BC5" s="544" t="s">
        <v>62</v>
      </c>
      <c r="BD5" s="28" t="s">
        <v>60</v>
      </c>
      <c r="BE5" s="29" t="s">
        <v>61</v>
      </c>
      <c r="BF5" s="544" t="s">
        <v>62</v>
      </c>
      <c r="BG5" s="28" t="s">
        <v>60</v>
      </c>
      <c r="BH5" s="29" t="s">
        <v>61</v>
      </c>
      <c r="BI5" s="544" t="s">
        <v>62</v>
      </c>
      <c r="BJ5" s="28" t="s">
        <v>60</v>
      </c>
      <c r="BK5" s="29" t="s">
        <v>61</v>
      </c>
      <c r="BL5" s="544" t="s">
        <v>62</v>
      </c>
      <c r="BM5" s="28" t="s">
        <v>60</v>
      </c>
      <c r="BN5" s="29" t="s">
        <v>61</v>
      </c>
      <c r="BO5" s="544" t="s">
        <v>62</v>
      </c>
      <c r="BP5" s="28" t="s">
        <v>60</v>
      </c>
      <c r="BQ5" s="29" t="s">
        <v>61</v>
      </c>
      <c r="BR5" s="544" t="s">
        <v>62</v>
      </c>
      <c r="BS5" s="28" t="s">
        <v>60</v>
      </c>
      <c r="BT5" s="29" t="s">
        <v>61</v>
      </c>
      <c r="BU5" s="544" t="s">
        <v>62</v>
      </c>
      <c r="BV5" s="28" t="s">
        <v>60</v>
      </c>
      <c r="BW5" s="29" t="s">
        <v>61</v>
      </c>
      <c r="BX5" s="544" t="s">
        <v>62</v>
      </c>
      <c r="BY5" s="28" t="s">
        <v>60</v>
      </c>
      <c r="BZ5" s="29" t="s">
        <v>61</v>
      </c>
      <c r="CA5" s="544" t="s">
        <v>62</v>
      </c>
      <c r="CB5" s="28" t="s">
        <v>60</v>
      </c>
      <c r="CC5" s="29" t="s">
        <v>61</v>
      </c>
      <c r="CD5" s="544" t="s">
        <v>62</v>
      </c>
      <c r="CE5" s="429" t="s">
        <v>60</v>
      </c>
      <c r="CF5" s="29" t="s">
        <v>61</v>
      </c>
      <c r="CG5" s="430" t="s">
        <v>62</v>
      </c>
      <c r="CH5" s="29" t="s">
        <v>60</v>
      </c>
      <c r="CI5" s="29" t="s">
        <v>61</v>
      </c>
      <c r="CJ5" s="544" t="s">
        <v>62</v>
      </c>
      <c r="CK5" s="28" t="s">
        <v>60</v>
      </c>
      <c r="CL5" s="29" t="s">
        <v>61</v>
      </c>
      <c r="CM5" s="544" t="s">
        <v>62</v>
      </c>
      <c r="CN5" s="28" t="s">
        <v>60</v>
      </c>
      <c r="CO5" s="29" t="s">
        <v>61</v>
      </c>
      <c r="CP5" s="544" t="s">
        <v>62</v>
      </c>
      <c r="CQ5" s="28" t="s">
        <v>60</v>
      </c>
      <c r="CR5" s="29" t="s">
        <v>61</v>
      </c>
      <c r="CS5" s="544" t="s">
        <v>62</v>
      </c>
      <c r="CT5" s="28" t="s">
        <v>60</v>
      </c>
      <c r="CU5" s="29" t="s">
        <v>61</v>
      </c>
      <c r="CV5" s="544" t="s">
        <v>62</v>
      </c>
      <c r="CW5" s="28" t="s">
        <v>60</v>
      </c>
      <c r="CX5" s="29" t="s">
        <v>61</v>
      </c>
      <c r="CY5" s="544" t="s">
        <v>62</v>
      </c>
      <c r="CZ5" s="28" t="s">
        <v>60</v>
      </c>
      <c r="DA5" s="29" t="s">
        <v>61</v>
      </c>
      <c r="DB5" s="544" t="s">
        <v>62</v>
      </c>
      <c r="DC5" s="28" t="s">
        <v>60</v>
      </c>
      <c r="DD5" s="29" t="s">
        <v>61</v>
      </c>
      <c r="DE5" s="544" t="s">
        <v>62</v>
      </c>
      <c r="DF5" s="28" t="s">
        <v>60</v>
      </c>
      <c r="DG5" s="29" t="s">
        <v>61</v>
      </c>
      <c r="DH5" s="544" t="s">
        <v>62</v>
      </c>
      <c r="DI5" s="28" t="s">
        <v>60</v>
      </c>
      <c r="DJ5" s="29" t="s">
        <v>61</v>
      </c>
      <c r="DK5" s="544" t="s">
        <v>62</v>
      </c>
      <c r="DL5" s="28" t="s">
        <v>60</v>
      </c>
      <c r="DM5" s="29" t="s">
        <v>61</v>
      </c>
      <c r="DN5" s="544" t="s">
        <v>62</v>
      </c>
      <c r="DO5" s="28" t="s">
        <v>60</v>
      </c>
      <c r="DP5" s="29" t="s">
        <v>61</v>
      </c>
      <c r="DQ5" s="544" t="s">
        <v>62</v>
      </c>
      <c r="DR5" s="429" t="s">
        <v>60</v>
      </c>
      <c r="DS5" s="29" t="s">
        <v>61</v>
      </c>
      <c r="DT5" s="430" t="s">
        <v>62</v>
      </c>
    </row>
    <row r="6" spans="1:124" ht="14.25" customHeight="1">
      <c r="A6" s="23"/>
      <c r="B6" s="96" t="s">
        <v>63</v>
      </c>
      <c r="C6" s="97" t="s">
        <v>2</v>
      </c>
      <c r="D6" s="98" t="s">
        <v>182</v>
      </c>
      <c r="E6" s="431">
        <f t="shared" ref="E6:AJ6" si="0">SUM(E7:E12)</f>
        <v>0</v>
      </c>
      <c r="F6" s="169">
        <f t="shared" si="0"/>
        <v>0</v>
      </c>
      <c r="G6" s="432">
        <f t="shared" si="0"/>
        <v>0</v>
      </c>
      <c r="H6" s="169">
        <f t="shared" si="0"/>
        <v>0</v>
      </c>
      <c r="I6" s="169">
        <f t="shared" si="0"/>
        <v>0</v>
      </c>
      <c r="J6" s="545">
        <f t="shared" si="0"/>
        <v>0</v>
      </c>
      <c r="K6" s="169">
        <f t="shared" si="0"/>
        <v>0</v>
      </c>
      <c r="L6" s="169">
        <f t="shared" si="0"/>
        <v>0</v>
      </c>
      <c r="M6" s="545">
        <f t="shared" si="0"/>
        <v>0</v>
      </c>
      <c r="N6" s="168">
        <f t="shared" si="0"/>
        <v>0</v>
      </c>
      <c r="O6" s="169">
        <f t="shared" si="0"/>
        <v>0</v>
      </c>
      <c r="P6" s="545">
        <f t="shared" si="0"/>
        <v>0</v>
      </c>
      <c r="Q6" s="168">
        <f t="shared" si="0"/>
        <v>0</v>
      </c>
      <c r="R6" s="169">
        <f t="shared" si="0"/>
        <v>0</v>
      </c>
      <c r="S6" s="545">
        <f t="shared" si="0"/>
        <v>0</v>
      </c>
      <c r="T6" s="168">
        <f t="shared" si="0"/>
        <v>0</v>
      </c>
      <c r="U6" s="169">
        <f t="shared" si="0"/>
        <v>0</v>
      </c>
      <c r="V6" s="545">
        <f t="shared" si="0"/>
        <v>0</v>
      </c>
      <c r="W6" s="168">
        <f t="shared" si="0"/>
        <v>0</v>
      </c>
      <c r="X6" s="169">
        <f t="shared" si="0"/>
        <v>0</v>
      </c>
      <c r="Y6" s="545">
        <f t="shared" si="0"/>
        <v>0</v>
      </c>
      <c r="Z6" s="168">
        <f t="shared" si="0"/>
        <v>0</v>
      </c>
      <c r="AA6" s="169">
        <f t="shared" si="0"/>
        <v>0</v>
      </c>
      <c r="AB6" s="545">
        <f t="shared" si="0"/>
        <v>0</v>
      </c>
      <c r="AC6" s="168">
        <f t="shared" si="0"/>
        <v>0</v>
      </c>
      <c r="AD6" s="169">
        <f t="shared" si="0"/>
        <v>0</v>
      </c>
      <c r="AE6" s="545">
        <f t="shared" si="0"/>
        <v>0</v>
      </c>
      <c r="AF6" s="168">
        <f t="shared" si="0"/>
        <v>0</v>
      </c>
      <c r="AG6" s="169">
        <f t="shared" si="0"/>
        <v>0</v>
      </c>
      <c r="AH6" s="545">
        <f t="shared" si="0"/>
        <v>0</v>
      </c>
      <c r="AI6" s="168">
        <f t="shared" si="0"/>
        <v>0</v>
      </c>
      <c r="AJ6" s="169">
        <f t="shared" si="0"/>
        <v>0</v>
      </c>
      <c r="AK6" s="545">
        <f t="shared" ref="AK6:BP6" si="1">SUM(AK7:AK12)</f>
        <v>0</v>
      </c>
      <c r="AL6" s="168">
        <f t="shared" si="1"/>
        <v>0</v>
      </c>
      <c r="AM6" s="169">
        <f t="shared" si="1"/>
        <v>0</v>
      </c>
      <c r="AN6" s="545">
        <f t="shared" si="1"/>
        <v>0</v>
      </c>
      <c r="AO6" s="168">
        <f t="shared" si="1"/>
        <v>0</v>
      </c>
      <c r="AP6" s="169">
        <f t="shared" si="1"/>
        <v>0</v>
      </c>
      <c r="AQ6" s="545">
        <f t="shared" si="1"/>
        <v>0</v>
      </c>
      <c r="AR6" s="431">
        <f t="shared" si="1"/>
        <v>0</v>
      </c>
      <c r="AS6" s="169">
        <f t="shared" si="1"/>
        <v>0</v>
      </c>
      <c r="AT6" s="432">
        <f t="shared" si="1"/>
        <v>0</v>
      </c>
      <c r="AU6" s="168">
        <f t="shared" si="1"/>
        <v>0</v>
      </c>
      <c r="AV6" s="169">
        <f t="shared" si="1"/>
        <v>0</v>
      </c>
      <c r="AW6" s="545">
        <f t="shared" si="1"/>
        <v>0</v>
      </c>
      <c r="AX6" s="168">
        <f t="shared" si="1"/>
        <v>0</v>
      </c>
      <c r="AY6" s="169">
        <f t="shared" si="1"/>
        <v>0</v>
      </c>
      <c r="AZ6" s="545">
        <f t="shared" si="1"/>
        <v>0</v>
      </c>
      <c r="BA6" s="168">
        <f t="shared" si="1"/>
        <v>0</v>
      </c>
      <c r="BB6" s="169">
        <f t="shared" si="1"/>
        <v>0</v>
      </c>
      <c r="BC6" s="545">
        <f t="shared" si="1"/>
        <v>0</v>
      </c>
      <c r="BD6" s="168">
        <f t="shared" si="1"/>
        <v>0</v>
      </c>
      <c r="BE6" s="169">
        <f t="shared" si="1"/>
        <v>0</v>
      </c>
      <c r="BF6" s="545">
        <f t="shared" si="1"/>
        <v>0</v>
      </c>
      <c r="BG6" s="168">
        <f t="shared" si="1"/>
        <v>0</v>
      </c>
      <c r="BH6" s="169">
        <f t="shared" si="1"/>
        <v>0</v>
      </c>
      <c r="BI6" s="545">
        <f t="shared" si="1"/>
        <v>0</v>
      </c>
      <c r="BJ6" s="168">
        <f t="shared" si="1"/>
        <v>0</v>
      </c>
      <c r="BK6" s="169">
        <f t="shared" si="1"/>
        <v>0</v>
      </c>
      <c r="BL6" s="545">
        <f t="shared" si="1"/>
        <v>0</v>
      </c>
      <c r="BM6" s="168">
        <f t="shared" si="1"/>
        <v>0</v>
      </c>
      <c r="BN6" s="169">
        <f t="shared" si="1"/>
        <v>0</v>
      </c>
      <c r="BO6" s="545">
        <f t="shared" si="1"/>
        <v>0</v>
      </c>
      <c r="BP6" s="168">
        <f t="shared" si="1"/>
        <v>0</v>
      </c>
      <c r="BQ6" s="169">
        <f t="shared" ref="BQ6:CV6" si="2">SUM(BQ7:BQ12)</f>
        <v>0</v>
      </c>
      <c r="BR6" s="545">
        <f t="shared" si="2"/>
        <v>0</v>
      </c>
      <c r="BS6" s="168">
        <f t="shared" si="2"/>
        <v>0</v>
      </c>
      <c r="BT6" s="169">
        <f t="shared" si="2"/>
        <v>0</v>
      </c>
      <c r="BU6" s="545">
        <f t="shared" si="2"/>
        <v>0</v>
      </c>
      <c r="BV6" s="168">
        <f t="shared" si="2"/>
        <v>0</v>
      </c>
      <c r="BW6" s="169">
        <f t="shared" si="2"/>
        <v>0</v>
      </c>
      <c r="BX6" s="545">
        <f t="shared" si="2"/>
        <v>0</v>
      </c>
      <c r="BY6" s="168">
        <f t="shared" si="2"/>
        <v>0</v>
      </c>
      <c r="BZ6" s="169">
        <f t="shared" si="2"/>
        <v>0</v>
      </c>
      <c r="CA6" s="545">
        <f t="shared" si="2"/>
        <v>0</v>
      </c>
      <c r="CB6" s="168">
        <f t="shared" si="2"/>
        <v>0</v>
      </c>
      <c r="CC6" s="169">
        <f t="shared" si="2"/>
        <v>0</v>
      </c>
      <c r="CD6" s="545">
        <f t="shared" si="2"/>
        <v>0</v>
      </c>
      <c r="CE6" s="446">
        <f t="shared" si="2"/>
        <v>0</v>
      </c>
      <c r="CF6" s="179">
        <f t="shared" si="2"/>
        <v>0</v>
      </c>
      <c r="CG6" s="447">
        <f t="shared" si="2"/>
        <v>0</v>
      </c>
      <c r="CH6" s="169">
        <f t="shared" si="2"/>
        <v>0</v>
      </c>
      <c r="CI6" s="169">
        <f t="shared" si="2"/>
        <v>0</v>
      </c>
      <c r="CJ6" s="545">
        <f t="shared" si="2"/>
        <v>0</v>
      </c>
      <c r="CK6" s="178">
        <f t="shared" si="2"/>
        <v>0</v>
      </c>
      <c r="CL6" s="179">
        <f t="shared" si="2"/>
        <v>0</v>
      </c>
      <c r="CM6" s="545">
        <f t="shared" si="2"/>
        <v>0</v>
      </c>
      <c r="CN6" s="178">
        <f t="shared" si="2"/>
        <v>0</v>
      </c>
      <c r="CO6" s="179">
        <f t="shared" si="2"/>
        <v>0</v>
      </c>
      <c r="CP6" s="545">
        <f t="shared" si="2"/>
        <v>0</v>
      </c>
      <c r="CQ6" s="178">
        <f t="shared" si="2"/>
        <v>0</v>
      </c>
      <c r="CR6" s="179">
        <f t="shared" si="2"/>
        <v>0</v>
      </c>
      <c r="CS6" s="545">
        <f t="shared" si="2"/>
        <v>0</v>
      </c>
      <c r="CT6" s="178">
        <f t="shared" si="2"/>
        <v>0</v>
      </c>
      <c r="CU6" s="179">
        <f t="shared" si="2"/>
        <v>0</v>
      </c>
      <c r="CV6" s="545">
        <f t="shared" si="2"/>
        <v>0</v>
      </c>
      <c r="CW6" s="178">
        <f t="shared" ref="CW6:DT6" si="3">SUM(CW7:CW12)</f>
        <v>0</v>
      </c>
      <c r="CX6" s="179">
        <f t="shared" si="3"/>
        <v>0</v>
      </c>
      <c r="CY6" s="545">
        <f t="shared" si="3"/>
        <v>0</v>
      </c>
      <c r="CZ6" s="178">
        <f t="shared" si="3"/>
        <v>0</v>
      </c>
      <c r="DA6" s="179">
        <f t="shared" si="3"/>
        <v>0</v>
      </c>
      <c r="DB6" s="545">
        <f t="shared" si="3"/>
        <v>0</v>
      </c>
      <c r="DC6" s="178">
        <f t="shared" si="3"/>
        <v>0</v>
      </c>
      <c r="DD6" s="179">
        <f t="shared" si="3"/>
        <v>0</v>
      </c>
      <c r="DE6" s="545">
        <f t="shared" si="3"/>
        <v>0</v>
      </c>
      <c r="DF6" s="178">
        <f t="shared" si="3"/>
        <v>0</v>
      </c>
      <c r="DG6" s="179">
        <f t="shared" si="3"/>
        <v>0</v>
      </c>
      <c r="DH6" s="545">
        <f t="shared" si="3"/>
        <v>0</v>
      </c>
      <c r="DI6" s="178">
        <f t="shared" si="3"/>
        <v>0</v>
      </c>
      <c r="DJ6" s="179">
        <f t="shared" si="3"/>
        <v>0</v>
      </c>
      <c r="DK6" s="545">
        <f t="shared" si="3"/>
        <v>0</v>
      </c>
      <c r="DL6" s="178">
        <f t="shared" si="3"/>
        <v>0</v>
      </c>
      <c r="DM6" s="179">
        <f t="shared" si="3"/>
        <v>0</v>
      </c>
      <c r="DN6" s="545">
        <f t="shared" si="3"/>
        <v>0</v>
      </c>
      <c r="DO6" s="178">
        <f t="shared" si="3"/>
        <v>0</v>
      </c>
      <c r="DP6" s="179">
        <f t="shared" si="3"/>
        <v>0</v>
      </c>
      <c r="DQ6" s="545">
        <f t="shared" si="3"/>
        <v>0</v>
      </c>
      <c r="DR6" s="446">
        <f t="shared" si="3"/>
        <v>0</v>
      </c>
      <c r="DS6" s="179">
        <f t="shared" si="3"/>
        <v>0</v>
      </c>
      <c r="DT6" s="447">
        <f t="shared" si="3"/>
        <v>0</v>
      </c>
    </row>
    <row r="7" spans="1:124" ht="14.25" customHeight="1">
      <c r="A7" s="23"/>
      <c r="B7" s="87"/>
      <c r="C7" s="88"/>
      <c r="D7" s="555" t="s">
        <v>183</v>
      </c>
      <c r="E7" s="433"/>
      <c r="F7" s="91"/>
      <c r="G7" s="184">
        <f>SUM(E7:F7)</f>
        <v>0</v>
      </c>
      <c r="H7" s="91"/>
      <c r="I7" s="91"/>
      <c r="J7" s="93">
        <f>SUM(H7:I7)</f>
        <v>0</v>
      </c>
      <c r="K7" s="91"/>
      <c r="L7" s="91"/>
      <c r="M7" s="93">
        <f>SUM(K7:L7)</f>
        <v>0</v>
      </c>
      <c r="N7" s="92"/>
      <c r="O7" s="91"/>
      <c r="P7" s="93">
        <f>SUM(N7:O7)</f>
        <v>0</v>
      </c>
      <c r="Q7" s="92"/>
      <c r="R7" s="91"/>
      <c r="S7" s="93">
        <f>SUM(Q7:R7)</f>
        <v>0</v>
      </c>
      <c r="T7" s="92"/>
      <c r="U7" s="91"/>
      <c r="V7" s="93">
        <f>SUM(T7:U7)</f>
        <v>0</v>
      </c>
      <c r="W7" s="92"/>
      <c r="X7" s="91"/>
      <c r="Y7" s="93">
        <f>SUM(W7:X7)</f>
        <v>0</v>
      </c>
      <c r="Z7" s="92"/>
      <c r="AA7" s="91"/>
      <c r="AB7" s="93">
        <f>SUM(Z7:AA7)</f>
        <v>0</v>
      </c>
      <c r="AC7" s="92"/>
      <c r="AD7" s="91"/>
      <c r="AE7" s="93">
        <f>SUM(AC7:AD7)</f>
        <v>0</v>
      </c>
      <c r="AF7" s="92"/>
      <c r="AG7" s="91"/>
      <c r="AH7" s="93">
        <f>SUM(AF7:AG7)</f>
        <v>0</v>
      </c>
      <c r="AI7" s="92"/>
      <c r="AJ7" s="91"/>
      <c r="AK7" s="93">
        <f>SUM(AI7:AJ7)</f>
        <v>0</v>
      </c>
      <c r="AL7" s="92"/>
      <c r="AM7" s="91"/>
      <c r="AN7" s="93">
        <f>SUM(AL7:AM7)</f>
        <v>0</v>
      </c>
      <c r="AO7" s="92"/>
      <c r="AP7" s="91"/>
      <c r="AQ7" s="93">
        <f>SUM(AO7:AP7)</f>
        <v>0</v>
      </c>
      <c r="AR7" s="433">
        <f t="shared" ref="AR7:AR12" si="4">AO7+AL7+AI7+AF7+AC7+Z7+W7+T7+Q7+N7+K7+H7</f>
        <v>0</v>
      </c>
      <c r="AS7" s="91">
        <f t="shared" ref="AS7:AS12" si="5">AP7+AM7+AJ7+AG7+AD7+AA7+X7+U7+R7+O7+L7+I7</f>
        <v>0</v>
      </c>
      <c r="AT7" s="184">
        <f>SUM(AR7:AS7)</f>
        <v>0</v>
      </c>
      <c r="AU7" s="92"/>
      <c r="AV7" s="91"/>
      <c r="AW7" s="93">
        <f>SUM(AU7:AV7)</f>
        <v>0</v>
      </c>
      <c r="AX7" s="92"/>
      <c r="AY7" s="91"/>
      <c r="AZ7" s="93">
        <f>SUM(AX7:AY7)</f>
        <v>0</v>
      </c>
      <c r="BA7" s="92"/>
      <c r="BB7" s="91"/>
      <c r="BC7" s="93">
        <f>SUM(BA7:BB7)</f>
        <v>0</v>
      </c>
      <c r="BD7" s="92"/>
      <c r="BE7" s="91"/>
      <c r="BF7" s="93">
        <f>SUM(BD7:BE7)</f>
        <v>0</v>
      </c>
      <c r="BG7" s="92"/>
      <c r="BH7" s="91"/>
      <c r="BI7" s="93">
        <f>SUM(BG7:BH7)</f>
        <v>0</v>
      </c>
      <c r="BJ7" s="92"/>
      <c r="BK7" s="91"/>
      <c r="BL7" s="93">
        <f>SUM(BJ7:BK7)</f>
        <v>0</v>
      </c>
      <c r="BM7" s="92"/>
      <c r="BN7" s="91"/>
      <c r="BO7" s="93">
        <f>SUM(BM7:BN7)</f>
        <v>0</v>
      </c>
      <c r="BP7" s="92"/>
      <c r="BQ7" s="91"/>
      <c r="BR7" s="93">
        <f>SUM(BP7:BQ7)</f>
        <v>0</v>
      </c>
      <c r="BS7" s="92"/>
      <c r="BT7" s="91"/>
      <c r="BU7" s="93">
        <f>SUM(BS7:BT7)</f>
        <v>0</v>
      </c>
      <c r="BV7" s="92"/>
      <c r="BW7" s="91"/>
      <c r="BX7" s="93">
        <f>SUM(BV7:BW7)</f>
        <v>0</v>
      </c>
      <c r="BY7" s="92"/>
      <c r="BZ7" s="91"/>
      <c r="CA7" s="93">
        <f>SUM(BY7:BZ7)</f>
        <v>0</v>
      </c>
      <c r="CB7" s="92"/>
      <c r="CC7" s="91"/>
      <c r="CD7" s="93">
        <f>SUM(CB7:CC7)</f>
        <v>0</v>
      </c>
      <c r="CE7" s="438">
        <f>CB7+BY7+BV7+BS7+BP7+BM7+BJ7+BG7+BD7+BA7+AX7+AU7</f>
        <v>0</v>
      </c>
      <c r="CF7" s="175">
        <f>CC7+BZ7+BW7+BT7+BQ7+BN7+BK7+BH7+BE7+BB7+AY7+AV7</f>
        <v>0</v>
      </c>
      <c r="CG7" s="439">
        <f>SUM(CE7:CF7)</f>
        <v>0</v>
      </c>
      <c r="CH7" s="91"/>
      <c r="CI7" s="91"/>
      <c r="CJ7" s="93">
        <f>SUM(CH7:CI7)</f>
        <v>0</v>
      </c>
      <c r="CK7" s="174"/>
      <c r="CL7" s="175"/>
      <c r="CM7" s="93">
        <f t="shared" ref="CM7:CM12" si="6">SUM(CK7:CL7)</f>
        <v>0</v>
      </c>
      <c r="CN7" s="174"/>
      <c r="CO7" s="175"/>
      <c r="CP7" s="93">
        <f t="shared" ref="CP7:CP12" si="7">SUM(CN7:CO7)</f>
        <v>0</v>
      </c>
      <c r="CQ7" s="174"/>
      <c r="CR7" s="175"/>
      <c r="CS7" s="93">
        <f t="shared" ref="CS7:CS12" si="8">SUM(CQ7:CR7)</f>
        <v>0</v>
      </c>
      <c r="CT7" s="174"/>
      <c r="CU7" s="175"/>
      <c r="CV7" s="93">
        <f t="shared" ref="CV7:CV12" si="9">SUM(CT7:CU7)</f>
        <v>0</v>
      </c>
      <c r="CW7" s="174"/>
      <c r="CX7" s="175"/>
      <c r="CY7" s="93">
        <f t="shared" ref="CY7:CY12" si="10">SUM(CW7:CX7)</f>
        <v>0</v>
      </c>
      <c r="CZ7" s="174"/>
      <c r="DA7" s="175"/>
      <c r="DB7" s="93">
        <f t="shared" ref="DB7:DB12" si="11">SUM(CZ7:DA7)</f>
        <v>0</v>
      </c>
      <c r="DC7" s="174"/>
      <c r="DD7" s="175"/>
      <c r="DE7" s="93">
        <f t="shared" ref="DE7:DE12" si="12">SUM(DC7:DD7)</f>
        <v>0</v>
      </c>
      <c r="DF7" s="174"/>
      <c r="DG7" s="175"/>
      <c r="DH7" s="93">
        <f t="shared" ref="DH7:DH12" si="13">SUM(DF7:DG7)</f>
        <v>0</v>
      </c>
      <c r="DI7" s="174"/>
      <c r="DJ7" s="175"/>
      <c r="DK7" s="93">
        <f t="shared" ref="DK7:DK12" si="14">SUM(DI7:DJ7)</f>
        <v>0</v>
      </c>
      <c r="DL7" s="174"/>
      <c r="DM7" s="175"/>
      <c r="DN7" s="93">
        <f t="shared" ref="DN7:DN12" si="15">SUM(DL7:DM7)</f>
        <v>0</v>
      </c>
      <c r="DO7" s="174"/>
      <c r="DP7" s="175"/>
      <c r="DQ7" s="93">
        <f t="shared" ref="DQ7:DQ12" si="16">SUM(DO7:DP7)</f>
        <v>0</v>
      </c>
      <c r="DR7" s="438">
        <f>DO7+DL7+DI7+DF7+DC7+CZ7+CW7+CT7+CQ7+CN7+CK7+CH7</f>
        <v>0</v>
      </c>
      <c r="DS7" s="175">
        <f>DP7+DM7+DJ7+DG7+DD7+DA7+CX7+CU7+CR7+CO7+CL7+CI7</f>
        <v>0</v>
      </c>
      <c r="DT7" s="439">
        <f>SUM(DR7:DS7)</f>
        <v>0</v>
      </c>
    </row>
    <row r="8" spans="1:124" ht="14.25" customHeight="1">
      <c r="A8" s="23"/>
      <c r="B8" s="87"/>
      <c r="C8" s="88"/>
      <c r="D8" s="89"/>
      <c r="E8" s="433"/>
      <c r="F8" s="91"/>
      <c r="G8" s="184">
        <f t="shared" ref="G8" si="17">SUM(E8:F8)</f>
        <v>0</v>
      </c>
      <c r="H8" s="91"/>
      <c r="I8" s="91"/>
      <c r="J8" s="93">
        <f t="shared" ref="J8:J11" si="18">SUM(H8:I8)</f>
        <v>0</v>
      </c>
      <c r="K8" s="91"/>
      <c r="L8" s="91"/>
      <c r="M8" s="93">
        <f t="shared" ref="M8" si="19">SUM(K8:L8)</f>
        <v>0</v>
      </c>
      <c r="N8" s="92"/>
      <c r="O8" s="91"/>
      <c r="P8" s="93">
        <f t="shared" ref="P8" si="20">SUM(N8:O8)</f>
        <v>0</v>
      </c>
      <c r="Q8" s="92"/>
      <c r="R8" s="91"/>
      <c r="S8" s="93">
        <f t="shared" ref="S8" si="21">SUM(Q8:R8)</f>
        <v>0</v>
      </c>
      <c r="T8" s="92"/>
      <c r="U8" s="91"/>
      <c r="V8" s="93">
        <f t="shared" ref="V8" si="22">SUM(T8:U8)</f>
        <v>0</v>
      </c>
      <c r="W8" s="92"/>
      <c r="X8" s="91"/>
      <c r="Y8" s="93">
        <f t="shared" ref="Y8" si="23">SUM(W8:X8)</f>
        <v>0</v>
      </c>
      <c r="Z8" s="92"/>
      <c r="AA8" s="91"/>
      <c r="AB8" s="93">
        <f t="shared" ref="AB8" si="24">SUM(Z8:AA8)</f>
        <v>0</v>
      </c>
      <c r="AC8" s="92"/>
      <c r="AD8" s="91"/>
      <c r="AE8" s="93">
        <f t="shared" ref="AE8" si="25">SUM(AC8:AD8)</f>
        <v>0</v>
      </c>
      <c r="AF8" s="92"/>
      <c r="AG8" s="91"/>
      <c r="AH8" s="93">
        <f t="shared" ref="AH8" si="26">SUM(AF8:AG8)</f>
        <v>0</v>
      </c>
      <c r="AI8" s="92"/>
      <c r="AJ8" s="91"/>
      <c r="AK8" s="93">
        <f t="shared" ref="AK8" si="27">SUM(AI8:AJ8)</f>
        <v>0</v>
      </c>
      <c r="AL8" s="92"/>
      <c r="AM8" s="91"/>
      <c r="AN8" s="93">
        <f t="shared" ref="AN8" si="28">SUM(AL8:AM8)</f>
        <v>0</v>
      </c>
      <c r="AO8" s="92"/>
      <c r="AP8" s="91"/>
      <c r="AQ8" s="93">
        <f t="shared" ref="AQ8" si="29">SUM(AO8:AP8)</f>
        <v>0</v>
      </c>
      <c r="AR8" s="433">
        <f t="shared" si="4"/>
        <v>0</v>
      </c>
      <c r="AS8" s="91">
        <f t="shared" si="5"/>
        <v>0</v>
      </c>
      <c r="AT8" s="184">
        <f t="shared" ref="AT8:AT11" si="30">SUM(AR8:AS8)</f>
        <v>0</v>
      </c>
      <c r="AU8" s="92"/>
      <c r="AV8" s="91"/>
      <c r="AW8" s="93">
        <f t="shared" ref="AW8" si="31">SUM(AU8:AV8)</f>
        <v>0</v>
      </c>
      <c r="AX8" s="92"/>
      <c r="AY8" s="91"/>
      <c r="AZ8" s="93">
        <f t="shared" ref="AZ8" si="32">SUM(AX8:AY8)</f>
        <v>0</v>
      </c>
      <c r="BA8" s="92"/>
      <c r="BB8" s="91"/>
      <c r="BC8" s="93">
        <f t="shared" ref="BC8" si="33">SUM(BA8:BB8)</f>
        <v>0</v>
      </c>
      <c r="BD8" s="92"/>
      <c r="BE8" s="91"/>
      <c r="BF8" s="93">
        <f t="shared" ref="BF8" si="34">SUM(BD8:BE8)</f>
        <v>0</v>
      </c>
      <c r="BG8" s="92"/>
      <c r="BH8" s="91"/>
      <c r="BI8" s="93">
        <f t="shared" ref="BI8" si="35">SUM(BG8:BH8)</f>
        <v>0</v>
      </c>
      <c r="BJ8" s="92"/>
      <c r="BK8" s="91"/>
      <c r="BL8" s="93">
        <f t="shared" ref="BL8" si="36">SUM(BJ8:BK8)</f>
        <v>0</v>
      </c>
      <c r="BM8" s="92"/>
      <c r="BN8" s="91"/>
      <c r="BO8" s="93">
        <f t="shared" ref="BO8" si="37">SUM(BM8:BN8)</f>
        <v>0</v>
      </c>
      <c r="BP8" s="92"/>
      <c r="BQ8" s="91"/>
      <c r="BR8" s="93">
        <f t="shared" ref="BR8" si="38">SUM(BP8:BQ8)</f>
        <v>0</v>
      </c>
      <c r="BS8" s="92"/>
      <c r="BT8" s="91"/>
      <c r="BU8" s="93">
        <f t="shared" ref="BU8" si="39">SUM(BS8:BT8)</f>
        <v>0</v>
      </c>
      <c r="BV8" s="92"/>
      <c r="BW8" s="91"/>
      <c r="BX8" s="93">
        <f t="shared" ref="BX8" si="40">SUM(BV8:BW8)</f>
        <v>0</v>
      </c>
      <c r="BY8" s="92"/>
      <c r="BZ8" s="91"/>
      <c r="CA8" s="93">
        <f t="shared" ref="CA8" si="41">SUM(BY8:BZ8)</f>
        <v>0</v>
      </c>
      <c r="CB8" s="92"/>
      <c r="CC8" s="91"/>
      <c r="CD8" s="93">
        <f t="shared" ref="CD8" si="42">SUM(CB8:CC8)</f>
        <v>0</v>
      </c>
      <c r="CE8" s="438">
        <f t="shared" ref="CE8:CE12" si="43">CB8+BY8+BV8+BS8+BP8+BM8+BJ8+BG8+BD8+BA8+AX8+AU8</f>
        <v>0</v>
      </c>
      <c r="CF8" s="175">
        <f t="shared" ref="CF8:CF12" si="44">CC8+BZ8+BW8+BT8+BQ8+BN8+BK8+BH8+BE8+BB8+AY8+AV8</f>
        <v>0</v>
      </c>
      <c r="CG8" s="439">
        <f t="shared" ref="CG8:CG12" si="45">SUM(CE8:CF8)</f>
        <v>0</v>
      </c>
      <c r="CH8" s="91"/>
      <c r="CI8" s="91"/>
      <c r="CJ8" s="93">
        <f t="shared" ref="CJ8" si="46">SUM(CH8:CI8)</f>
        <v>0</v>
      </c>
      <c r="CK8" s="174"/>
      <c r="CL8" s="175"/>
      <c r="CM8" s="93">
        <f t="shared" si="6"/>
        <v>0</v>
      </c>
      <c r="CN8" s="174"/>
      <c r="CO8" s="175"/>
      <c r="CP8" s="93">
        <f t="shared" si="7"/>
        <v>0</v>
      </c>
      <c r="CQ8" s="174"/>
      <c r="CR8" s="175"/>
      <c r="CS8" s="93">
        <f t="shared" si="8"/>
        <v>0</v>
      </c>
      <c r="CT8" s="174"/>
      <c r="CU8" s="175"/>
      <c r="CV8" s="93">
        <f t="shared" si="9"/>
        <v>0</v>
      </c>
      <c r="CW8" s="174"/>
      <c r="CX8" s="175"/>
      <c r="CY8" s="93">
        <f t="shared" si="10"/>
        <v>0</v>
      </c>
      <c r="CZ8" s="174"/>
      <c r="DA8" s="175"/>
      <c r="DB8" s="93">
        <f t="shared" si="11"/>
        <v>0</v>
      </c>
      <c r="DC8" s="174"/>
      <c r="DD8" s="175"/>
      <c r="DE8" s="93">
        <f t="shared" si="12"/>
        <v>0</v>
      </c>
      <c r="DF8" s="174"/>
      <c r="DG8" s="175"/>
      <c r="DH8" s="93">
        <f t="shared" si="13"/>
        <v>0</v>
      </c>
      <c r="DI8" s="174"/>
      <c r="DJ8" s="175"/>
      <c r="DK8" s="93">
        <f t="shared" si="14"/>
        <v>0</v>
      </c>
      <c r="DL8" s="174"/>
      <c r="DM8" s="175"/>
      <c r="DN8" s="93">
        <f t="shared" si="15"/>
        <v>0</v>
      </c>
      <c r="DO8" s="174"/>
      <c r="DP8" s="175"/>
      <c r="DQ8" s="93">
        <f t="shared" si="16"/>
        <v>0</v>
      </c>
      <c r="DR8" s="438">
        <f t="shared" ref="DR8:DR12" si="47">DO8+DL8+DI8+DF8+DC8+CZ8+CW8+CT8+CQ8+CN8+CK8+CH8</f>
        <v>0</v>
      </c>
      <c r="DS8" s="175">
        <f t="shared" ref="DS8:DS12" si="48">DP8+DM8+DJ8+DG8+DD8+DA8+CX8+CU8+CR8+CO8+CL8+CI8</f>
        <v>0</v>
      </c>
      <c r="DT8" s="439">
        <f t="shared" ref="DT8:DT12" si="49">SUM(DR8:DS8)</f>
        <v>0</v>
      </c>
    </row>
    <row r="9" spans="1:124" ht="14.25" customHeight="1">
      <c r="A9" s="23"/>
      <c r="B9" s="87"/>
      <c r="C9" s="88"/>
      <c r="D9" s="89"/>
      <c r="E9" s="433"/>
      <c r="F9" s="91"/>
      <c r="G9" s="184">
        <f>SUM(E9:F9)</f>
        <v>0</v>
      </c>
      <c r="H9" s="91"/>
      <c r="I9" s="91"/>
      <c r="J9" s="93">
        <f>SUM(H9:I9)</f>
        <v>0</v>
      </c>
      <c r="K9" s="91"/>
      <c r="L9" s="91"/>
      <c r="M9" s="93">
        <f>SUM(K9:L9)</f>
        <v>0</v>
      </c>
      <c r="N9" s="92"/>
      <c r="O9" s="91"/>
      <c r="P9" s="93">
        <f>SUM(N9:O9)</f>
        <v>0</v>
      </c>
      <c r="Q9" s="92"/>
      <c r="R9" s="91"/>
      <c r="S9" s="93">
        <f>SUM(Q9:R9)</f>
        <v>0</v>
      </c>
      <c r="T9" s="92"/>
      <c r="U9" s="91"/>
      <c r="V9" s="93">
        <f>SUM(T9:U9)</f>
        <v>0</v>
      </c>
      <c r="W9" s="92"/>
      <c r="X9" s="91"/>
      <c r="Y9" s="93">
        <f>SUM(W9:X9)</f>
        <v>0</v>
      </c>
      <c r="Z9" s="92"/>
      <c r="AA9" s="91"/>
      <c r="AB9" s="93">
        <f>SUM(Z9:AA9)</f>
        <v>0</v>
      </c>
      <c r="AC9" s="92"/>
      <c r="AD9" s="91"/>
      <c r="AE9" s="93">
        <f>SUM(AC9:AD9)</f>
        <v>0</v>
      </c>
      <c r="AF9" s="92"/>
      <c r="AG9" s="91"/>
      <c r="AH9" s="93">
        <f>SUM(AF9:AG9)</f>
        <v>0</v>
      </c>
      <c r="AI9" s="92"/>
      <c r="AJ9" s="91"/>
      <c r="AK9" s="93">
        <f>SUM(AI9:AJ9)</f>
        <v>0</v>
      </c>
      <c r="AL9" s="92"/>
      <c r="AM9" s="91"/>
      <c r="AN9" s="93">
        <f>SUM(AL9:AM9)</f>
        <v>0</v>
      </c>
      <c r="AO9" s="92"/>
      <c r="AP9" s="91"/>
      <c r="AQ9" s="93">
        <f>SUM(AO9:AP9)</f>
        <v>0</v>
      </c>
      <c r="AR9" s="433">
        <f t="shared" si="4"/>
        <v>0</v>
      </c>
      <c r="AS9" s="91">
        <f t="shared" si="5"/>
        <v>0</v>
      </c>
      <c r="AT9" s="184">
        <f>SUM(AR9:AS9)</f>
        <v>0</v>
      </c>
      <c r="AU9" s="92"/>
      <c r="AV9" s="91"/>
      <c r="AW9" s="93">
        <f>SUM(AU9:AV9)</f>
        <v>0</v>
      </c>
      <c r="AX9" s="92"/>
      <c r="AY9" s="91"/>
      <c r="AZ9" s="93">
        <f>SUM(AX9:AY9)</f>
        <v>0</v>
      </c>
      <c r="BA9" s="92"/>
      <c r="BB9" s="91"/>
      <c r="BC9" s="93">
        <f>SUM(BA9:BB9)</f>
        <v>0</v>
      </c>
      <c r="BD9" s="92"/>
      <c r="BE9" s="91"/>
      <c r="BF9" s="93">
        <f>SUM(BD9:BE9)</f>
        <v>0</v>
      </c>
      <c r="BG9" s="92"/>
      <c r="BH9" s="91"/>
      <c r="BI9" s="93">
        <f>SUM(BG9:BH9)</f>
        <v>0</v>
      </c>
      <c r="BJ9" s="92"/>
      <c r="BK9" s="91"/>
      <c r="BL9" s="93">
        <f>SUM(BJ9:BK9)</f>
        <v>0</v>
      </c>
      <c r="BM9" s="92"/>
      <c r="BN9" s="91"/>
      <c r="BO9" s="93">
        <f>SUM(BM9:BN9)</f>
        <v>0</v>
      </c>
      <c r="BP9" s="92"/>
      <c r="BQ9" s="91"/>
      <c r="BR9" s="93">
        <f>SUM(BP9:BQ9)</f>
        <v>0</v>
      </c>
      <c r="BS9" s="92"/>
      <c r="BT9" s="91"/>
      <c r="BU9" s="93">
        <f>SUM(BS9:BT9)</f>
        <v>0</v>
      </c>
      <c r="BV9" s="92"/>
      <c r="BW9" s="91"/>
      <c r="BX9" s="93">
        <f>SUM(BV9:BW9)</f>
        <v>0</v>
      </c>
      <c r="BY9" s="92"/>
      <c r="BZ9" s="91"/>
      <c r="CA9" s="93">
        <f>SUM(BY9:BZ9)</f>
        <v>0</v>
      </c>
      <c r="CB9" s="92"/>
      <c r="CC9" s="91"/>
      <c r="CD9" s="93">
        <f>SUM(CB9:CC9)</f>
        <v>0</v>
      </c>
      <c r="CE9" s="438">
        <f t="shared" si="43"/>
        <v>0</v>
      </c>
      <c r="CF9" s="175">
        <f t="shared" si="44"/>
        <v>0</v>
      </c>
      <c r="CG9" s="439">
        <f t="shared" si="45"/>
        <v>0</v>
      </c>
      <c r="CH9" s="91"/>
      <c r="CI9" s="91"/>
      <c r="CJ9" s="93">
        <f>SUM(CH9:CI9)</f>
        <v>0</v>
      </c>
      <c r="CK9" s="174"/>
      <c r="CL9" s="175"/>
      <c r="CM9" s="93">
        <f t="shared" si="6"/>
        <v>0</v>
      </c>
      <c r="CN9" s="174"/>
      <c r="CO9" s="175"/>
      <c r="CP9" s="93">
        <f t="shared" si="7"/>
        <v>0</v>
      </c>
      <c r="CQ9" s="174"/>
      <c r="CR9" s="175"/>
      <c r="CS9" s="93">
        <f t="shared" si="8"/>
        <v>0</v>
      </c>
      <c r="CT9" s="174"/>
      <c r="CU9" s="175"/>
      <c r="CV9" s="93">
        <f t="shared" si="9"/>
        <v>0</v>
      </c>
      <c r="CW9" s="174"/>
      <c r="CX9" s="175"/>
      <c r="CY9" s="93">
        <f t="shared" si="10"/>
        <v>0</v>
      </c>
      <c r="CZ9" s="174"/>
      <c r="DA9" s="175"/>
      <c r="DB9" s="93">
        <f t="shared" si="11"/>
        <v>0</v>
      </c>
      <c r="DC9" s="174"/>
      <c r="DD9" s="175"/>
      <c r="DE9" s="93">
        <f t="shared" si="12"/>
        <v>0</v>
      </c>
      <c r="DF9" s="174"/>
      <c r="DG9" s="175"/>
      <c r="DH9" s="93">
        <f t="shared" si="13"/>
        <v>0</v>
      </c>
      <c r="DI9" s="174"/>
      <c r="DJ9" s="175"/>
      <c r="DK9" s="93">
        <f t="shared" si="14"/>
        <v>0</v>
      </c>
      <c r="DL9" s="174"/>
      <c r="DM9" s="175"/>
      <c r="DN9" s="93">
        <f t="shared" si="15"/>
        <v>0</v>
      </c>
      <c r="DO9" s="174"/>
      <c r="DP9" s="175"/>
      <c r="DQ9" s="93">
        <f t="shared" si="16"/>
        <v>0</v>
      </c>
      <c r="DR9" s="438">
        <f t="shared" si="47"/>
        <v>0</v>
      </c>
      <c r="DS9" s="175">
        <f t="shared" si="48"/>
        <v>0</v>
      </c>
      <c r="DT9" s="439">
        <f t="shared" si="49"/>
        <v>0</v>
      </c>
    </row>
    <row r="10" spans="1:124" ht="14.25" customHeight="1">
      <c r="A10" s="23"/>
      <c r="B10" s="87"/>
      <c r="C10" s="88"/>
      <c r="D10" s="89"/>
      <c r="E10" s="433"/>
      <c r="F10" s="91"/>
      <c r="G10" s="184">
        <f>SUM(E10:F10)</f>
        <v>0</v>
      </c>
      <c r="H10" s="91"/>
      <c r="I10" s="91"/>
      <c r="J10" s="93">
        <f>SUM(H10:I10)</f>
        <v>0</v>
      </c>
      <c r="K10" s="91"/>
      <c r="L10" s="91"/>
      <c r="M10" s="93">
        <f>SUM(K10:L10)</f>
        <v>0</v>
      </c>
      <c r="N10" s="92"/>
      <c r="O10" s="91"/>
      <c r="P10" s="93">
        <f>SUM(N10:O10)</f>
        <v>0</v>
      </c>
      <c r="Q10" s="92"/>
      <c r="R10" s="91"/>
      <c r="S10" s="93">
        <f>SUM(Q10:R10)</f>
        <v>0</v>
      </c>
      <c r="T10" s="92"/>
      <c r="U10" s="91"/>
      <c r="V10" s="93">
        <f>SUM(T10:U10)</f>
        <v>0</v>
      </c>
      <c r="W10" s="92"/>
      <c r="X10" s="91"/>
      <c r="Y10" s="93">
        <f>SUM(W10:X10)</f>
        <v>0</v>
      </c>
      <c r="Z10" s="92"/>
      <c r="AA10" s="91"/>
      <c r="AB10" s="93">
        <f>SUM(Z10:AA10)</f>
        <v>0</v>
      </c>
      <c r="AC10" s="92"/>
      <c r="AD10" s="91"/>
      <c r="AE10" s="93">
        <f>SUM(AC10:AD10)</f>
        <v>0</v>
      </c>
      <c r="AF10" s="92"/>
      <c r="AG10" s="91"/>
      <c r="AH10" s="93">
        <f>SUM(AF10:AG10)</f>
        <v>0</v>
      </c>
      <c r="AI10" s="92"/>
      <c r="AJ10" s="91"/>
      <c r="AK10" s="93">
        <f>SUM(AI10:AJ10)</f>
        <v>0</v>
      </c>
      <c r="AL10" s="92"/>
      <c r="AM10" s="91"/>
      <c r="AN10" s="93">
        <f>SUM(AL10:AM10)</f>
        <v>0</v>
      </c>
      <c r="AO10" s="92"/>
      <c r="AP10" s="91"/>
      <c r="AQ10" s="93">
        <f>SUM(AO10:AP10)</f>
        <v>0</v>
      </c>
      <c r="AR10" s="433">
        <f t="shared" si="4"/>
        <v>0</v>
      </c>
      <c r="AS10" s="91">
        <f t="shared" si="5"/>
        <v>0</v>
      </c>
      <c r="AT10" s="184">
        <f>SUM(AR10:AS10)</f>
        <v>0</v>
      </c>
      <c r="AU10" s="92"/>
      <c r="AV10" s="91"/>
      <c r="AW10" s="93">
        <f>SUM(AU10:AV10)</f>
        <v>0</v>
      </c>
      <c r="AX10" s="92"/>
      <c r="AY10" s="91"/>
      <c r="AZ10" s="93">
        <f>SUM(AX10:AY10)</f>
        <v>0</v>
      </c>
      <c r="BA10" s="92"/>
      <c r="BB10" s="91"/>
      <c r="BC10" s="93">
        <f>SUM(BA10:BB10)</f>
        <v>0</v>
      </c>
      <c r="BD10" s="92"/>
      <c r="BE10" s="91"/>
      <c r="BF10" s="93">
        <f>SUM(BD10:BE10)</f>
        <v>0</v>
      </c>
      <c r="BG10" s="92"/>
      <c r="BH10" s="91"/>
      <c r="BI10" s="93">
        <f>SUM(BG10:BH10)</f>
        <v>0</v>
      </c>
      <c r="BJ10" s="92"/>
      <c r="BK10" s="91"/>
      <c r="BL10" s="93">
        <f>SUM(BJ10:BK10)</f>
        <v>0</v>
      </c>
      <c r="BM10" s="92"/>
      <c r="BN10" s="91"/>
      <c r="BO10" s="93">
        <f>SUM(BM10:BN10)</f>
        <v>0</v>
      </c>
      <c r="BP10" s="92"/>
      <c r="BQ10" s="91"/>
      <c r="BR10" s="93">
        <f>SUM(BP10:BQ10)</f>
        <v>0</v>
      </c>
      <c r="BS10" s="92"/>
      <c r="BT10" s="91"/>
      <c r="BU10" s="93">
        <f>SUM(BS10:BT10)</f>
        <v>0</v>
      </c>
      <c r="BV10" s="92"/>
      <c r="BW10" s="91"/>
      <c r="BX10" s="93">
        <f>SUM(BV10:BW10)</f>
        <v>0</v>
      </c>
      <c r="BY10" s="92"/>
      <c r="BZ10" s="91"/>
      <c r="CA10" s="93">
        <f>SUM(BY10:BZ10)</f>
        <v>0</v>
      </c>
      <c r="CB10" s="92"/>
      <c r="CC10" s="91"/>
      <c r="CD10" s="93">
        <f>SUM(CB10:CC10)</f>
        <v>0</v>
      </c>
      <c r="CE10" s="438">
        <f t="shared" si="43"/>
        <v>0</v>
      </c>
      <c r="CF10" s="175">
        <f t="shared" si="44"/>
        <v>0</v>
      </c>
      <c r="CG10" s="439">
        <f t="shared" si="45"/>
        <v>0</v>
      </c>
      <c r="CH10" s="91"/>
      <c r="CI10" s="91"/>
      <c r="CJ10" s="93">
        <f>SUM(CH10:CI10)</f>
        <v>0</v>
      </c>
      <c r="CK10" s="174"/>
      <c r="CL10" s="175"/>
      <c r="CM10" s="93">
        <f t="shared" si="6"/>
        <v>0</v>
      </c>
      <c r="CN10" s="174"/>
      <c r="CO10" s="175"/>
      <c r="CP10" s="93">
        <f t="shared" si="7"/>
        <v>0</v>
      </c>
      <c r="CQ10" s="174"/>
      <c r="CR10" s="175"/>
      <c r="CS10" s="93">
        <f t="shared" si="8"/>
        <v>0</v>
      </c>
      <c r="CT10" s="174"/>
      <c r="CU10" s="175"/>
      <c r="CV10" s="93">
        <f t="shared" si="9"/>
        <v>0</v>
      </c>
      <c r="CW10" s="174"/>
      <c r="CX10" s="175"/>
      <c r="CY10" s="93">
        <f t="shared" si="10"/>
        <v>0</v>
      </c>
      <c r="CZ10" s="174"/>
      <c r="DA10" s="175"/>
      <c r="DB10" s="93">
        <f t="shared" si="11"/>
        <v>0</v>
      </c>
      <c r="DC10" s="174"/>
      <c r="DD10" s="175"/>
      <c r="DE10" s="93">
        <f t="shared" si="12"/>
        <v>0</v>
      </c>
      <c r="DF10" s="174"/>
      <c r="DG10" s="175"/>
      <c r="DH10" s="93">
        <f t="shared" si="13"/>
        <v>0</v>
      </c>
      <c r="DI10" s="174"/>
      <c r="DJ10" s="175"/>
      <c r="DK10" s="93">
        <f t="shared" si="14"/>
        <v>0</v>
      </c>
      <c r="DL10" s="174"/>
      <c r="DM10" s="175"/>
      <c r="DN10" s="93">
        <f t="shared" si="15"/>
        <v>0</v>
      </c>
      <c r="DO10" s="174"/>
      <c r="DP10" s="175"/>
      <c r="DQ10" s="93">
        <f t="shared" si="16"/>
        <v>0</v>
      </c>
      <c r="DR10" s="438">
        <f t="shared" si="47"/>
        <v>0</v>
      </c>
      <c r="DS10" s="175">
        <f t="shared" si="48"/>
        <v>0</v>
      </c>
      <c r="DT10" s="439">
        <f t="shared" si="49"/>
        <v>0</v>
      </c>
    </row>
    <row r="11" spans="1:124" ht="14.25" customHeight="1">
      <c r="A11" s="23"/>
      <c r="B11" s="87"/>
      <c r="C11" s="88"/>
      <c r="D11" s="89"/>
      <c r="E11" s="433"/>
      <c r="F11" s="91"/>
      <c r="G11" s="184">
        <f t="shared" ref="G11" si="50">SUM(E11:F11)</f>
        <v>0</v>
      </c>
      <c r="H11" s="91"/>
      <c r="I11" s="91"/>
      <c r="J11" s="93">
        <f t="shared" si="18"/>
        <v>0</v>
      </c>
      <c r="K11" s="91"/>
      <c r="L11" s="91"/>
      <c r="M11" s="93">
        <f t="shared" ref="M11" si="51">SUM(K11:L11)</f>
        <v>0</v>
      </c>
      <c r="N11" s="92"/>
      <c r="O11" s="91"/>
      <c r="P11" s="93">
        <f t="shared" ref="P11" si="52">SUM(N11:O11)</f>
        <v>0</v>
      </c>
      <c r="Q11" s="92"/>
      <c r="R11" s="91"/>
      <c r="S11" s="93">
        <f t="shared" ref="S11" si="53">SUM(Q11:R11)</f>
        <v>0</v>
      </c>
      <c r="T11" s="92"/>
      <c r="U11" s="91"/>
      <c r="V11" s="93">
        <f t="shared" ref="V11" si="54">SUM(T11:U11)</f>
        <v>0</v>
      </c>
      <c r="W11" s="92"/>
      <c r="X11" s="91"/>
      <c r="Y11" s="93">
        <f t="shared" ref="Y11" si="55">SUM(W11:X11)</f>
        <v>0</v>
      </c>
      <c r="Z11" s="92"/>
      <c r="AA11" s="91"/>
      <c r="AB11" s="93">
        <f t="shared" ref="AB11" si="56">SUM(Z11:AA11)</f>
        <v>0</v>
      </c>
      <c r="AC11" s="92"/>
      <c r="AD11" s="91"/>
      <c r="AE11" s="93">
        <f t="shared" ref="AE11" si="57">SUM(AC11:AD11)</f>
        <v>0</v>
      </c>
      <c r="AF11" s="92"/>
      <c r="AG11" s="91"/>
      <c r="AH11" s="93">
        <f t="shared" ref="AH11" si="58">SUM(AF11:AG11)</f>
        <v>0</v>
      </c>
      <c r="AI11" s="92"/>
      <c r="AJ11" s="91"/>
      <c r="AK11" s="93">
        <f t="shared" ref="AK11" si="59">SUM(AI11:AJ11)</f>
        <v>0</v>
      </c>
      <c r="AL11" s="92"/>
      <c r="AM11" s="91"/>
      <c r="AN11" s="93">
        <f t="shared" ref="AN11" si="60">SUM(AL11:AM11)</f>
        <v>0</v>
      </c>
      <c r="AO11" s="92"/>
      <c r="AP11" s="91"/>
      <c r="AQ11" s="93">
        <f t="shared" ref="AQ11" si="61">SUM(AO11:AP11)</f>
        <v>0</v>
      </c>
      <c r="AR11" s="433">
        <f t="shared" si="4"/>
        <v>0</v>
      </c>
      <c r="AS11" s="91">
        <f t="shared" si="5"/>
        <v>0</v>
      </c>
      <c r="AT11" s="184">
        <f t="shared" si="30"/>
        <v>0</v>
      </c>
      <c r="AU11" s="92"/>
      <c r="AV11" s="91"/>
      <c r="AW11" s="93">
        <f t="shared" ref="AW11" si="62">SUM(AU11:AV11)</f>
        <v>0</v>
      </c>
      <c r="AX11" s="92"/>
      <c r="AY11" s="91"/>
      <c r="AZ11" s="93">
        <f t="shared" ref="AZ11" si="63">SUM(AX11:AY11)</f>
        <v>0</v>
      </c>
      <c r="BA11" s="92"/>
      <c r="BB11" s="91"/>
      <c r="BC11" s="93">
        <f t="shared" ref="BC11" si="64">SUM(BA11:BB11)</f>
        <v>0</v>
      </c>
      <c r="BD11" s="92"/>
      <c r="BE11" s="91"/>
      <c r="BF11" s="93">
        <f t="shared" ref="BF11" si="65">SUM(BD11:BE11)</f>
        <v>0</v>
      </c>
      <c r="BG11" s="92"/>
      <c r="BH11" s="91"/>
      <c r="BI11" s="93">
        <f t="shared" ref="BI11" si="66">SUM(BG11:BH11)</f>
        <v>0</v>
      </c>
      <c r="BJ11" s="92"/>
      <c r="BK11" s="91"/>
      <c r="BL11" s="93">
        <f t="shared" ref="BL11" si="67">SUM(BJ11:BK11)</f>
        <v>0</v>
      </c>
      <c r="BM11" s="92"/>
      <c r="BN11" s="91"/>
      <c r="BO11" s="93">
        <f t="shared" ref="BO11" si="68">SUM(BM11:BN11)</f>
        <v>0</v>
      </c>
      <c r="BP11" s="92"/>
      <c r="BQ11" s="91"/>
      <c r="BR11" s="93">
        <f t="shared" ref="BR11" si="69">SUM(BP11:BQ11)</f>
        <v>0</v>
      </c>
      <c r="BS11" s="92"/>
      <c r="BT11" s="91"/>
      <c r="BU11" s="93">
        <f t="shared" ref="BU11" si="70">SUM(BS11:BT11)</f>
        <v>0</v>
      </c>
      <c r="BV11" s="92"/>
      <c r="BW11" s="91"/>
      <c r="BX11" s="93">
        <f t="shared" ref="BX11" si="71">SUM(BV11:BW11)</f>
        <v>0</v>
      </c>
      <c r="BY11" s="92"/>
      <c r="BZ11" s="91"/>
      <c r="CA11" s="93">
        <f t="shared" ref="CA11" si="72">SUM(BY11:BZ11)</f>
        <v>0</v>
      </c>
      <c r="CB11" s="92"/>
      <c r="CC11" s="91"/>
      <c r="CD11" s="93">
        <f t="shared" ref="CD11" si="73">SUM(CB11:CC11)</f>
        <v>0</v>
      </c>
      <c r="CE11" s="438">
        <f t="shared" si="43"/>
        <v>0</v>
      </c>
      <c r="CF11" s="175">
        <f t="shared" si="44"/>
        <v>0</v>
      </c>
      <c r="CG11" s="439">
        <f t="shared" si="45"/>
        <v>0</v>
      </c>
      <c r="CH11" s="91"/>
      <c r="CI11" s="91"/>
      <c r="CJ11" s="93">
        <f t="shared" ref="CJ11" si="74">SUM(CH11:CI11)</f>
        <v>0</v>
      </c>
      <c r="CK11" s="174"/>
      <c r="CL11" s="175"/>
      <c r="CM11" s="93">
        <f t="shared" si="6"/>
        <v>0</v>
      </c>
      <c r="CN11" s="174"/>
      <c r="CO11" s="175"/>
      <c r="CP11" s="93">
        <f t="shared" si="7"/>
        <v>0</v>
      </c>
      <c r="CQ11" s="174"/>
      <c r="CR11" s="175"/>
      <c r="CS11" s="93">
        <f t="shared" si="8"/>
        <v>0</v>
      </c>
      <c r="CT11" s="174"/>
      <c r="CU11" s="175"/>
      <c r="CV11" s="93">
        <f t="shared" si="9"/>
        <v>0</v>
      </c>
      <c r="CW11" s="174"/>
      <c r="CX11" s="175"/>
      <c r="CY11" s="93">
        <f t="shared" si="10"/>
        <v>0</v>
      </c>
      <c r="CZ11" s="174"/>
      <c r="DA11" s="175"/>
      <c r="DB11" s="93">
        <f t="shared" si="11"/>
        <v>0</v>
      </c>
      <c r="DC11" s="174"/>
      <c r="DD11" s="175"/>
      <c r="DE11" s="93">
        <f t="shared" si="12"/>
        <v>0</v>
      </c>
      <c r="DF11" s="174"/>
      <c r="DG11" s="175"/>
      <c r="DH11" s="93">
        <f t="shared" si="13"/>
        <v>0</v>
      </c>
      <c r="DI11" s="174"/>
      <c r="DJ11" s="175"/>
      <c r="DK11" s="93">
        <f t="shared" si="14"/>
        <v>0</v>
      </c>
      <c r="DL11" s="174"/>
      <c r="DM11" s="175"/>
      <c r="DN11" s="93">
        <f t="shared" si="15"/>
        <v>0</v>
      </c>
      <c r="DO11" s="174"/>
      <c r="DP11" s="175"/>
      <c r="DQ11" s="93">
        <f t="shared" si="16"/>
        <v>0</v>
      </c>
      <c r="DR11" s="438">
        <f t="shared" si="47"/>
        <v>0</v>
      </c>
      <c r="DS11" s="175">
        <f t="shared" si="48"/>
        <v>0</v>
      </c>
      <c r="DT11" s="439">
        <f t="shared" si="49"/>
        <v>0</v>
      </c>
    </row>
    <row r="12" spans="1:124" ht="14.25" customHeight="1">
      <c r="A12" s="23"/>
      <c r="B12" s="87"/>
      <c r="C12" s="88"/>
      <c r="D12" s="89"/>
      <c r="E12" s="433"/>
      <c r="F12" s="91"/>
      <c r="G12" s="184">
        <f>SUM(E12:F12)</f>
        <v>0</v>
      </c>
      <c r="H12" s="91"/>
      <c r="I12" s="91"/>
      <c r="J12" s="93">
        <f>SUM(H12:I12)</f>
        <v>0</v>
      </c>
      <c r="K12" s="91"/>
      <c r="L12" s="91"/>
      <c r="M12" s="93">
        <f>SUM(K12:L12)</f>
        <v>0</v>
      </c>
      <c r="N12" s="92"/>
      <c r="O12" s="91"/>
      <c r="P12" s="93">
        <f>SUM(N12:O12)</f>
        <v>0</v>
      </c>
      <c r="Q12" s="92"/>
      <c r="R12" s="91"/>
      <c r="S12" s="93">
        <f>SUM(Q12:R12)</f>
        <v>0</v>
      </c>
      <c r="T12" s="92"/>
      <c r="U12" s="91"/>
      <c r="V12" s="93">
        <f>SUM(T12:U12)</f>
        <v>0</v>
      </c>
      <c r="W12" s="92"/>
      <c r="X12" s="91"/>
      <c r="Y12" s="93">
        <f>SUM(W12:X12)</f>
        <v>0</v>
      </c>
      <c r="Z12" s="92"/>
      <c r="AA12" s="91"/>
      <c r="AB12" s="93">
        <f>SUM(Z12:AA12)</f>
        <v>0</v>
      </c>
      <c r="AC12" s="92"/>
      <c r="AD12" s="91"/>
      <c r="AE12" s="93">
        <f>SUM(AC12:AD12)</f>
        <v>0</v>
      </c>
      <c r="AF12" s="92"/>
      <c r="AG12" s="91"/>
      <c r="AH12" s="93">
        <f>SUM(AF12:AG12)</f>
        <v>0</v>
      </c>
      <c r="AI12" s="92"/>
      <c r="AJ12" s="91"/>
      <c r="AK12" s="93">
        <f>SUM(AI12:AJ12)</f>
        <v>0</v>
      </c>
      <c r="AL12" s="92"/>
      <c r="AM12" s="91"/>
      <c r="AN12" s="93">
        <f>SUM(AL12:AM12)</f>
        <v>0</v>
      </c>
      <c r="AO12" s="92"/>
      <c r="AP12" s="91"/>
      <c r="AQ12" s="93">
        <f>SUM(AO12:AP12)</f>
        <v>0</v>
      </c>
      <c r="AR12" s="433">
        <f t="shared" si="4"/>
        <v>0</v>
      </c>
      <c r="AS12" s="91">
        <f t="shared" si="5"/>
        <v>0</v>
      </c>
      <c r="AT12" s="184">
        <f>SUM(AR12:AS12)</f>
        <v>0</v>
      </c>
      <c r="AU12" s="92"/>
      <c r="AV12" s="91"/>
      <c r="AW12" s="93">
        <f>SUM(AU12:AV12)</f>
        <v>0</v>
      </c>
      <c r="AX12" s="92"/>
      <c r="AY12" s="91"/>
      <c r="AZ12" s="93">
        <f>SUM(AX12:AY12)</f>
        <v>0</v>
      </c>
      <c r="BA12" s="92"/>
      <c r="BB12" s="91"/>
      <c r="BC12" s="93">
        <f>SUM(BA12:BB12)</f>
        <v>0</v>
      </c>
      <c r="BD12" s="92"/>
      <c r="BE12" s="91"/>
      <c r="BF12" s="93">
        <f>SUM(BD12:BE12)</f>
        <v>0</v>
      </c>
      <c r="BG12" s="92"/>
      <c r="BH12" s="91"/>
      <c r="BI12" s="93">
        <f>SUM(BG12:BH12)</f>
        <v>0</v>
      </c>
      <c r="BJ12" s="92"/>
      <c r="BK12" s="91"/>
      <c r="BL12" s="93">
        <f>SUM(BJ12:BK12)</f>
        <v>0</v>
      </c>
      <c r="BM12" s="92"/>
      <c r="BN12" s="91"/>
      <c r="BO12" s="93">
        <f>SUM(BM12:BN12)</f>
        <v>0</v>
      </c>
      <c r="BP12" s="92"/>
      <c r="BQ12" s="91"/>
      <c r="BR12" s="93">
        <f>SUM(BP12:BQ12)</f>
        <v>0</v>
      </c>
      <c r="BS12" s="92"/>
      <c r="BT12" s="91"/>
      <c r="BU12" s="93">
        <f>SUM(BS12:BT12)</f>
        <v>0</v>
      </c>
      <c r="BV12" s="92"/>
      <c r="BW12" s="91"/>
      <c r="BX12" s="93">
        <f>SUM(BV12:BW12)</f>
        <v>0</v>
      </c>
      <c r="BY12" s="92"/>
      <c r="BZ12" s="91"/>
      <c r="CA12" s="93">
        <f>SUM(BY12:BZ12)</f>
        <v>0</v>
      </c>
      <c r="CB12" s="92"/>
      <c r="CC12" s="91"/>
      <c r="CD12" s="93">
        <f>SUM(CB12:CC12)</f>
        <v>0</v>
      </c>
      <c r="CE12" s="438">
        <f t="shared" si="43"/>
        <v>0</v>
      </c>
      <c r="CF12" s="175">
        <f t="shared" si="44"/>
        <v>0</v>
      </c>
      <c r="CG12" s="439">
        <f t="shared" si="45"/>
        <v>0</v>
      </c>
      <c r="CH12" s="91"/>
      <c r="CI12" s="91"/>
      <c r="CJ12" s="93">
        <f>SUM(CH12:CI12)</f>
        <v>0</v>
      </c>
      <c r="CK12" s="174"/>
      <c r="CL12" s="175"/>
      <c r="CM12" s="93">
        <f t="shared" si="6"/>
        <v>0</v>
      </c>
      <c r="CN12" s="174"/>
      <c r="CO12" s="175"/>
      <c r="CP12" s="93">
        <f t="shared" si="7"/>
        <v>0</v>
      </c>
      <c r="CQ12" s="174"/>
      <c r="CR12" s="175"/>
      <c r="CS12" s="93">
        <f t="shared" si="8"/>
        <v>0</v>
      </c>
      <c r="CT12" s="174"/>
      <c r="CU12" s="175"/>
      <c r="CV12" s="93">
        <f t="shared" si="9"/>
        <v>0</v>
      </c>
      <c r="CW12" s="174"/>
      <c r="CX12" s="175"/>
      <c r="CY12" s="93">
        <f t="shared" si="10"/>
        <v>0</v>
      </c>
      <c r="CZ12" s="174"/>
      <c r="DA12" s="175"/>
      <c r="DB12" s="93">
        <f t="shared" si="11"/>
        <v>0</v>
      </c>
      <c r="DC12" s="174"/>
      <c r="DD12" s="175"/>
      <c r="DE12" s="93">
        <f t="shared" si="12"/>
        <v>0</v>
      </c>
      <c r="DF12" s="174"/>
      <c r="DG12" s="175"/>
      <c r="DH12" s="93">
        <f t="shared" si="13"/>
        <v>0</v>
      </c>
      <c r="DI12" s="174"/>
      <c r="DJ12" s="175"/>
      <c r="DK12" s="93">
        <f t="shared" si="14"/>
        <v>0</v>
      </c>
      <c r="DL12" s="174"/>
      <c r="DM12" s="175"/>
      <c r="DN12" s="93">
        <f t="shared" si="15"/>
        <v>0</v>
      </c>
      <c r="DO12" s="174"/>
      <c r="DP12" s="175"/>
      <c r="DQ12" s="93">
        <f t="shared" si="16"/>
        <v>0</v>
      </c>
      <c r="DR12" s="438">
        <f t="shared" si="47"/>
        <v>0</v>
      </c>
      <c r="DS12" s="175">
        <f t="shared" si="48"/>
        <v>0</v>
      </c>
      <c r="DT12" s="439">
        <f t="shared" si="49"/>
        <v>0</v>
      </c>
    </row>
    <row r="13" spans="1:124" ht="14.25" customHeight="1">
      <c r="A13" s="23"/>
      <c r="B13" s="87"/>
      <c r="C13" s="88"/>
      <c r="D13" s="99"/>
      <c r="E13" s="433"/>
      <c r="F13" s="91"/>
      <c r="G13" s="434"/>
      <c r="H13" s="91"/>
      <c r="I13" s="91"/>
      <c r="J13" s="546"/>
      <c r="K13" s="91"/>
      <c r="L13" s="91"/>
      <c r="M13" s="546"/>
      <c r="N13" s="92"/>
      <c r="O13" s="91"/>
      <c r="P13" s="546"/>
      <c r="Q13" s="92"/>
      <c r="R13" s="91"/>
      <c r="S13" s="546"/>
      <c r="T13" s="92"/>
      <c r="U13" s="91"/>
      <c r="V13" s="546"/>
      <c r="W13" s="92"/>
      <c r="X13" s="91"/>
      <c r="Y13" s="546"/>
      <c r="Z13" s="92"/>
      <c r="AA13" s="91"/>
      <c r="AB13" s="546"/>
      <c r="AC13" s="92"/>
      <c r="AD13" s="91"/>
      <c r="AE13" s="546"/>
      <c r="AF13" s="92"/>
      <c r="AG13" s="91"/>
      <c r="AH13" s="546"/>
      <c r="AI13" s="92"/>
      <c r="AJ13" s="91"/>
      <c r="AK13" s="546"/>
      <c r="AL13" s="92"/>
      <c r="AM13" s="91"/>
      <c r="AN13" s="546"/>
      <c r="AO13" s="92"/>
      <c r="AP13" s="91"/>
      <c r="AQ13" s="546"/>
      <c r="AR13" s="433"/>
      <c r="AS13" s="91"/>
      <c r="AT13" s="434"/>
      <c r="AU13" s="92"/>
      <c r="AV13" s="91"/>
      <c r="AW13" s="546"/>
      <c r="AX13" s="92"/>
      <c r="AY13" s="91"/>
      <c r="AZ13" s="546"/>
      <c r="BA13" s="92"/>
      <c r="BB13" s="91"/>
      <c r="BC13" s="546"/>
      <c r="BD13" s="92"/>
      <c r="BE13" s="91"/>
      <c r="BF13" s="546"/>
      <c r="BG13" s="92"/>
      <c r="BH13" s="91"/>
      <c r="BI13" s="546"/>
      <c r="BJ13" s="92"/>
      <c r="BK13" s="91"/>
      <c r="BL13" s="546"/>
      <c r="BM13" s="92"/>
      <c r="BN13" s="91"/>
      <c r="BO13" s="546"/>
      <c r="BP13" s="92"/>
      <c r="BQ13" s="91"/>
      <c r="BR13" s="546"/>
      <c r="BS13" s="92"/>
      <c r="BT13" s="91"/>
      <c r="BU13" s="546"/>
      <c r="BV13" s="92"/>
      <c r="BW13" s="91"/>
      <c r="BX13" s="546"/>
      <c r="BY13" s="92"/>
      <c r="BZ13" s="91"/>
      <c r="CA13" s="546"/>
      <c r="CB13" s="92"/>
      <c r="CC13" s="91"/>
      <c r="CD13" s="546"/>
      <c r="CE13" s="438"/>
      <c r="CF13" s="175"/>
      <c r="CG13" s="448"/>
      <c r="CH13" s="91"/>
      <c r="CI13" s="91"/>
      <c r="CJ13" s="546"/>
      <c r="CK13" s="174"/>
      <c r="CL13" s="175"/>
      <c r="CM13" s="546"/>
      <c r="CN13" s="174"/>
      <c r="CO13" s="175"/>
      <c r="CP13" s="546"/>
      <c r="CQ13" s="174"/>
      <c r="CR13" s="175"/>
      <c r="CS13" s="546"/>
      <c r="CT13" s="174"/>
      <c r="CU13" s="175"/>
      <c r="CV13" s="546"/>
      <c r="CW13" s="174"/>
      <c r="CX13" s="175"/>
      <c r="CY13" s="546"/>
      <c r="CZ13" s="174"/>
      <c r="DA13" s="175"/>
      <c r="DB13" s="546"/>
      <c r="DC13" s="174"/>
      <c r="DD13" s="175"/>
      <c r="DE13" s="546"/>
      <c r="DF13" s="174"/>
      <c r="DG13" s="175"/>
      <c r="DH13" s="546"/>
      <c r="DI13" s="174"/>
      <c r="DJ13" s="175"/>
      <c r="DK13" s="546"/>
      <c r="DL13" s="174"/>
      <c r="DM13" s="175"/>
      <c r="DN13" s="546"/>
      <c r="DO13" s="174"/>
      <c r="DP13" s="175"/>
      <c r="DQ13" s="546"/>
      <c r="DR13" s="438"/>
      <c r="DS13" s="175"/>
      <c r="DT13" s="448"/>
    </row>
    <row r="14" spans="1:124" ht="14.25" customHeight="1">
      <c r="A14" s="23"/>
      <c r="B14" s="100"/>
      <c r="C14" s="101" t="s">
        <v>3</v>
      </c>
      <c r="D14" s="102" t="s">
        <v>238</v>
      </c>
      <c r="E14" s="435">
        <f>SUM(E15:E20)</f>
        <v>0</v>
      </c>
      <c r="F14" s="107">
        <f t="shared" ref="F14:H14" si="75">SUM(F15:F20)</f>
        <v>0</v>
      </c>
      <c r="G14" s="183">
        <f t="shared" si="75"/>
        <v>0</v>
      </c>
      <c r="H14" s="435">
        <f t="shared" si="75"/>
        <v>0</v>
      </c>
      <c r="I14" s="107">
        <f t="shared" ref="I14" si="76">SUM(I15:I20)</f>
        <v>0</v>
      </c>
      <c r="J14" s="547">
        <f t="shared" ref="J14:K14" si="77">SUM(J15:J20)</f>
        <v>0</v>
      </c>
      <c r="K14" s="107">
        <f t="shared" si="77"/>
        <v>0</v>
      </c>
      <c r="L14" s="107">
        <f t="shared" ref="L14" si="78">SUM(L15:L20)</f>
        <v>0</v>
      </c>
      <c r="M14" s="547">
        <f t="shared" ref="M14:N14" si="79">SUM(M15:M20)</f>
        <v>0</v>
      </c>
      <c r="N14" s="435">
        <f t="shared" si="79"/>
        <v>0</v>
      </c>
      <c r="O14" s="107">
        <f t="shared" ref="O14" si="80">SUM(O15:O20)</f>
        <v>0</v>
      </c>
      <c r="P14" s="547">
        <f t="shared" ref="P14:Q14" si="81">SUM(P15:P20)</f>
        <v>0</v>
      </c>
      <c r="Q14" s="435">
        <f t="shared" si="81"/>
        <v>0</v>
      </c>
      <c r="R14" s="107">
        <f t="shared" ref="R14" si="82">SUM(R15:R20)</f>
        <v>0</v>
      </c>
      <c r="S14" s="547">
        <f t="shared" ref="S14:T14" si="83">SUM(S15:S20)</f>
        <v>0</v>
      </c>
      <c r="T14" s="435">
        <f t="shared" si="83"/>
        <v>0</v>
      </c>
      <c r="U14" s="107">
        <f t="shared" ref="U14" si="84">SUM(U15:U20)</f>
        <v>0</v>
      </c>
      <c r="V14" s="547">
        <f t="shared" ref="V14:W14" si="85">SUM(V15:V20)</f>
        <v>0</v>
      </c>
      <c r="W14" s="435">
        <f t="shared" si="85"/>
        <v>0</v>
      </c>
      <c r="X14" s="107">
        <f t="shared" ref="X14" si="86">SUM(X15:X20)</f>
        <v>0</v>
      </c>
      <c r="Y14" s="547">
        <f t="shared" ref="Y14:Z14" si="87">SUM(Y15:Y20)</f>
        <v>0</v>
      </c>
      <c r="Z14" s="435">
        <f t="shared" si="87"/>
        <v>0</v>
      </c>
      <c r="AA14" s="107">
        <f t="shared" ref="AA14" si="88">SUM(AA15:AA20)</f>
        <v>0</v>
      </c>
      <c r="AB14" s="547">
        <f t="shared" ref="AB14:AC14" si="89">SUM(AB15:AB20)</f>
        <v>0</v>
      </c>
      <c r="AC14" s="435">
        <f t="shared" si="89"/>
        <v>0</v>
      </c>
      <c r="AD14" s="107">
        <f t="shared" ref="AD14" si="90">SUM(AD15:AD20)</f>
        <v>0</v>
      </c>
      <c r="AE14" s="547">
        <f t="shared" ref="AE14:AF14" si="91">SUM(AE15:AE20)</f>
        <v>0</v>
      </c>
      <c r="AF14" s="435">
        <f t="shared" si="91"/>
        <v>0</v>
      </c>
      <c r="AG14" s="107">
        <f t="shared" ref="AG14" si="92">SUM(AG15:AG20)</f>
        <v>0</v>
      </c>
      <c r="AH14" s="547">
        <f t="shared" ref="AH14:AI14" si="93">SUM(AH15:AH20)</f>
        <v>0</v>
      </c>
      <c r="AI14" s="435">
        <f t="shared" si="93"/>
        <v>0</v>
      </c>
      <c r="AJ14" s="107">
        <f t="shared" ref="AJ14" si="94">SUM(AJ15:AJ20)</f>
        <v>0</v>
      </c>
      <c r="AK14" s="547">
        <f t="shared" ref="AK14:AL14" si="95">SUM(AK15:AK20)</f>
        <v>0</v>
      </c>
      <c r="AL14" s="435">
        <f t="shared" si="95"/>
        <v>0</v>
      </c>
      <c r="AM14" s="107">
        <f t="shared" ref="AM14" si="96">SUM(AM15:AM20)</f>
        <v>0</v>
      </c>
      <c r="AN14" s="547">
        <f t="shared" ref="AN14:AO14" si="97">SUM(AN15:AN20)</f>
        <v>0</v>
      </c>
      <c r="AO14" s="435">
        <f t="shared" si="97"/>
        <v>0</v>
      </c>
      <c r="AP14" s="107">
        <f t="shared" ref="AP14" si="98">SUM(AP15:AP20)</f>
        <v>0</v>
      </c>
      <c r="AQ14" s="547">
        <f t="shared" ref="AQ14" si="99">SUM(AQ15:AQ20)</f>
        <v>0</v>
      </c>
      <c r="AR14" s="435">
        <f>SUM(AR15:AR20)</f>
        <v>0</v>
      </c>
      <c r="AS14" s="107">
        <f t="shared" ref="AS14" si="100">SUM(AS15:AS20)</f>
        <v>0</v>
      </c>
      <c r="AT14" s="183">
        <f t="shared" ref="AT14:AU14" si="101">SUM(AT15:AT20)</f>
        <v>0</v>
      </c>
      <c r="AU14" s="435">
        <f t="shared" si="101"/>
        <v>0</v>
      </c>
      <c r="AV14" s="107">
        <f t="shared" ref="AV14" si="102">SUM(AV15:AV20)</f>
        <v>0</v>
      </c>
      <c r="AW14" s="547">
        <f t="shared" ref="AW14:AX14" si="103">SUM(AW15:AW20)</f>
        <v>0</v>
      </c>
      <c r="AX14" s="435">
        <f t="shared" si="103"/>
        <v>0</v>
      </c>
      <c r="AY14" s="107">
        <f t="shared" ref="AY14" si="104">SUM(AY15:AY20)</f>
        <v>0</v>
      </c>
      <c r="AZ14" s="547">
        <f t="shared" ref="AZ14:BA14" si="105">SUM(AZ15:AZ20)</f>
        <v>0</v>
      </c>
      <c r="BA14" s="435">
        <f t="shared" si="105"/>
        <v>0</v>
      </c>
      <c r="BB14" s="107">
        <f t="shared" ref="BB14" si="106">SUM(BB15:BB20)</f>
        <v>0</v>
      </c>
      <c r="BC14" s="547">
        <f t="shared" ref="BC14:BD14" si="107">SUM(BC15:BC20)</f>
        <v>0</v>
      </c>
      <c r="BD14" s="435">
        <f t="shared" si="107"/>
        <v>0</v>
      </c>
      <c r="BE14" s="107">
        <f t="shared" ref="BE14" si="108">SUM(BE15:BE20)</f>
        <v>0</v>
      </c>
      <c r="BF14" s="547">
        <f t="shared" ref="BF14:BG14" si="109">SUM(BF15:BF20)</f>
        <v>0</v>
      </c>
      <c r="BG14" s="435">
        <f t="shared" si="109"/>
        <v>0</v>
      </c>
      <c r="BH14" s="107">
        <f t="shared" ref="BH14" si="110">SUM(BH15:BH20)</f>
        <v>0</v>
      </c>
      <c r="BI14" s="547">
        <f t="shared" ref="BI14:BJ14" si="111">SUM(BI15:BI20)</f>
        <v>0</v>
      </c>
      <c r="BJ14" s="435">
        <f t="shared" si="111"/>
        <v>0</v>
      </c>
      <c r="BK14" s="107">
        <f t="shared" ref="BK14" si="112">SUM(BK15:BK20)</f>
        <v>0</v>
      </c>
      <c r="BL14" s="547">
        <f t="shared" ref="BL14:BM14" si="113">SUM(BL15:BL20)</f>
        <v>0</v>
      </c>
      <c r="BM14" s="435">
        <f t="shared" si="113"/>
        <v>0</v>
      </c>
      <c r="BN14" s="107">
        <f t="shared" ref="BN14" si="114">SUM(BN15:BN20)</f>
        <v>0</v>
      </c>
      <c r="BO14" s="547">
        <f t="shared" ref="BO14:BP14" si="115">SUM(BO15:BO20)</f>
        <v>0</v>
      </c>
      <c r="BP14" s="435">
        <f t="shared" si="115"/>
        <v>0</v>
      </c>
      <c r="BQ14" s="107">
        <f t="shared" ref="BQ14" si="116">SUM(BQ15:BQ20)</f>
        <v>0</v>
      </c>
      <c r="BR14" s="547">
        <f t="shared" ref="BR14:BS14" si="117">SUM(BR15:BR20)</f>
        <v>0</v>
      </c>
      <c r="BS14" s="435">
        <f t="shared" si="117"/>
        <v>0</v>
      </c>
      <c r="BT14" s="107">
        <f t="shared" ref="BT14" si="118">SUM(BT15:BT20)</f>
        <v>0</v>
      </c>
      <c r="BU14" s="547">
        <f t="shared" ref="BU14:BV14" si="119">SUM(BU15:BU20)</f>
        <v>0</v>
      </c>
      <c r="BV14" s="435">
        <f t="shared" si="119"/>
        <v>0</v>
      </c>
      <c r="BW14" s="107">
        <f t="shared" ref="BW14" si="120">SUM(BW15:BW20)</f>
        <v>0</v>
      </c>
      <c r="BX14" s="547">
        <f t="shared" ref="BX14:BY14" si="121">SUM(BX15:BX20)</f>
        <v>0</v>
      </c>
      <c r="BY14" s="435">
        <f t="shared" si="121"/>
        <v>0</v>
      </c>
      <c r="BZ14" s="107">
        <f t="shared" ref="BZ14" si="122">SUM(BZ15:BZ20)</f>
        <v>0</v>
      </c>
      <c r="CA14" s="547">
        <f t="shared" ref="CA14:CB14" si="123">SUM(CA15:CA20)</f>
        <v>0</v>
      </c>
      <c r="CB14" s="435">
        <f t="shared" si="123"/>
        <v>0</v>
      </c>
      <c r="CC14" s="107">
        <f t="shared" ref="CC14" si="124">SUM(CC15:CC20)</f>
        <v>0</v>
      </c>
      <c r="CD14" s="547">
        <f t="shared" ref="CD14:CE14" si="125">SUM(CD15:CD20)</f>
        <v>0</v>
      </c>
      <c r="CE14" s="435">
        <f t="shared" si="125"/>
        <v>0</v>
      </c>
      <c r="CF14" s="107">
        <f t="shared" ref="CF14" si="126">SUM(CF15:CF20)</f>
        <v>0</v>
      </c>
      <c r="CG14" s="183">
        <f t="shared" ref="CG14" si="127">SUM(CG15:CG20)</f>
        <v>0</v>
      </c>
      <c r="CH14" s="435">
        <f t="shared" ref="CH14" si="128">SUM(CH15:CH20)</f>
        <v>0</v>
      </c>
      <c r="CI14" s="107">
        <f t="shared" ref="CI14" si="129">SUM(CI15:CI20)</f>
        <v>0</v>
      </c>
      <c r="CJ14" s="547">
        <f t="shared" ref="CJ14" si="130">SUM(CJ15:CJ20)</f>
        <v>0</v>
      </c>
      <c r="CK14" s="435">
        <f t="shared" ref="CK14" si="131">SUM(CK15:CK20)</f>
        <v>0</v>
      </c>
      <c r="CL14" s="107">
        <f t="shared" ref="CL14" si="132">SUM(CL15:CL20)</f>
        <v>0</v>
      </c>
      <c r="CM14" s="547">
        <f t="shared" ref="CM14" si="133">SUM(CM15:CM20)</f>
        <v>0</v>
      </c>
      <c r="CN14" s="435">
        <f t="shared" ref="CN14" si="134">SUM(CN15:CN20)</f>
        <v>0</v>
      </c>
      <c r="CO14" s="107">
        <f t="shared" ref="CO14" si="135">SUM(CO15:CO20)</f>
        <v>0</v>
      </c>
      <c r="CP14" s="547">
        <f t="shared" ref="CP14" si="136">SUM(CP15:CP20)</f>
        <v>0</v>
      </c>
      <c r="CQ14" s="435">
        <f t="shared" ref="CQ14" si="137">SUM(CQ15:CQ20)</f>
        <v>0</v>
      </c>
      <c r="CR14" s="107">
        <f t="shared" ref="CR14" si="138">SUM(CR15:CR20)</f>
        <v>0</v>
      </c>
      <c r="CS14" s="547">
        <f t="shared" ref="CS14" si="139">SUM(CS15:CS20)</f>
        <v>0</v>
      </c>
      <c r="CT14" s="435">
        <f t="shared" ref="CT14" si="140">SUM(CT15:CT20)</f>
        <v>0</v>
      </c>
      <c r="CU14" s="107">
        <f t="shared" ref="CU14" si="141">SUM(CU15:CU20)</f>
        <v>0</v>
      </c>
      <c r="CV14" s="547">
        <f t="shared" ref="CV14" si="142">SUM(CV15:CV20)</f>
        <v>0</v>
      </c>
      <c r="CW14" s="435">
        <f t="shared" ref="CW14" si="143">SUM(CW15:CW20)</f>
        <v>0</v>
      </c>
      <c r="CX14" s="107">
        <f t="shared" ref="CX14" si="144">SUM(CX15:CX20)</f>
        <v>0</v>
      </c>
      <c r="CY14" s="547">
        <f t="shared" ref="CY14" si="145">SUM(CY15:CY20)</f>
        <v>0</v>
      </c>
      <c r="CZ14" s="435">
        <f t="shared" ref="CZ14" si="146">SUM(CZ15:CZ20)</f>
        <v>0</v>
      </c>
      <c r="DA14" s="107">
        <f t="shared" ref="DA14" si="147">SUM(DA15:DA20)</f>
        <v>0</v>
      </c>
      <c r="DB14" s="547">
        <f t="shared" ref="DB14" si="148">SUM(DB15:DB20)</f>
        <v>0</v>
      </c>
      <c r="DC14" s="435">
        <f t="shared" ref="DC14" si="149">SUM(DC15:DC20)</f>
        <v>0</v>
      </c>
      <c r="DD14" s="107">
        <f t="shared" ref="DD14" si="150">SUM(DD15:DD20)</f>
        <v>0</v>
      </c>
      <c r="DE14" s="547">
        <f t="shared" ref="DE14" si="151">SUM(DE15:DE20)</f>
        <v>0</v>
      </c>
      <c r="DF14" s="435">
        <f t="shared" ref="DF14" si="152">SUM(DF15:DF20)</f>
        <v>0</v>
      </c>
      <c r="DG14" s="107">
        <f t="shared" ref="DG14" si="153">SUM(DG15:DG20)</f>
        <v>0</v>
      </c>
      <c r="DH14" s="547">
        <f t="shared" ref="DH14" si="154">SUM(DH15:DH20)</f>
        <v>0</v>
      </c>
      <c r="DI14" s="435">
        <f t="shared" ref="DI14" si="155">SUM(DI15:DI20)</f>
        <v>0</v>
      </c>
      <c r="DJ14" s="107">
        <f t="shared" ref="DJ14" si="156">SUM(DJ15:DJ20)</f>
        <v>0</v>
      </c>
      <c r="DK14" s="547">
        <f t="shared" ref="DK14" si="157">SUM(DK15:DK20)</f>
        <v>0</v>
      </c>
      <c r="DL14" s="435">
        <f t="shared" ref="DL14" si="158">SUM(DL15:DL20)</f>
        <v>0</v>
      </c>
      <c r="DM14" s="107">
        <f t="shared" ref="DM14" si="159">SUM(DM15:DM20)</f>
        <v>0</v>
      </c>
      <c r="DN14" s="547">
        <f t="shared" ref="DN14" si="160">SUM(DN15:DN20)</f>
        <v>0</v>
      </c>
      <c r="DO14" s="435">
        <f t="shared" ref="DO14" si="161">SUM(DO15:DO20)</f>
        <v>0</v>
      </c>
      <c r="DP14" s="107">
        <f t="shared" ref="DP14" si="162">SUM(DP15:DP20)</f>
        <v>0</v>
      </c>
      <c r="DQ14" s="547">
        <f t="shared" ref="DQ14" si="163">SUM(DQ15:DQ20)</f>
        <v>0</v>
      </c>
      <c r="DR14" s="435">
        <f t="shared" ref="DR14" si="164">SUM(DR15:DR20)</f>
        <v>0</v>
      </c>
      <c r="DS14" s="107">
        <f t="shared" ref="DS14" si="165">SUM(DS15:DS20)</f>
        <v>0</v>
      </c>
      <c r="DT14" s="183">
        <f t="shared" ref="DT14" si="166">SUM(DT15:DT20)</f>
        <v>0</v>
      </c>
    </row>
    <row r="15" spans="1:124" ht="14.25" customHeight="1">
      <c r="A15" s="23"/>
      <c r="B15" s="87"/>
      <c r="C15" s="88"/>
      <c r="D15" s="89"/>
      <c r="E15" s="433"/>
      <c r="F15" s="91"/>
      <c r="G15" s="184">
        <f>SUM(E15:F15)</f>
        <v>0</v>
      </c>
      <c r="H15" s="91"/>
      <c r="I15" s="91"/>
      <c r="J15" s="93">
        <f>SUM(H15:I15)</f>
        <v>0</v>
      </c>
      <c r="K15" s="91"/>
      <c r="L15" s="91"/>
      <c r="M15" s="93">
        <f>SUM(K15:L15)</f>
        <v>0</v>
      </c>
      <c r="N15" s="92"/>
      <c r="O15" s="91"/>
      <c r="P15" s="93">
        <f>SUM(N15:O15)</f>
        <v>0</v>
      </c>
      <c r="Q15" s="92"/>
      <c r="R15" s="91"/>
      <c r="S15" s="93">
        <f>SUM(Q15:R15)</f>
        <v>0</v>
      </c>
      <c r="T15" s="92"/>
      <c r="U15" s="91"/>
      <c r="V15" s="93">
        <f>SUM(T15:U15)</f>
        <v>0</v>
      </c>
      <c r="W15" s="92"/>
      <c r="X15" s="91"/>
      <c r="Y15" s="93">
        <f>SUM(W15:X15)</f>
        <v>0</v>
      </c>
      <c r="Z15" s="92"/>
      <c r="AA15" s="91"/>
      <c r="AB15" s="93">
        <f>SUM(Z15:AA15)</f>
        <v>0</v>
      </c>
      <c r="AC15" s="92"/>
      <c r="AD15" s="91"/>
      <c r="AE15" s="93">
        <f>SUM(AC15:AD15)</f>
        <v>0</v>
      </c>
      <c r="AF15" s="92"/>
      <c r="AG15" s="91"/>
      <c r="AH15" s="93">
        <f>SUM(AF15:AG15)</f>
        <v>0</v>
      </c>
      <c r="AI15" s="92"/>
      <c r="AJ15" s="91"/>
      <c r="AK15" s="93">
        <f>SUM(AI15:AJ15)</f>
        <v>0</v>
      </c>
      <c r="AL15" s="92"/>
      <c r="AM15" s="91"/>
      <c r="AN15" s="93">
        <f>SUM(AL15:AM15)</f>
        <v>0</v>
      </c>
      <c r="AO15" s="92"/>
      <c r="AP15" s="91"/>
      <c r="AQ15" s="93">
        <f>SUM(AO15:AP15)</f>
        <v>0</v>
      </c>
      <c r="AR15" s="433">
        <f t="shared" ref="AR15:AR20" si="167">AO15+AL15+AI15+AF15+AC15+Z15+W15+T15+Q15+N15+K15+H15</f>
        <v>0</v>
      </c>
      <c r="AS15" s="91">
        <f t="shared" ref="AS15:AS20" si="168">AP15+AM15+AJ15+AG15+AD15+AA15+X15+U15+R15+O15+L15+I15</f>
        <v>0</v>
      </c>
      <c r="AT15" s="184">
        <f>SUM(AR15:AS15)</f>
        <v>0</v>
      </c>
      <c r="AU15" s="92"/>
      <c r="AV15" s="91"/>
      <c r="AW15" s="93">
        <f>SUM(AU15:AV15)</f>
        <v>0</v>
      </c>
      <c r="AX15" s="92"/>
      <c r="AY15" s="91"/>
      <c r="AZ15" s="93">
        <f>SUM(AX15:AY15)</f>
        <v>0</v>
      </c>
      <c r="BA15" s="92"/>
      <c r="BB15" s="91"/>
      <c r="BC15" s="93">
        <f>SUM(BA15:BB15)</f>
        <v>0</v>
      </c>
      <c r="BD15" s="92"/>
      <c r="BE15" s="91"/>
      <c r="BF15" s="93">
        <f>SUM(BD15:BE15)</f>
        <v>0</v>
      </c>
      <c r="BG15" s="92"/>
      <c r="BH15" s="91"/>
      <c r="BI15" s="93">
        <f>SUM(BG15:BH15)</f>
        <v>0</v>
      </c>
      <c r="BJ15" s="92"/>
      <c r="BK15" s="91"/>
      <c r="BL15" s="93">
        <f>SUM(BJ15:BK15)</f>
        <v>0</v>
      </c>
      <c r="BM15" s="92"/>
      <c r="BN15" s="91"/>
      <c r="BO15" s="93">
        <f>SUM(BM15:BN15)</f>
        <v>0</v>
      </c>
      <c r="BP15" s="92"/>
      <c r="BQ15" s="91"/>
      <c r="BR15" s="93">
        <f>SUM(BP15:BQ15)</f>
        <v>0</v>
      </c>
      <c r="BS15" s="92"/>
      <c r="BT15" s="91"/>
      <c r="BU15" s="93">
        <f>SUM(BS15:BT15)</f>
        <v>0</v>
      </c>
      <c r="BV15" s="92"/>
      <c r="BW15" s="91"/>
      <c r="BX15" s="93">
        <f>SUM(BV15:BW15)</f>
        <v>0</v>
      </c>
      <c r="BY15" s="92"/>
      <c r="BZ15" s="91"/>
      <c r="CA15" s="93">
        <f>SUM(BY15:BZ15)</f>
        <v>0</v>
      </c>
      <c r="CB15" s="92"/>
      <c r="CC15" s="91"/>
      <c r="CD15" s="93">
        <f>SUM(CB15:CC15)</f>
        <v>0</v>
      </c>
      <c r="CE15" s="438">
        <f>CB15+BY15+BV15+BS15+BP15+BM15+BJ15+BG15+BD15+BA15+AX15+AU15</f>
        <v>0</v>
      </c>
      <c r="CF15" s="175">
        <f>CC15+BZ15+BW15+BT15+BQ15+BN15+BK15+BH15+BE15+BB15+AY15+AV15</f>
        <v>0</v>
      </c>
      <c r="CG15" s="439">
        <f>SUM(CE15:CF15)</f>
        <v>0</v>
      </c>
      <c r="CH15" s="91"/>
      <c r="CI15" s="91"/>
      <c r="CJ15" s="93">
        <f>SUM(CH15:CI15)</f>
        <v>0</v>
      </c>
      <c r="CK15" s="174"/>
      <c r="CL15" s="175"/>
      <c r="CM15" s="93">
        <f t="shared" ref="CM15:CM20" si="169">SUM(CK15:CL15)</f>
        <v>0</v>
      </c>
      <c r="CN15" s="174"/>
      <c r="CO15" s="175"/>
      <c r="CP15" s="93">
        <f t="shared" ref="CP15:CP20" si="170">SUM(CN15:CO15)</f>
        <v>0</v>
      </c>
      <c r="CQ15" s="174"/>
      <c r="CR15" s="175"/>
      <c r="CS15" s="93">
        <f t="shared" ref="CS15:CS20" si="171">SUM(CQ15:CR15)</f>
        <v>0</v>
      </c>
      <c r="CT15" s="174"/>
      <c r="CU15" s="175"/>
      <c r="CV15" s="93">
        <f t="shared" ref="CV15:CV20" si="172">SUM(CT15:CU15)</f>
        <v>0</v>
      </c>
      <c r="CW15" s="174"/>
      <c r="CX15" s="175"/>
      <c r="CY15" s="93">
        <f t="shared" ref="CY15:CY20" si="173">SUM(CW15:CX15)</f>
        <v>0</v>
      </c>
      <c r="CZ15" s="174"/>
      <c r="DA15" s="175"/>
      <c r="DB15" s="93">
        <f t="shared" ref="DB15:DB20" si="174">SUM(CZ15:DA15)</f>
        <v>0</v>
      </c>
      <c r="DC15" s="174"/>
      <c r="DD15" s="175"/>
      <c r="DE15" s="93">
        <f t="shared" ref="DE15:DE20" si="175">SUM(DC15:DD15)</f>
        <v>0</v>
      </c>
      <c r="DF15" s="174"/>
      <c r="DG15" s="175"/>
      <c r="DH15" s="93">
        <f t="shared" ref="DH15:DH20" si="176">SUM(DF15:DG15)</f>
        <v>0</v>
      </c>
      <c r="DI15" s="174"/>
      <c r="DJ15" s="175"/>
      <c r="DK15" s="93">
        <f t="shared" ref="DK15:DK20" si="177">SUM(DI15:DJ15)</f>
        <v>0</v>
      </c>
      <c r="DL15" s="174"/>
      <c r="DM15" s="175"/>
      <c r="DN15" s="93">
        <f t="shared" ref="DN15:DN20" si="178">SUM(DL15:DM15)</f>
        <v>0</v>
      </c>
      <c r="DO15" s="174"/>
      <c r="DP15" s="175"/>
      <c r="DQ15" s="93">
        <f t="shared" ref="DQ15:DQ20" si="179">SUM(DO15:DP15)</f>
        <v>0</v>
      </c>
      <c r="DR15" s="438">
        <f>DO15+DL15+DI15+DF15+DC15+CZ15+CW15+CT15+CQ15+CN15+CK15+CH15</f>
        <v>0</v>
      </c>
      <c r="DS15" s="175">
        <f>DP15+DM15+DJ15+DG15+DD15+DA15+CX15+CU15+CR15+CO15+CL15+CI15</f>
        <v>0</v>
      </c>
      <c r="DT15" s="439">
        <f>SUM(DR15:DS15)</f>
        <v>0</v>
      </c>
    </row>
    <row r="16" spans="1:124" ht="14.25" customHeight="1">
      <c r="A16" s="23"/>
      <c r="B16" s="87"/>
      <c r="C16" s="88"/>
      <c r="D16" s="89"/>
      <c r="E16" s="433"/>
      <c r="F16" s="91"/>
      <c r="G16" s="184">
        <f t="shared" ref="G16" si="180">SUM(E16:F16)</f>
        <v>0</v>
      </c>
      <c r="H16" s="91"/>
      <c r="I16" s="91"/>
      <c r="J16" s="93">
        <f t="shared" ref="J16:J19" si="181">SUM(H16:I16)</f>
        <v>0</v>
      </c>
      <c r="K16" s="91"/>
      <c r="L16" s="91"/>
      <c r="M16" s="93">
        <f t="shared" ref="M16" si="182">SUM(K16:L16)</f>
        <v>0</v>
      </c>
      <c r="N16" s="92"/>
      <c r="O16" s="91"/>
      <c r="P16" s="93">
        <f t="shared" ref="P16" si="183">SUM(N16:O16)</f>
        <v>0</v>
      </c>
      <c r="Q16" s="92"/>
      <c r="R16" s="91"/>
      <c r="S16" s="93">
        <f t="shared" ref="S16" si="184">SUM(Q16:R16)</f>
        <v>0</v>
      </c>
      <c r="T16" s="92"/>
      <c r="U16" s="91"/>
      <c r="V16" s="93">
        <f t="shared" ref="V16" si="185">SUM(T16:U16)</f>
        <v>0</v>
      </c>
      <c r="W16" s="92"/>
      <c r="X16" s="91"/>
      <c r="Y16" s="93">
        <f t="shared" ref="Y16" si="186">SUM(W16:X16)</f>
        <v>0</v>
      </c>
      <c r="Z16" s="92"/>
      <c r="AA16" s="91"/>
      <c r="AB16" s="93">
        <f t="shared" ref="AB16" si="187">SUM(Z16:AA16)</f>
        <v>0</v>
      </c>
      <c r="AC16" s="92"/>
      <c r="AD16" s="91"/>
      <c r="AE16" s="93">
        <f t="shared" ref="AE16" si="188">SUM(AC16:AD16)</f>
        <v>0</v>
      </c>
      <c r="AF16" s="92"/>
      <c r="AG16" s="91"/>
      <c r="AH16" s="93">
        <f t="shared" ref="AH16" si="189">SUM(AF16:AG16)</f>
        <v>0</v>
      </c>
      <c r="AI16" s="92"/>
      <c r="AJ16" s="91"/>
      <c r="AK16" s="93">
        <f t="shared" ref="AK16" si="190">SUM(AI16:AJ16)</f>
        <v>0</v>
      </c>
      <c r="AL16" s="92"/>
      <c r="AM16" s="91"/>
      <c r="AN16" s="93">
        <f t="shared" ref="AN16" si="191">SUM(AL16:AM16)</f>
        <v>0</v>
      </c>
      <c r="AO16" s="92"/>
      <c r="AP16" s="91"/>
      <c r="AQ16" s="93">
        <f t="shared" ref="AQ16" si="192">SUM(AO16:AP16)</f>
        <v>0</v>
      </c>
      <c r="AR16" s="433">
        <f t="shared" si="167"/>
        <v>0</v>
      </c>
      <c r="AS16" s="91">
        <f t="shared" si="168"/>
        <v>0</v>
      </c>
      <c r="AT16" s="184">
        <f t="shared" ref="AT16:AT19" si="193">SUM(AR16:AS16)</f>
        <v>0</v>
      </c>
      <c r="AU16" s="92"/>
      <c r="AV16" s="91"/>
      <c r="AW16" s="93">
        <f t="shared" ref="AW16" si="194">SUM(AU16:AV16)</f>
        <v>0</v>
      </c>
      <c r="AX16" s="92"/>
      <c r="AY16" s="91"/>
      <c r="AZ16" s="93">
        <f t="shared" ref="AZ16" si="195">SUM(AX16:AY16)</f>
        <v>0</v>
      </c>
      <c r="BA16" s="92"/>
      <c r="BB16" s="91"/>
      <c r="BC16" s="93">
        <f t="shared" ref="BC16" si="196">SUM(BA16:BB16)</f>
        <v>0</v>
      </c>
      <c r="BD16" s="92"/>
      <c r="BE16" s="91"/>
      <c r="BF16" s="93">
        <f t="shared" ref="BF16" si="197">SUM(BD16:BE16)</f>
        <v>0</v>
      </c>
      <c r="BG16" s="92"/>
      <c r="BH16" s="91"/>
      <c r="BI16" s="93">
        <f t="shared" ref="BI16" si="198">SUM(BG16:BH16)</f>
        <v>0</v>
      </c>
      <c r="BJ16" s="92"/>
      <c r="BK16" s="91"/>
      <c r="BL16" s="93">
        <f t="shared" ref="BL16" si="199">SUM(BJ16:BK16)</f>
        <v>0</v>
      </c>
      <c r="BM16" s="92"/>
      <c r="BN16" s="91"/>
      <c r="BO16" s="93">
        <f t="shared" ref="BO16" si="200">SUM(BM16:BN16)</f>
        <v>0</v>
      </c>
      <c r="BP16" s="92"/>
      <c r="BQ16" s="91"/>
      <c r="BR16" s="93">
        <f t="shared" ref="BR16" si="201">SUM(BP16:BQ16)</f>
        <v>0</v>
      </c>
      <c r="BS16" s="92"/>
      <c r="BT16" s="91"/>
      <c r="BU16" s="93">
        <f t="shared" ref="BU16" si="202">SUM(BS16:BT16)</f>
        <v>0</v>
      </c>
      <c r="BV16" s="92"/>
      <c r="BW16" s="91"/>
      <c r="BX16" s="93">
        <f t="shared" ref="BX16" si="203">SUM(BV16:BW16)</f>
        <v>0</v>
      </c>
      <c r="BY16" s="92"/>
      <c r="BZ16" s="91"/>
      <c r="CA16" s="93">
        <f t="shared" ref="CA16" si="204">SUM(BY16:BZ16)</f>
        <v>0</v>
      </c>
      <c r="CB16" s="92"/>
      <c r="CC16" s="91"/>
      <c r="CD16" s="93">
        <f t="shared" ref="CD16" si="205">SUM(CB16:CC16)</f>
        <v>0</v>
      </c>
      <c r="CE16" s="438">
        <f t="shared" ref="CE16:CE20" si="206">CB16+BY16+BV16+BS16+BP16+BM16+BJ16+BG16+BD16+BA16+AX16+AU16</f>
        <v>0</v>
      </c>
      <c r="CF16" s="175">
        <f t="shared" ref="CF16:CF20" si="207">CC16+BZ16+BW16+BT16+BQ16+BN16+BK16+BH16+BE16+BB16+AY16+AV16</f>
        <v>0</v>
      </c>
      <c r="CG16" s="439">
        <f t="shared" ref="CG16:CG20" si="208">SUM(CE16:CF16)</f>
        <v>0</v>
      </c>
      <c r="CH16" s="91"/>
      <c r="CI16" s="91"/>
      <c r="CJ16" s="93">
        <f t="shared" ref="CJ16" si="209">SUM(CH16:CI16)</f>
        <v>0</v>
      </c>
      <c r="CK16" s="174"/>
      <c r="CL16" s="175"/>
      <c r="CM16" s="93">
        <f t="shared" si="169"/>
        <v>0</v>
      </c>
      <c r="CN16" s="174"/>
      <c r="CO16" s="175"/>
      <c r="CP16" s="93">
        <f t="shared" si="170"/>
        <v>0</v>
      </c>
      <c r="CQ16" s="174"/>
      <c r="CR16" s="175"/>
      <c r="CS16" s="93">
        <f t="shared" si="171"/>
        <v>0</v>
      </c>
      <c r="CT16" s="174"/>
      <c r="CU16" s="175"/>
      <c r="CV16" s="93">
        <f t="shared" si="172"/>
        <v>0</v>
      </c>
      <c r="CW16" s="174"/>
      <c r="CX16" s="175"/>
      <c r="CY16" s="93">
        <f t="shared" si="173"/>
        <v>0</v>
      </c>
      <c r="CZ16" s="174"/>
      <c r="DA16" s="175"/>
      <c r="DB16" s="93">
        <f t="shared" si="174"/>
        <v>0</v>
      </c>
      <c r="DC16" s="174"/>
      <c r="DD16" s="175"/>
      <c r="DE16" s="93">
        <f t="shared" si="175"/>
        <v>0</v>
      </c>
      <c r="DF16" s="174"/>
      <c r="DG16" s="175"/>
      <c r="DH16" s="93">
        <f t="shared" si="176"/>
        <v>0</v>
      </c>
      <c r="DI16" s="174"/>
      <c r="DJ16" s="175"/>
      <c r="DK16" s="93">
        <f t="shared" si="177"/>
        <v>0</v>
      </c>
      <c r="DL16" s="174"/>
      <c r="DM16" s="175"/>
      <c r="DN16" s="93">
        <f t="shared" si="178"/>
        <v>0</v>
      </c>
      <c r="DO16" s="174"/>
      <c r="DP16" s="175"/>
      <c r="DQ16" s="93">
        <f t="shared" si="179"/>
        <v>0</v>
      </c>
      <c r="DR16" s="438">
        <f t="shared" ref="DR16:DR20" si="210">DO16+DL16+DI16+DF16+DC16+CZ16+CW16+CT16+CQ16+CN16+CK16+CH16</f>
        <v>0</v>
      </c>
      <c r="DS16" s="175">
        <f t="shared" ref="DS16:DS20" si="211">DP16+DM16+DJ16+DG16+DD16+DA16+CX16+CU16+CR16+CO16+CL16+CI16</f>
        <v>0</v>
      </c>
      <c r="DT16" s="439">
        <f t="shared" ref="DT16:DT20" si="212">SUM(DR16:DS16)</f>
        <v>0</v>
      </c>
    </row>
    <row r="17" spans="1:124" ht="14.25" customHeight="1">
      <c r="A17" s="23"/>
      <c r="B17" s="87"/>
      <c r="C17" s="88"/>
      <c r="D17" s="89"/>
      <c r="E17" s="433"/>
      <c r="F17" s="91"/>
      <c r="G17" s="184">
        <f>SUM(E17:F17)</f>
        <v>0</v>
      </c>
      <c r="H17" s="91"/>
      <c r="I17" s="91"/>
      <c r="J17" s="93">
        <f>SUM(H17:I17)</f>
        <v>0</v>
      </c>
      <c r="K17" s="91"/>
      <c r="L17" s="91"/>
      <c r="M17" s="93">
        <f>SUM(K17:L17)</f>
        <v>0</v>
      </c>
      <c r="N17" s="92"/>
      <c r="O17" s="91"/>
      <c r="P17" s="93">
        <f>SUM(N17:O17)</f>
        <v>0</v>
      </c>
      <c r="Q17" s="92"/>
      <c r="R17" s="91"/>
      <c r="S17" s="93">
        <f>SUM(Q17:R17)</f>
        <v>0</v>
      </c>
      <c r="T17" s="92"/>
      <c r="U17" s="91"/>
      <c r="V17" s="93">
        <f>SUM(T17:U17)</f>
        <v>0</v>
      </c>
      <c r="W17" s="92"/>
      <c r="X17" s="91"/>
      <c r="Y17" s="93">
        <f>SUM(W17:X17)</f>
        <v>0</v>
      </c>
      <c r="Z17" s="92"/>
      <c r="AA17" s="91"/>
      <c r="AB17" s="93">
        <f>SUM(Z17:AA17)</f>
        <v>0</v>
      </c>
      <c r="AC17" s="92"/>
      <c r="AD17" s="91"/>
      <c r="AE17" s="93">
        <f>SUM(AC17:AD17)</f>
        <v>0</v>
      </c>
      <c r="AF17" s="92"/>
      <c r="AG17" s="91"/>
      <c r="AH17" s="93">
        <f>SUM(AF17:AG17)</f>
        <v>0</v>
      </c>
      <c r="AI17" s="92"/>
      <c r="AJ17" s="91"/>
      <c r="AK17" s="93">
        <f>SUM(AI17:AJ17)</f>
        <v>0</v>
      </c>
      <c r="AL17" s="92"/>
      <c r="AM17" s="91"/>
      <c r="AN17" s="93">
        <f>SUM(AL17:AM17)</f>
        <v>0</v>
      </c>
      <c r="AO17" s="92"/>
      <c r="AP17" s="91"/>
      <c r="AQ17" s="93">
        <f>SUM(AO17:AP17)</f>
        <v>0</v>
      </c>
      <c r="AR17" s="433">
        <f t="shared" si="167"/>
        <v>0</v>
      </c>
      <c r="AS17" s="91">
        <f t="shared" si="168"/>
        <v>0</v>
      </c>
      <c r="AT17" s="184">
        <f>SUM(AR17:AS17)</f>
        <v>0</v>
      </c>
      <c r="AU17" s="92"/>
      <c r="AV17" s="91"/>
      <c r="AW17" s="93">
        <f>SUM(AU17:AV17)</f>
        <v>0</v>
      </c>
      <c r="AX17" s="92"/>
      <c r="AY17" s="91"/>
      <c r="AZ17" s="93">
        <f>SUM(AX17:AY17)</f>
        <v>0</v>
      </c>
      <c r="BA17" s="92"/>
      <c r="BB17" s="91"/>
      <c r="BC17" s="93">
        <f>SUM(BA17:BB17)</f>
        <v>0</v>
      </c>
      <c r="BD17" s="92"/>
      <c r="BE17" s="91"/>
      <c r="BF17" s="93">
        <f>SUM(BD17:BE17)</f>
        <v>0</v>
      </c>
      <c r="BG17" s="92"/>
      <c r="BH17" s="91"/>
      <c r="BI17" s="93">
        <f>SUM(BG17:BH17)</f>
        <v>0</v>
      </c>
      <c r="BJ17" s="92"/>
      <c r="BK17" s="91"/>
      <c r="BL17" s="93">
        <f>SUM(BJ17:BK17)</f>
        <v>0</v>
      </c>
      <c r="BM17" s="92"/>
      <c r="BN17" s="91"/>
      <c r="BO17" s="93">
        <f>SUM(BM17:BN17)</f>
        <v>0</v>
      </c>
      <c r="BP17" s="92"/>
      <c r="BQ17" s="91"/>
      <c r="BR17" s="93">
        <f>SUM(BP17:BQ17)</f>
        <v>0</v>
      </c>
      <c r="BS17" s="92"/>
      <c r="BT17" s="91"/>
      <c r="BU17" s="93">
        <f>SUM(BS17:BT17)</f>
        <v>0</v>
      </c>
      <c r="BV17" s="92"/>
      <c r="BW17" s="91"/>
      <c r="BX17" s="93">
        <f>SUM(BV17:BW17)</f>
        <v>0</v>
      </c>
      <c r="BY17" s="92"/>
      <c r="BZ17" s="91"/>
      <c r="CA17" s="93">
        <f>SUM(BY17:BZ17)</f>
        <v>0</v>
      </c>
      <c r="CB17" s="92"/>
      <c r="CC17" s="91"/>
      <c r="CD17" s="93">
        <f>SUM(CB17:CC17)</f>
        <v>0</v>
      </c>
      <c r="CE17" s="438">
        <f t="shared" si="206"/>
        <v>0</v>
      </c>
      <c r="CF17" s="175">
        <f t="shared" si="207"/>
        <v>0</v>
      </c>
      <c r="CG17" s="439">
        <f t="shared" si="208"/>
        <v>0</v>
      </c>
      <c r="CH17" s="91"/>
      <c r="CI17" s="91"/>
      <c r="CJ17" s="93">
        <f>SUM(CH17:CI17)</f>
        <v>0</v>
      </c>
      <c r="CK17" s="174"/>
      <c r="CL17" s="175"/>
      <c r="CM17" s="93">
        <f t="shared" si="169"/>
        <v>0</v>
      </c>
      <c r="CN17" s="174"/>
      <c r="CO17" s="175"/>
      <c r="CP17" s="93">
        <f t="shared" si="170"/>
        <v>0</v>
      </c>
      <c r="CQ17" s="174"/>
      <c r="CR17" s="175"/>
      <c r="CS17" s="93">
        <f t="shared" si="171"/>
        <v>0</v>
      </c>
      <c r="CT17" s="174"/>
      <c r="CU17" s="175"/>
      <c r="CV17" s="93">
        <f t="shared" si="172"/>
        <v>0</v>
      </c>
      <c r="CW17" s="174"/>
      <c r="CX17" s="175"/>
      <c r="CY17" s="93">
        <f t="shared" si="173"/>
        <v>0</v>
      </c>
      <c r="CZ17" s="174"/>
      <c r="DA17" s="175"/>
      <c r="DB17" s="93">
        <f t="shared" si="174"/>
        <v>0</v>
      </c>
      <c r="DC17" s="174"/>
      <c r="DD17" s="175"/>
      <c r="DE17" s="93">
        <f t="shared" si="175"/>
        <v>0</v>
      </c>
      <c r="DF17" s="174"/>
      <c r="DG17" s="175"/>
      <c r="DH17" s="93">
        <f t="shared" si="176"/>
        <v>0</v>
      </c>
      <c r="DI17" s="174"/>
      <c r="DJ17" s="175"/>
      <c r="DK17" s="93">
        <f t="shared" si="177"/>
        <v>0</v>
      </c>
      <c r="DL17" s="174"/>
      <c r="DM17" s="175"/>
      <c r="DN17" s="93">
        <f t="shared" si="178"/>
        <v>0</v>
      </c>
      <c r="DO17" s="174"/>
      <c r="DP17" s="175"/>
      <c r="DQ17" s="93">
        <f t="shared" si="179"/>
        <v>0</v>
      </c>
      <c r="DR17" s="438">
        <f t="shared" si="210"/>
        <v>0</v>
      </c>
      <c r="DS17" s="175">
        <f t="shared" si="211"/>
        <v>0</v>
      </c>
      <c r="DT17" s="439">
        <f t="shared" si="212"/>
        <v>0</v>
      </c>
    </row>
    <row r="18" spans="1:124" ht="14.25" customHeight="1">
      <c r="A18" s="23"/>
      <c r="B18" s="87"/>
      <c r="C18" s="88"/>
      <c r="D18" s="89"/>
      <c r="E18" s="433"/>
      <c r="F18" s="91"/>
      <c r="G18" s="184">
        <f>SUM(E18:F18)</f>
        <v>0</v>
      </c>
      <c r="H18" s="91"/>
      <c r="I18" s="91"/>
      <c r="J18" s="93">
        <f>SUM(H18:I18)</f>
        <v>0</v>
      </c>
      <c r="K18" s="91"/>
      <c r="L18" s="91"/>
      <c r="M18" s="93">
        <f>SUM(K18:L18)</f>
        <v>0</v>
      </c>
      <c r="N18" s="92"/>
      <c r="O18" s="91"/>
      <c r="P18" s="93">
        <f>SUM(N18:O18)</f>
        <v>0</v>
      </c>
      <c r="Q18" s="92"/>
      <c r="R18" s="91"/>
      <c r="S18" s="93">
        <f>SUM(Q18:R18)</f>
        <v>0</v>
      </c>
      <c r="T18" s="92"/>
      <c r="U18" s="91"/>
      <c r="V18" s="93">
        <f>SUM(T18:U18)</f>
        <v>0</v>
      </c>
      <c r="W18" s="92"/>
      <c r="X18" s="91"/>
      <c r="Y18" s="93">
        <f>SUM(W18:X18)</f>
        <v>0</v>
      </c>
      <c r="Z18" s="92"/>
      <c r="AA18" s="91"/>
      <c r="AB18" s="93">
        <f>SUM(Z18:AA18)</f>
        <v>0</v>
      </c>
      <c r="AC18" s="92"/>
      <c r="AD18" s="91"/>
      <c r="AE18" s="93">
        <f>SUM(AC18:AD18)</f>
        <v>0</v>
      </c>
      <c r="AF18" s="92"/>
      <c r="AG18" s="91"/>
      <c r="AH18" s="93">
        <f>SUM(AF18:AG18)</f>
        <v>0</v>
      </c>
      <c r="AI18" s="92"/>
      <c r="AJ18" s="91"/>
      <c r="AK18" s="93">
        <f>SUM(AI18:AJ18)</f>
        <v>0</v>
      </c>
      <c r="AL18" s="92"/>
      <c r="AM18" s="91"/>
      <c r="AN18" s="93">
        <f>SUM(AL18:AM18)</f>
        <v>0</v>
      </c>
      <c r="AO18" s="92"/>
      <c r="AP18" s="91"/>
      <c r="AQ18" s="93">
        <f>SUM(AO18:AP18)</f>
        <v>0</v>
      </c>
      <c r="AR18" s="433">
        <f t="shared" si="167"/>
        <v>0</v>
      </c>
      <c r="AS18" s="91">
        <f t="shared" si="168"/>
        <v>0</v>
      </c>
      <c r="AT18" s="184">
        <f>SUM(AR18:AS18)</f>
        <v>0</v>
      </c>
      <c r="AU18" s="92"/>
      <c r="AV18" s="91"/>
      <c r="AW18" s="93">
        <f>SUM(AU18:AV18)</f>
        <v>0</v>
      </c>
      <c r="AX18" s="92"/>
      <c r="AY18" s="91"/>
      <c r="AZ18" s="93">
        <f>SUM(AX18:AY18)</f>
        <v>0</v>
      </c>
      <c r="BA18" s="92"/>
      <c r="BB18" s="91"/>
      <c r="BC18" s="93">
        <f>SUM(BA18:BB18)</f>
        <v>0</v>
      </c>
      <c r="BD18" s="92"/>
      <c r="BE18" s="91"/>
      <c r="BF18" s="93">
        <f>SUM(BD18:BE18)</f>
        <v>0</v>
      </c>
      <c r="BG18" s="92"/>
      <c r="BH18" s="91"/>
      <c r="BI18" s="93">
        <f>SUM(BG18:BH18)</f>
        <v>0</v>
      </c>
      <c r="BJ18" s="92"/>
      <c r="BK18" s="91"/>
      <c r="BL18" s="93">
        <f>SUM(BJ18:BK18)</f>
        <v>0</v>
      </c>
      <c r="BM18" s="92"/>
      <c r="BN18" s="91"/>
      <c r="BO18" s="93">
        <f>SUM(BM18:BN18)</f>
        <v>0</v>
      </c>
      <c r="BP18" s="92"/>
      <c r="BQ18" s="91"/>
      <c r="BR18" s="93">
        <f>SUM(BP18:BQ18)</f>
        <v>0</v>
      </c>
      <c r="BS18" s="92"/>
      <c r="BT18" s="91"/>
      <c r="BU18" s="93">
        <f>SUM(BS18:BT18)</f>
        <v>0</v>
      </c>
      <c r="BV18" s="92"/>
      <c r="BW18" s="91"/>
      <c r="BX18" s="93">
        <f>SUM(BV18:BW18)</f>
        <v>0</v>
      </c>
      <c r="BY18" s="92"/>
      <c r="BZ18" s="91"/>
      <c r="CA18" s="93">
        <f>SUM(BY18:BZ18)</f>
        <v>0</v>
      </c>
      <c r="CB18" s="92"/>
      <c r="CC18" s="91"/>
      <c r="CD18" s="93">
        <f>SUM(CB18:CC18)</f>
        <v>0</v>
      </c>
      <c r="CE18" s="438">
        <f t="shared" si="206"/>
        <v>0</v>
      </c>
      <c r="CF18" s="175">
        <f t="shared" si="207"/>
        <v>0</v>
      </c>
      <c r="CG18" s="439">
        <f t="shared" si="208"/>
        <v>0</v>
      </c>
      <c r="CH18" s="91"/>
      <c r="CI18" s="91"/>
      <c r="CJ18" s="93">
        <f>SUM(CH18:CI18)</f>
        <v>0</v>
      </c>
      <c r="CK18" s="174"/>
      <c r="CL18" s="175"/>
      <c r="CM18" s="93">
        <f t="shared" si="169"/>
        <v>0</v>
      </c>
      <c r="CN18" s="174"/>
      <c r="CO18" s="175"/>
      <c r="CP18" s="93">
        <f t="shared" si="170"/>
        <v>0</v>
      </c>
      <c r="CQ18" s="174"/>
      <c r="CR18" s="175"/>
      <c r="CS18" s="93">
        <f t="shared" si="171"/>
        <v>0</v>
      </c>
      <c r="CT18" s="174"/>
      <c r="CU18" s="175"/>
      <c r="CV18" s="93">
        <f t="shared" si="172"/>
        <v>0</v>
      </c>
      <c r="CW18" s="174"/>
      <c r="CX18" s="175"/>
      <c r="CY18" s="93">
        <f t="shared" si="173"/>
        <v>0</v>
      </c>
      <c r="CZ18" s="174"/>
      <c r="DA18" s="175"/>
      <c r="DB18" s="93">
        <f t="shared" si="174"/>
        <v>0</v>
      </c>
      <c r="DC18" s="174"/>
      <c r="DD18" s="175"/>
      <c r="DE18" s="93">
        <f t="shared" si="175"/>
        <v>0</v>
      </c>
      <c r="DF18" s="174"/>
      <c r="DG18" s="175"/>
      <c r="DH18" s="93">
        <f t="shared" si="176"/>
        <v>0</v>
      </c>
      <c r="DI18" s="174"/>
      <c r="DJ18" s="175"/>
      <c r="DK18" s="93">
        <f t="shared" si="177"/>
        <v>0</v>
      </c>
      <c r="DL18" s="174"/>
      <c r="DM18" s="175"/>
      <c r="DN18" s="93">
        <f t="shared" si="178"/>
        <v>0</v>
      </c>
      <c r="DO18" s="174"/>
      <c r="DP18" s="175"/>
      <c r="DQ18" s="93">
        <f t="shared" si="179"/>
        <v>0</v>
      </c>
      <c r="DR18" s="438">
        <f t="shared" si="210"/>
        <v>0</v>
      </c>
      <c r="DS18" s="175">
        <f t="shared" si="211"/>
        <v>0</v>
      </c>
      <c r="DT18" s="439">
        <f t="shared" si="212"/>
        <v>0</v>
      </c>
    </row>
    <row r="19" spans="1:124" ht="14.25" customHeight="1">
      <c r="A19" s="23"/>
      <c r="B19" s="87"/>
      <c r="C19" s="88"/>
      <c r="D19" s="89"/>
      <c r="E19" s="433"/>
      <c r="F19" s="91"/>
      <c r="G19" s="184">
        <f t="shared" ref="G19" si="213">SUM(E19:F19)</f>
        <v>0</v>
      </c>
      <c r="H19" s="91"/>
      <c r="I19" s="91"/>
      <c r="J19" s="93">
        <f t="shared" si="181"/>
        <v>0</v>
      </c>
      <c r="K19" s="91"/>
      <c r="L19" s="91"/>
      <c r="M19" s="93">
        <f t="shared" ref="M19" si="214">SUM(K19:L19)</f>
        <v>0</v>
      </c>
      <c r="N19" s="92"/>
      <c r="O19" s="91"/>
      <c r="P19" s="93">
        <f t="shared" ref="P19" si="215">SUM(N19:O19)</f>
        <v>0</v>
      </c>
      <c r="Q19" s="92"/>
      <c r="R19" s="91"/>
      <c r="S19" s="93">
        <f t="shared" ref="S19" si="216">SUM(Q19:R19)</f>
        <v>0</v>
      </c>
      <c r="T19" s="92"/>
      <c r="U19" s="91"/>
      <c r="V19" s="93">
        <f t="shared" ref="V19" si="217">SUM(T19:U19)</f>
        <v>0</v>
      </c>
      <c r="W19" s="92"/>
      <c r="X19" s="91"/>
      <c r="Y19" s="93">
        <f t="shared" ref="Y19" si="218">SUM(W19:X19)</f>
        <v>0</v>
      </c>
      <c r="Z19" s="92"/>
      <c r="AA19" s="91"/>
      <c r="AB19" s="93">
        <f t="shared" ref="AB19" si="219">SUM(Z19:AA19)</f>
        <v>0</v>
      </c>
      <c r="AC19" s="92"/>
      <c r="AD19" s="91"/>
      <c r="AE19" s="93">
        <f t="shared" ref="AE19" si="220">SUM(AC19:AD19)</f>
        <v>0</v>
      </c>
      <c r="AF19" s="92"/>
      <c r="AG19" s="91"/>
      <c r="AH19" s="93">
        <f t="shared" ref="AH19" si="221">SUM(AF19:AG19)</f>
        <v>0</v>
      </c>
      <c r="AI19" s="92"/>
      <c r="AJ19" s="91"/>
      <c r="AK19" s="93">
        <f t="shared" ref="AK19" si="222">SUM(AI19:AJ19)</f>
        <v>0</v>
      </c>
      <c r="AL19" s="92"/>
      <c r="AM19" s="91"/>
      <c r="AN19" s="93">
        <f t="shared" ref="AN19" si="223">SUM(AL19:AM19)</f>
        <v>0</v>
      </c>
      <c r="AO19" s="92"/>
      <c r="AP19" s="91"/>
      <c r="AQ19" s="93">
        <f t="shared" ref="AQ19" si="224">SUM(AO19:AP19)</f>
        <v>0</v>
      </c>
      <c r="AR19" s="433">
        <f t="shared" si="167"/>
        <v>0</v>
      </c>
      <c r="AS19" s="91">
        <f t="shared" si="168"/>
        <v>0</v>
      </c>
      <c r="AT19" s="184">
        <f t="shared" si="193"/>
        <v>0</v>
      </c>
      <c r="AU19" s="92"/>
      <c r="AV19" s="91"/>
      <c r="AW19" s="93">
        <f t="shared" ref="AW19" si="225">SUM(AU19:AV19)</f>
        <v>0</v>
      </c>
      <c r="AX19" s="92"/>
      <c r="AY19" s="91"/>
      <c r="AZ19" s="93">
        <f t="shared" ref="AZ19" si="226">SUM(AX19:AY19)</f>
        <v>0</v>
      </c>
      <c r="BA19" s="92"/>
      <c r="BB19" s="91"/>
      <c r="BC19" s="93">
        <f t="shared" ref="BC19" si="227">SUM(BA19:BB19)</f>
        <v>0</v>
      </c>
      <c r="BD19" s="92"/>
      <c r="BE19" s="91"/>
      <c r="BF19" s="93">
        <f t="shared" ref="BF19" si="228">SUM(BD19:BE19)</f>
        <v>0</v>
      </c>
      <c r="BG19" s="92"/>
      <c r="BH19" s="91"/>
      <c r="BI19" s="93">
        <f t="shared" ref="BI19" si="229">SUM(BG19:BH19)</f>
        <v>0</v>
      </c>
      <c r="BJ19" s="92"/>
      <c r="BK19" s="91"/>
      <c r="BL19" s="93">
        <f t="shared" ref="BL19" si="230">SUM(BJ19:BK19)</f>
        <v>0</v>
      </c>
      <c r="BM19" s="92"/>
      <c r="BN19" s="91"/>
      <c r="BO19" s="93">
        <f t="shared" ref="BO19" si="231">SUM(BM19:BN19)</f>
        <v>0</v>
      </c>
      <c r="BP19" s="92"/>
      <c r="BQ19" s="91"/>
      <c r="BR19" s="93">
        <f t="shared" ref="BR19" si="232">SUM(BP19:BQ19)</f>
        <v>0</v>
      </c>
      <c r="BS19" s="92"/>
      <c r="BT19" s="91"/>
      <c r="BU19" s="93">
        <f t="shared" ref="BU19" si="233">SUM(BS19:BT19)</f>
        <v>0</v>
      </c>
      <c r="BV19" s="92"/>
      <c r="BW19" s="91"/>
      <c r="BX19" s="93">
        <f t="shared" ref="BX19" si="234">SUM(BV19:BW19)</f>
        <v>0</v>
      </c>
      <c r="BY19" s="92"/>
      <c r="BZ19" s="91"/>
      <c r="CA19" s="93">
        <f t="shared" ref="CA19" si="235">SUM(BY19:BZ19)</f>
        <v>0</v>
      </c>
      <c r="CB19" s="92"/>
      <c r="CC19" s="91"/>
      <c r="CD19" s="93">
        <f t="shared" ref="CD19" si="236">SUM(CB19:CC19)</f>
        <v>0</v>
      </c>
      <c r="CE19" s="438">
        <f t="shared" si="206"/>
        <v>0</v>
      </c>
      <c r="CF19" s="175">
        <f t="shared" si="207"/>
        <v>0</v>
      </c>
      <c r="CG19" s="439">
        <f t="shared" si="208"/>
        <v>0</v>
      </c>
      <c r="CH19" s="91"/>
      <c r="CI19" s="91"/>
      <c r="CJ19" s="93">
        <f t="shared" ref="CJ19" si="237">SUM(CH19:CI19)</f>
        <v>0</v>
      </c>
      <c r="CK19" s="174"/>
      <c r="CL19" s="175"/>
      <c r="CM19" s="93">
        <f t="shared" si="169"/>
        <v>0</v>
      </c>
      <c r="CN19" s="174"/>
      <c r="CO19" s="175"/>
      <c r="CP19" s="93">
        <f t="shared" si="170"/>
        <v>0</v>
      </c>
      <c r="CQ19" s="174"/>
      <c r="CR19" s="175"/>
      <c r="CS19" s="93">
        <f t="shared" si="171"/>
        <v>0</v>
      </c>
      <c r="CT19" s="174"/>
      <c r="CU19" s="175"/>
      <c r="CV19" s="93">
        <f t="shared" si="172"/>
        <v>0</v>
      </c>
      <c r="CW19" s="174"/>
      <c r="CX19" s="175"/>
      <c r="CY19" s="93">
        <f t="shared" si="173"/>
        <v>0</v>
      </c>
      <c r="CZ19" s="174"/>
      <c r="DA19" s="175"/>
      <c r="DB19" s="93">
        <f t="shared" si="174"/>
        <v>0</v>
      </c>
      <c r="DC19" s="174"/>
      <c r="DD19" s="175"/>
      <c r="DE19" s="93">
        <f t="shared" si="175"/>
        <v>0</v>
      </c>
      <c r="DF19" s="174"/>
      <c r="DG19" s="175"/>
      <c r="DH19" s="93">
        <f t="shared" si="176"/>
        <v>0</v>
      </c>
      <c r="DI19" s="174"/>
      <c r="DJ19" s="175"/>
      <c r="DK19" s="93">
        <f t="shared" si="177"/>
        <v>0</v>
      </c>
      <c r="DL19" s="174"/>
      <c r="DM19" s="175"/>
      <c r="DN19" s="93">
        <f t="shared" si="178"/>
        <v>0</v>
      </c>
      <c r="DO19" s="174"/>
      <c r="DP19" s="175"/>
      <c r="DQ19" s="93">
        <f t="shared" si="179"/>
        <v>0</v>
      </c>
      <c r="DR19" s="438">
        <f t="shared" si="210"/>
        <v>0</v>
      </c>
      <c r="DS19" s="175">
        <f t="shared" si="211"/>
        <v>0</v>
      </c>
      <c r="DT19" s="439">
        <f t="shared" si="212"/>
        <v>0</v>
      </c>
    </row>
    <row r="20" spans="1:124" ht="14.25" customHeight="1">
      <c r="A20" s="23"/>
      <c r="B20" s="87"/>
      <c r="C20" s="88"/>
      <c r="D20" s="89"/>
      <c r="E20" s="433"/>
      <c r="F20" s="91"/>
      <c r="G20" s="184">
        <f>SUM(E20:F20)</f>
        <v>0</v>
      </c>
      <c r="H20" s="91"/>
      <c r="I20" s="91"/>
      <c r="J20" s="93">
        <f>SUM(H20:I20)</f>
        <v>0</v>
      </c>
      <c r="K20" s="91"/>
      <c r="L20" s="91"/>
      <c r="M20" s="93">
        <f>SUM(K20:L20)</f>
        <v>0</v>
      </c>
      <c r="N20" s="92"/>
      <c r="O20" s="91"/>
      <c r="P20" s="93">
        <f>SUM(N20:O20)</f>
        <v>0</v>
      </c>
      <c r="Q20" s="92"/>
      <c r="R20" s="91"/>
      <c r="S20" s="93">
        <f>SUM(Q20:R20)</f>
        <v>0</v>
      </c>
      <c r="T20" s="92"/>
      <c r="U20" s="91"/>
      <c r="V20" s="93">
        <f>SUM(T20:U20)</f>
        <v>0</v>
      </c>
      <c r="W20" s="92"/>
      <c r="X20" s="91"/>
      <c r="Y20" s="93">
        <f>SUM(W20:X20)</f>
        <v>0</v>
      </c>
      <c r="Z20" s="92"/>
      <c r="AA20" s="91"/>
      <c r="AB20" s="93">
        <f>SUM(Z20:AA20)</f>
        <v>0</v>
      </c>
      <c r="AC20" s="92"/>
      <c r="AD20" s="91"/>
      <c r="AE20" s="93">
        <f>SUM(AC20:AD20)</f>
        <v>0</v>
      </c>
      <c r="AF20" s="92"/>
      <c r="AG20" s="91"/>
      <c r="AH20" s="93">
        <f>SUM(AF20:AG20)</f>
        <v>0</v>
      </c>
      <c r="AI20" s="92"/>
      <c r="AJ20" s="91"/>
      <c r="AK20" s="93">
        <f>SUM(AI20:AJ20)</f>
        <v>0</v>
      </c>
      <c r="AL20" s="92"/>
      <c r="AM20" s="91"/>
      <c r="AN20" s="93">
        <f>SUM(AL20:AM20)</f>
        <v>0</v>
      </c>
      <c r="AO20" s="92"/>
      <c r="AP20" s="91"/>
      <c r="AQ20" s="93">
        <f>SUM(AO20:AP20)</f>
        <v>0</v>
      </c>
      <c r="AR20" s="433">
        <f t="shared" si="167"/>
        <v>0</v>
      </c>
      <c r="AS20" s="91">
        <f t="shared" si="168"/>
        <v>0</v>
      </c>
      <c r="AT20" s="184">
        <f>SUM(AR20:AS20)</f>
        <v>0</v>
      </c>
      <c r="AU20" s="92"/>
      <c r="AV20" s="91"/>
      <c r="AW20" s="93">
        <f>SUM(AU20:AV20)</f>
        <v>0</v>
      </c>
      <c r="AX20" s="92"/>
      <c r="AY20" s="91"/>
      <c r="AZ20" s="93">
        <f>SUM(AX20:AY20)</f>
        <v>0</v>
      </c>
      <c r="BA20" s="92"/>
      <c r="BB20" s="91"/>
      <c r="BC20" s="93">
        <f>SUM(BA20:BB20)</f>
        <v>0</v>
      </c>
      <c r="BD20" s="92"/>
      <c r="BE20" s="91"/>
      <c r="BF20" s="93">
        <f>SUM(BD20:BE20)</f>
        <v>0</v>
      </c>
      <c r="BG20" s="92"/>
      <c r="BH20" s="91"/>
      <c r="BI20" s="93">
        <f>SUM(BG20:BH20)</f>
        <v>0</v>
      </c>
      <c r="BJ20" s="92"/>
      <c r="BK20" s="91"/>
      <c r="BL20" s="93">
        <f>SUM(BJ20:BK20)</f>
        <v>0</v>
      </c>
      <c r="BM20" s="92"/>
      <c r="BN20" s="91"/>
      <c r="BO20" s="93">
        <f>SUM(BM20:BN20)</f>
        <v>0</v>
      </c>
      <c r="BP20" s="92"/>
      <c r="BQ20" s="91"/>
      <c r="BR20" s="93">
        <f>SUM(BP20:BQ20)</f>
        <v>0</v>
      </c>
      <c r="BS20" s="92"/>
      <c r="BT20" s="91"/>
      <c r="BU20" s="93">
        <f>SUM(BS20:BT20)</f>
        <v>0</v>
      </c>
      <c r="BV20" s="92"/>
      <c r="BW20" s="91"/>
      <c r="BX20" s="93">
        <f>SUM(BV20:BW20)</f>
        <v>0</v>
      </c>
      <c r="BY20" s="92"/>
      <c r="BZ20" s="91"/>
      <c r="CA20" s="93">
        <f>SUM(BY20:BZ20)</f>
        <v>0</v>
      </c>
      <c r="CB20" s="92"/>
      <c r="CC20" s="91"/>
      <c r="CD20" s="93">
        <f>SUM(CB20:CC20)</f>
        <v>0</v>
      </c>
      <c r="CE20" s="438">
        <f t="shared" si="206"/>
        <v>0</v>
      </c>
      <c r="CF20" s="175">
        <f t="shared" si="207"/>
        <v>0</v>
      </c>
      <c r="CG20" s="439">
        <f t="shared" si="208"/>
        <v>0</v>
      </c>
      <c r="CH20" s="91"/>
      <c r="CI20" s="91"/>
      <c r="CJ20" s="93">
        <f>SUM(CH20:CI20)</f>
        <v>0</v>
      </c>
      <c r="CK20" s="174"/>
      <c r="CL20" s="175"/>
      <c r="CM20" s="93">
        <f t="shared" si="169"/>
        <v>0</v>
      </c>
      <c r="CN20" s="174"/>
      <c r="CO20" s="175"/>
      <c r="CP20" s="93">
        <f t="shared" si="170"/>
        <v>0</v>
      </c>
      <c r="CQ20" s="174"/>
      <c r="CR20" s="175"/>
      <c r="CS20" s="93">
        <f t="shared" si="171"/>
        <v>0</v>
      </c>
      <c r="CT20" s="174"/>
      <c r="CU20" s="175"/>
      <c r="CV20" s="93">
        <f t="shared" si="172"/>
        <v>0</v>
      </c>
      <c r="CW20" s="174"/>
      <c r="CX20" s="175"/>
      <c r="CY20" s="93">
        <f t="shared" si="173"/>
        <v>0</v>
      </c>
      <c r="CZ20" s="174"/>
      <c r="DA20" s="175"/>
      <c r="DB20" s="93">
        <f t="shared" si="174"/>
        <v>0</v>
      </c>
      <c r="DC20" s="174"/>
      <c r="DD20" s="175"/>
      <c r="DE20" s="93">
        <f t="shared" si="175"/>
        <v>0</v>
      </c>
      <c r="DF20" s="174"/>
      <c r="DG20" s="175"/>
      <c r="DH20" s="93">
        <f t="shared" si="176"/>
        <v>0</v>
      </c>
      <c r="DI20" s="174"/>
      <c r="DJ20" s="175"/>
      <c r="DK20" s="93">
        <f t="shared" si="177"/>
        <v>0</v>
      </c>
      <c r="DL20" s="174"/>
      <c r="DM20" s="175"/>
      <c r="DN20" s="93">
        <f t="shared" si="178"/>
        <v>0</v>
      </c>
      <c r="DO20" s="174"/>
      <c r="DP20" s="175"/>
      <c r="DQ20" s="93">
        <f t="shared" si="179"/>
        <v>0</v>
      </c>
      <c r="DR20" s="438">
        <f t="shared" si="210"/>
        <v>0</v>
      </c>
      <c r="DS20" s="175">
        <f t="shared" si="211"/>
        <v>0</v>
      </c>
      <c r="DT20" s="439">
        <f t="shared" si="212"/>
        <v>0</v>
      </c>
    </row>
    <row r="21" spans="1:124" ht="14.25" customHeight="1">
      <c r="A21" s="23"/>
      <c r="B21" s="87"/>
      <c r="C21" s="88"/>
      <c r="D21" s="89"/>
      <c r="E21" s="433"/>
      <c r="F21" s="91"/>
      <c r="G21" s="184"/>
      <c r="H21" s="91"/>
      <c r="I21" s="91"/>
      <c r="J21" s="93"/>
      <c r="K21" s="91"/>
      <c r="L21" s="91"/>
      <c r="M21" s="93"/>
      <c r="N21" s="92"/>
      <c r="O21" s="91"/>
      <c r="P21" s="93"/>
      <c r="Q21" s="92"/>
      <c r="R21" s="91"/>
      <c r="S21" s="93"/>
      <c r="T21" s="92"/>
      <c r="U21" s="91"/>
      <c r="V21" s="93"/>
      <c r="W21" s="92"/>
      <c r="X21" s="91"/>
      <c r="Y21" s="93"/>
      <c r="Z21" s="92"/>
      <c r="AA21" s="91"/>
      <c r="AB21" s="93"/>
      <c r="AC21" s="92"/>
      <c r="AD21" s="91"/>
      <c r="AE21" s="93"/>
      <c r="AF21" s="92"/>
      <c r="AG21" s="91"/>
      <c r="AH21" s="93"/>
      <c r="AI21" s="92"/>
      <c r="AJ21" s="91"/>
      <c r="AK21" s="93"/>
      <c r="AL21" s="92"/>
      <c r="AM21" s="91"/>
      <c r="AN21" s="93"/>
      <c r="AO21" s="92"/>
      <c r="AP21" s="91"/>
      <c r="AQ21" s="93"/>
      <c r="AR21" s="433"/>
      <c r="AS21" s="91"/>
      <c r="AT21" s="184"/>
      <c r="AU21" s="92"/>
      <c r="AV21" s="91"/>
      <c r="AW21" s="93"/>
      <c r="AX21" s="92"/>
      <c r="AY21" s="91"/>
      <c r="AZ21" s="93"/>
      <c r="BA21" s="92"/>
      <c r="BB21" s="91"/>
      <c r="BC21" s="93"/>
      <c r="BD21" s="92"/>
      <c r="BE21" s="91"/>
      <c r="BF21" s="93"/>
      <c r="BG21" s="92"/>
      <c r="BH21" s="91"/>
      <c r="BI21" s="93"/>
      <c r="BJ21" s="92"/>
      <c r="BK21" s="91"/>
      <c r="BL21" s="93"/>
      <c r="BM21" s="92"/>
      <c r="BN21" s="91"/>
      <c r="BO21" s="93"/>
      <c r="BP21" s="92"/>
      <c r="BQ21" s="91"/>
      <c r="BR21" s="93"/>
      <c r="BS21" s="92"/>
      <c r="BT21" s="91"/>
      <c r="BU21" s="93"/>
      <c r="BV21" s="92"/>
      <c r="BW21" s="91"/>
      <c r="BX21" s="93"/>
      <c r="BY21" s="92"/>
      <c r="BZ21" s="91"/>
      <c r="CA21" s="93"/>
      <c r="CB21" s="92"/>
      <c r="CC21" s="91"/>
      <c r="CD21" s="93"/>
      <c r="CE21" s="438"/>
      <c r="CF21" s="175"/>
      <c r="CG21" s="439"/>
      <c r="CH21" s="91"/>
      <c r="CI21" s="91"/>
      <c r="CJ21" s="93"/>
      <c r="CK21" s="174"/>
      <c r="CL21" s="175"/>
      <c r="CM21" s="93"/>
      <c r="CN21" s="174"/>
      <c r="CO21" s="175"/>
      <c r="CP21" s="93"/>
      <c r="CQ21" s="174"/>
      <c r="CR21" s="175"/>
      <c r="CS21" s="93"/>
      <c r="CT21" s="174"/>
      <c r="CU21" s="175"/>
      <c r="CV21" s="93"/>
      <c r="CW21" s="174"/>
      <c r="CX21" s="175"/>
      <c r="CY21" s="93"/>
      <c r="CZ21" s="174"/>
      <c r="DA21" s="175"/>
      <c r="DB21" s="93"/>
      <c r="DC21" s="174"/>
      <c r="DD21" s="175"/>
      <c r="DE21" s="93"/>
      <c r="DF21" s="174"/>
      <c r="DG21" s="175"/>
      <c r="DH21" s="93"/>
      <c r="DI21" s="174"/>
      <c r="DJ21" s="175"/>
      <c r="DK21" s="93"/>
      <c r="DL21" s="174"/>
      <c r="DM21" s="175"/>
      <c r="DN21" s="93"/>
      <c r="DO21" s="174"/>
      <c r="DP21" s="175"/>
      <c r="DQ21" s="93"/>
      <c r="DR21" s="438"/>
      <c r="DS21" s="175"/>
      <c r="DT21" s="439"/>
    </row>
    <row r="22" spans="1:124" ht="14.25" customHeight="1">
      <c r="A22" s="23"/>
      <c r="B22" s="100"/>
      <c r="C22" s="101" t="s">
        <v>4</v>
      </c>
      <c r="D22" s="102" t="s">
        <v>65</v>
      </c>
      <c r="E22" s="435"/>
      <c r="F22" s="107">
        <v>0</v>
      </c>
      <c r="G22" s="183">
        <f>E22+F22</f>
        <v>0</v>
      </c>
      <c r="H22" s="107"/>
      <c r="I22" s="107">
        <v>0</v>
      </c>
      <c r="J22" s="547">
        <f>H22+I22</f>
        <v>0</v>
      </c>
      <c r="K22" s="107"/>
      <c r="L22" s="107">
        <v>0</v>
      </c>
      <c r="M22" s="547">
        <f>K22+L22</f>
        <v>0</v>
      </c>
      <c r="N22" s="170"/>
      <c r="O22" s="107">
        <v>0</v>
      </c>
      <c r="P22" s="547">
        <f>N22+O22</f>
        <v>0</v>
      </c>
      <c r="Q22" s="170"/>
      <c r="R22" s="107">
        <v>0</v>
      </c>
      <c r="S22" s="547">
        <f>Q22+R22</f>
        <v>0</v>
      </c>
      <c r="T22" s="170"/>
      <c r="U22" s="107">
        <v>0</v>
      </c>
      <c r="V22" s="547">
        <f>T22+U22</f>
        <v>0</v>
      </c>
      <c r="W22" s="170"/>
      <c r="X22" s="107">
        <v>0</v>
      </c>
      <c r="Y22" s="547">
        <f>W22+X22</f>
        <v>0</v>
      </c>
      <c r="Z22" s="170"/>
      <c r="AA22" s="107">
        <v>0</v>
      </c>
      <c r="AB22" s="547">
        <f>Z22+AA22</f>
        <v>0</v>
      </c>
      <c r="AC22" s="170"/>
      <c r="AD22" s="107">
        <v>0</v>
      </c>
      <c r="AE22" s="547">
        <f>AC22+AD22</f>
        <v>0</v>
      </c>
      <c r="AF22" s="170"/>
      <c r="AG22" s="107">
        <v>0</v>
      </c>
      <c r="AH22" s="547">
        <f>AF22+AG22</f>
        <v>0</v>
      </c>
      <c r="AI22" s="170">
        <v>0.0</v>
      </c>
      <c r="AJ22" s="107">
        <v>68.0</v>
      </c>
      <c r="AK22" s="547">
        <f>AI22+AJ22</f>
        <v>0</v>
      </c>
      <c r="AL22" s="170">
        <v>0.0</v>
      </c>
      <c r="AM22" s="107">
        <v>52.0</v>
      </c>
      <c r="AN22" s="547">
        <f>AL22+AM22</f>
        <v>0</v>
      </c>
      <c r="AO22" s="170">
        <v>0.0</v>
      </c>
      <c r="AP22" s="107">
        <v>78.0</v>
      </c>
      <c r="AQ22" s="547">
        <f>AO22+AP22</f>
        <v>0</v>
      </c>
      <c r="AR22" s="435">
        <f>AO22+AL22+AI22+AF22+AC22+Z22+W22+T22+Q22+N22+K22+H22</f>
        <v>0</v>
      </c>
      <c r="AS22" s="107">
        <f>AP22+AM22+AJ22+AG22+AD22+AA22+X22+U22+R22+O22+L22+I22</f>
        <v>0</v>
      </c>
      <c r="AT22" s="183">
        <f>AR22+AS22</f>
        <v>0</v>
      </c>
      <c r="AU22" s="170">
        <v>0.0</v>
      </c>
      <c r="AV22" s="107">
        <v>59.0</v>
      </c>
      <c r="AW22" s="547">
        <f>AU22+AV22</f>
        <v>0</v>
      </c>
      <c r="AX22" s="170">
        <v>0.0</v>
      </c>
      <c r="AY22" s="107">
        <v>41.0</v>
      </c>
      <c r="AZ22" s="547">
        <f>AX22+AY22</f>
        <v>0</v>
      </c>
      <c r="BA22" s="170">
        <v>0.0</v>
      </c>
      <c r="BB22" s="107">
        <v>41.0</v>
      </c>
      <c r="BC22" s="547">
        <f>BA22+BB22</f>
        <v>0</v>
      </c>
      <c r="BD22" s="170">
        <v>0.0</v>
      </c>
      <c r="BE22" s="107">
        <v>31.0</v>
      </c>
      <c r="BF22" s="547">
        <f>BD22+BE22</f>
        <v>0</v>
      </c>
      <c r="BG22" s="170">
        <v>0.0</v>
      </c>
      <c r="BH22" s="107">
        <v>61.0</v>
      </c>
      <c r="BI22" s="547">
        <f>BG22+BH22</f>
        <v>0</v>
      </c>
      <c r="BJ22" s="170">
        <v>0.0</v>
      </c>
      <c r="BK22" s="107">
        <v>52.0</v>
      </c>
      <c r="BL22" s="547">
        <f>BJ22+BK22</f>
        <v>0</v>
      </c>
      <c r="BM22" s="170">
        <v>0.0</v>
      </c>
      <c r="BN22" s="107">
        <v>39.0</v>
      </c>
      <c r="BO22" s="547">
        <f>BM22+BN22</f>
        <v>0</v>
      </c>
      <c r="BP22" s="170">
        <v>0.0</v>
      </c>
      <c r="BQ22" s="107">
        <v>73.0</v>
      </c>
      <c r="BR22" s="547">
        <f>BP22+BQ22</f>
        <v>0</v>
      </c>
      <c r="BS22" s="170">
        <v>0.0</v>
      </c>
      <c r="BT22" s="107">
        <v>69.0</v>
      </c>
      <c r="BU22" s="547">
        <f>BS22+BT22</f>
        <v>0</v>
      </c>
      <c r="BV22" s="170">
        <v>0.0</v>
      </c>
      <c r="BW22" s="107">
        <v>107.0</v>
      </c>
      <c r="BX22" s="547">
        <f>BV22+BW22</f>
        <v>0</v>
      </c>
      <c r="BY22" s="170">
        <v>0.0</v>
      </c>
      <c r="BZ22" s="107">
        <v>92.0</v>
      </c>
      <c r="CA22" s="547">
        <f>BY22+BZ22</f>
        <v>0</v>
      </c>
      <c r="CB22" s="170">
        <v>4.0</v>
      </c>
      <c r="CC22" s="107">
        <v>105.0</v>
      </c>
      <c r="CD22" s="547">
        <f>CB22+CC22</f>
        <v>0</v>
      </c>
      <c r="CE22" s="449">
        <f t="shared" ref="CE22" si="238">CB22+BY22+BV22+BS22+BP22+BM22+BJ22+BG22+BD22+BA22+AX22+AU22</f>
        <v>0</v>
      </c>
      <c r="CF22" s="181">
        <f t="shared" ref="CF22" si="239">CC22+BZ22+BW22+BT22+BQ22+BN22+BK22+BH22+BE22+BB22+AY22+AV22</f>
        <v>0</v>
      </c>
      <c r="CG22" s="450">
        <f t="shared" ref="CG22" si="240">SUM(CE22:CF22)</f>
        <v>0</v>
      </c>
      <c r="CH22" s="107">
        <v>4.0</v>
      </c>
      <c r="CI22" s="107">
        <v>70.0</v>
      </c>
      <c r="CJ22" s="547">
        <f>CH22+CI22</f>
        <v>0</v>
      </c>
      <c r="CK22" s="180">
        <v>8.0</v>
      </c>
      <c r="CL22" s="181">
        <v>101.0</v>
      </c>
      <c r="CM22" s="547">
        <f>SUM(CK22:CL22)</f>
        <v>0</v>
      </c>
      <c r="CN22" s="180">
        <v>8.0</v>
      </c>
      <c r="CO22" s="181">
        <v>96.0</v>
      </c>
      <c r="CP22" s="547">
        <f>SUM(CN22:CO22)</f>
        <v>0</v>
      </c>
      <c r="CQ22" s="180">
        <v>9.0</v>
      </c>
      <c r="CR22" s="181">
        <v>105.0</v>
      </c>
      <c r="CS22" s="547">
        <f>SUM(CQ22:CR22)</f>
        <v>0</v>
      </c>
      <c r="CT22" s="180">
        <v>7.0</v>
      </c>
      <c r="CU22" s="181">
        <v>170.0</v>
      </c>
      <c r="CV22" s="547">
        <f>SUM(CT22:CU22)</f>
        <v>0</v>
      </c>
      <c r="CW22" s="180"/>
      <c r="CX22" s="181"/>
      <c r="CY22" s="547">
        <f>SUM(CW22:CX22)</f>
        <v>0</v>
      </c>
      <c r="CZ22" s="180">
        <v>4.0</v>
      </c>
      <c r="DA22" s="181">
        <v>145.0</v>
      </c>
      <c r="DB22" s="547">
        <f>SUM(CZ22:DA22)</f>
        <v>0</v>
      </c>
      <c r="DC22" s="180"/>
      <c r="DD22" s="181"/>
      <c r="DE22" s="547">
        <f>SUM(DC22:DD22)</f>
        <v>0</v>
      </c>
      <c r="DF22" s="180"/>
      <c r="DG22" s="181"/>
      <c r="DH22" s="547">
        <f>SUM(DF22:DG22)</f>
        <v>0</v>
      </c>
      <c r="DI22" s="180"/>
      <c r="DJ22" s="181"/>
      <c r="DK22" s="547">
        <f>SUM(DI22:DJ22)</f>
        <v>0</v>
      </c>
      <c r="DL22" s="180"/>
      <c r="DM22" s="181"/>
      <c r="DN22" s="547">
        <f>SUM(DL22:DM22)</f>
        <v>0</v>
      </c>
      <c r="DO22" s="180"/>
      <c r="DP22" s="181"/>
      <c r="DQ22" s="547">
        <f>SUM(DO22:DP22)</f>
        <v>0</v>
      </c>
      <c r="DR22" s="449">
        <f t="shared" ref="DR22" si="241">DO22+DL22+DI22+DF22+DC22+CZ22+CW22+CT22+CQ22+CN22+CK22+CH22</f>
        <v>0</v>
      </c>
      <c r="DS22" s="181">
        <f t="shared" ref="DS22" si="242">DP22+DM22+DJ22+DG22+DD22+DA22+CX22+CU22+CR22+CO22+CL22+CI22</f>
        <v>0</v>
      </c>
      <c r="DT22" s="450">
        <f t="shared" ref="DT22" si="243">SUM(DR22:DS22)</f>
        <v>0</v>
      </c>
    </row>
    <row r="23" spans="1:124" ht="14.25" customHeight="1">
      <c r="A23" s="23"/>
      <c r="B23" s="87"/>
      <c r="C23" s="88"/>
      <c r="D23" s="99"/>
      <c r="E23" s="433"/>
      <c r="F23" s="91"/>
      <c r="G23" s="434"/>
      <c r="H23" s="91"/>
      <c r="I23" s="91"/>
      <c r="J23" s="546"/>
      <c r="K23" s="91"/>
      <c r="L23" s="91"/>
      <c r="M23" s="546"/>
      <c r="N23" s="92"/>
      <c r="O23" s="91"/>
      <c r="P23" s="546"/>
      <c r="Q23" s="92"/>
      <c r="R23" s="91"/>
      <c r="S23" s="546"/>
      <c r="T23" s="92"/>
      <c r="U23" s="91"/>
      <c r="V23" s="546"/>
      <c r="W23" s="92"/>
      <c r="X23" s="91"/>
      <c r="Y23" s="546"/>
      <c r="Z23" s="92"/>
      <c r="AA23" s="91"/>
      <c r="AB23" s="546"/>
      <c r="AC23" s="92"/>
      <c r="AD23" s="91"/>
      <c r="AE23" s="546"/>
      <c r="AF23" s="92"/>
      <c r="AG23" s="91"/>
      <c r="AH23" s="546"/>
      <c r="AI23" s="92"/>
      <c r="AJ23" s="91"/>
      <c r="AK23" s="546"/>
      <c r="AL23" s="92"/>
      <c r="AM23" s="91"/>
      <c r="AN23" s="546"/>
      <c r="AO23" s="92"/>
      <c r="AP23" s="91"/>
      <c r="AQ23" s="546"/>
      <c r="AR23" s="433"/>
      <c r="AS23" s="91"/>
      <c r="AT23" s="434"/>
      <c r="AU23" s="92"/>
      <c r="AV23" s="91"/>
      <c r="AW23" s="546"/>
      <c r="AX23" s="92"/>
      <c r="AY23" s="91"/>
      <c r="AZ23" s="546"/>
      <c r="BA23" s="92"/>
      <c r="BB23" s="91"/>
      <c r="BC23" s="546"/>
      <c r="BD23" s="92"/>
      <c r="BE23" s="91"/>
      <c r="BF23" s="546"/>
      <c r="BG23" s="92"/>
      <c r="BH23" s="91"/>
      <c r="BI23" s="546"/>
      <c r="BJ23" s="92"/>
      <c r="BK23" s="91"/>
      <c r="BL23" s="546"/>
      <c r="BM23" s="92"/>
      <c r="BN23" s="91"/>
      <c r="BO23" s="546"/>
      <c r="BP23" s="92"/>
      <c r="BQ23" s="91"/>
      <c r="BR23" s="546"/>
      <c r="BS23" s="92"/>
      <c r="BT23" s="91"/>
      <c r="BU23" s="546"/>
      <c r="BV23" s="92"/>
      <c r="BW23" s="91"/>
      <c r="BX23" s="546"/>
      <c r="BY23" s="92"/>
      <c r="BZ23" s="91"/>
      <c r="CA23" s="546"/>
      <c r="CB23" s="92"/>
      <c r="CC23" s="91"/>
      <c r="CD23" s="546"/>
      <c r="CE23" s="433"/>
      <c r="CF23" s="91"/>
      <c r="CG23" s="434"/>
      <c r="CH23" s="91"/>
      <c r="CI23" s="91"/>
      <c r="CJ23" s="546"/>
      <c r="CK23" s="90"/>
      <c r="CL23" s="91"/>
      <c r="CM23" s="546"/>
      <c r="CN23" s="90"/>
      <c r="CO23" s="91"/>
      <c r="CP23" s="546"/>
      <c r="CQ23" s="90"/>
      <c r="CR23" s="91"/>
      <c r="CS23" s="546"/>
      <c r="CT23" s="90"/>
      <c r="CU23" s="91"/>
      <c r="CV23" s="546"/>
      <c r="CW23" s="90"/>
      <c r="CX23" s="91"/>
      <c r="CY23" s="546"/>
      <c r="CZ23" s="90"/>
      <c r="DA23" s="91"/>
      <c r="DB23" s="546"/>
      <c r="DC23" s="90"/>
      <c r="DD23" s="91"/>
      <c r="DE23" s="546"/>
      <c r="DF23" s="90"/>
      <c r="DG23" s="91"/>
      <c r="DH23" s="546"/>
      <c r="DI23" s="90"/>
      <c r="DJ23" s="91"/>
      <c r="DK23" s="546"/>
      <c r="DL23" s="90"/>
      <c r="DM23" s="91"/>
      <c r="DN23" s="546"/>
      <c r="DO23" s="90"/>
      <c r="DP23" s="91"/>
      <c r="DQ23" s="546"/>
      <c r="DR23" s="433"/>
      <c r="DS23" s="91"/>
      <c r="DT23" s="434"/>
    </row>
    <row r="24" spans="1:124" ht="14.25" customHeight="1">
      <c r="A24" s="23"/>
      <c r="B24" s="103"/>
      <c r="C24" s="104" t="s">
        <v>5</v>
      </c>
      <c r="D24" s="105" t="s">
        <v>69</v>
      </c>
      <c r="E24" s="436" t="str">
        <f t="shared" ref="E24:AJ24" si="244">IFERROR(E6/E22,"-")</f>
        <v>-</v>
      </c>
      <c r="F24" s="172" t="str">
        <f t="shared" si="244"/>
        <v>-</v>
      </c>
      <c r="G24" s="437" t="str">
        <f t="shared" si="244"/>
        <v>-</v>
      </c>
      <c r="H24" s="172" t="str">
        <f t="shared" si="244"/>
        <v>-</v>
      </c>
      <c r="I24" s="172" t="str">
        <f t="shared" si="244"/>
        <v>-</v>
      </c>
      <c r="J24" s="548" t="str">
        <f t="shared" si="244"/>
        <v>-</v>
      </c>
      <c r="K24" s="172" t="str">
        <f t="shared" si="244"/>
        <v>-</v>
      </c>
      <c r="L24" s="172" t="str">
        <f t="shared" si="244"/>
        <v>-</v>
      </c>
      <c r="M24" s="548" t="str">
        <f t="shared" si="244"/>
        <v>-</v>
      </c>
      <c r="N24" s="173" t="str">
        <f t="shared" si="244"/>
        <v>-</v>
      </c>
      <c r="O24" s="172" t="str">
        <f t="shared" si="244"/>
        <v>-</v>
      </c>
      <c r="P24" s="548" t="str">
        <f t="shared" si="244"/>
        <v>-</v>
      </c>
      <c r="Q24" s="173" t="str">
        <f t="shared" si="244"/>
        <v>-</v>
      </c>
      <c r="R24" s="172" t="str">
        <f t="shared" si="244"/>
        <v>-</v>
      </c>
      <c r="S24" s="548" t="str">
        <f t="shared" si="244"/>
        <v>-</v>
      </c>
      <c r="T24" s="173" t="str">
        <f t="shared" si="244"/>
        <v>-</v>
      </c>
      <c r="U24" s="172" t="str">
        <f t="shared" si="244"/>
        <v>-</v>
      </c>
      <c r="V24" s="548" t="str">
        <f t="shared" si="244"/>
        <v>-</v>
      </c>
      <c r="W24" s="173" t="str">
        <f t="shared" si="244"/>
        <v>-</v>
      </c>
      <c r="X24" s="172" t="str">
        <f t="shared" si="244"/>
        <v>-</v>
      </c>
      <c r="Y24" s="548" t="str">
        <f t="shared" si="244"/>
        <v>-</v>
      </c>
      <c r="Z24" s="173" t="str">
        <f t="shared" si="244"/>
        <v>-</v>
      </c>
      <c r="AA24" s="172" t="str">
        <f t="shared" si="244"/>
        <v>-</v>
      </c>
      <c r="AB24" s="548" t="str">
        <f t="shared" si="244"/>
        <v>-</v>
      </c>
      <c r="AC24" s="173" t="str">
        <f t="shared" si="244"/>
        <v>-</v>
      </c>
      <c r="AD24" s="172" t="str">
        <f t="shared" si="244"/>
        <v>-</v>
      </c>
      <c r="AE24" s="548" t="str">
        <f t="shared" si="244"/>
        <v>-</v>
      </c>
      <c r="AF24" s="173" t="str">
        <f t="shared" si="244"/>
        <v>-</v>
      </c>
      <c r="AG24" s="172" t="str">
        <f t="shared" si="244"/>
        <v>-</v>
      </c>
      <c r="AH24" s="548" t="str">
        <f t="shared" si="244"/>
        <v>-</v>
      </c>
      <c r="AI24" s="173" t="str">
        <f t="shared" si="244"/>
        <v>-</v>
      </c>
      <c r="AJ24" s="172" t="str">
        <f t="shared" si="244"/>
        <v>-</v>
      </c>
      <c r="AK24" s="548" t="str">
        <f t="shared" ref="AK24:BP24" si="245">IFERROR(AK6/AK22,"-")</f>
        <v>-</v>
      </c>
      <c r="AL24" s="173" t="str">
        <f t="shared" si="245"/>
        <v>-</v>
      </c>
      <c r="AM24" s="172" t="str">
        <f t="shared" si="245"/>
        <v>-</v>
      </c>
      <c r="AN24" s="548" t="str">
        <f t="shared" si="245"/>
        <v>-</v>
      </c>
      <c r="AO24" s="173" t="str">
        <f t="shared" si="245"/>
        <v>-</v>
      </c>
      <c r="AP24" s="172" t="str">
        <f t="shared" si="245"/>
        <v>-</v>
      </c>
      <c r="AQ24" s="548" t="str">
        <f t="shared" si="245"/>
        <v>-</v>
      </c>
      <c r="AR24" s="436" t="str">
        <f t="shared" si="245"/>
        <v>-</v>
      </c>
      <c r="AS24" s="172" t="str">
        <f t="shared" si="245"/>
        <v>-</v>
      </c>
      <c r="AT24" s="437" t="str">
        <f t="shared" si="245"/>
        <v>-</v>
      </c>
      <c r="AU24" s="173" t="str">
        <f t="shared" si="245"/>
        <v>-</v>
      </c>
      <c r="AV24" s="172" t="str">
        <f t="shared" si="245"/>
        <v>-</v>
      </c>
      <c r="AW24" s="548" t="str">
        <f t="shared" si="245"/>
        <v>-</v>
      </c>
      <c r="AX24" s="173" t="str">
        <f t="shared" si="245"/>
        <v>-</v>
      </c>
      <c r="AY24" s="172" t="str">
        <f t="shared" si="245"/>
        <v>-</v>
      </c>
      <c r="AZ24" s="548" t="str">
        <f t="shared" si="245"/>
        <v>-</v>
      </c>
      <c r="BA24" s="173" t="str">
        <f t="shared" si="245"/>
        <v>-</v>
      </c>
      <c r="BB24" s="172" t="str">
        <f t="shared" si="245"/>
        <v>-</v>
      </c>
      <c r="BC24" s="548" t="str">
        <f t="shared" si="245"/>
        <v>-</v>
      </c>
      <c r="BD24" s="173" t="str">
        <f t="shared" si="245"/>
        <v>-</v>
      </c>
      <c r="BE24" s="172" t="str">
        <f t="shared" si="245"/>
        <v>-</v>
      </c>
      <c r="BF24" s="548" t="str">
        <f t="shared" si="245"/>
        <v>-</v>
      </c>
      <c r="BG24" s="173" t="str">
        <f t="shared" si="245"/>
        <v>-</v>
      </c>
      <c r="BH24" s="172" t="str">
        <f t="shared" si="245"/>
        <v>-</v>
      </c>
      <c r="BI24" s="548" t="str">
        <f t="shared" si="245"/>
        <v>-</v>
      </c>
      <c r="BJ24" s="173" t="str">
        <f t="shared" si="245"/>
        <v>-</v>
      </c>
      <c r="BK24" s="172" t="str">
        <f t="shared" si="245"/>
        <v>-</v>
      </c>
      <c r="BL24" s="548" t="str">
        <f t="shared" si="245"/>
        <v>-</v>
      </c>
      <c r="BM24" s="173" t="str">
        <f t="shared" si="245"/>
        <v>-</v>
      </c>
      <c r="BN24" s="172" t="str">
        <f t="shared" si="245"/>
        <v>-</v>
      </c>
      <c r="BO24" s="548" t="str">
        <f t="shared" si="245"/>
        <v>-</v>
      </c>
      <c r="BP24" s="173" t="str">
        <f t="shared" si="245"/>
        <v>-</v>
      </c>
      <c r="BQ24" s="172" t="str">
        <f t="shared" ref="BQ24:CV24" si="246">IFERROR(BQ6/BQ22,"-")</f>
        <v>-</v>
      </c>
      <c r="BR24" s="548" t="str">
        <f t="shared" si="246"/>
        <v>-</v>
      </c>
      <c r="BS24" s="173" t="str">
        <f t="shared" si="246"/>
        <v>-</v>
      </c>
      <c r="BT24" s="172" t="str">
        <f t="shared" si="246"/>
        <v>-</v>
      </c>
      <c r="BU24" s="548" t="str">
        <f t="shared" si="246"/>
        <v>-</v>
      </c>
      <c r="BV24" s="173" t="str">
        <f t="shared" si="246"/>
        <v>-</v>
      </c>
      <c r="BW24" s="172" t="str">
        <f t="shared" si="246"/>
        <v>-</v>
      </c>
      <c r="BX24" s="548" t="str">
        <f t="shared" si="246"/>
        <v>-</v>
      </c>
      <c r="BY24" s="173" t="str">
        <f t="shared" si="246"/>
        <v>-</v>
      </c>
      <c r="BZ24" s="172" t="str">
        <f t="shared" si="246"/>
        <v>-</v>
      </c>
      <c r="CA24" s="548" t="str">
        <f t="shared" si="246"/>
        <v>-</v>
      </c>
      <c r="CB24" s="173" t="str">
        <f t="shared" si="246"/>
        <v>-</v>
      </c>
      <c r="CC24" s="172" t="str">
        <f t="shared" si="246"/>
        <v>-</v>
      </c>
      <c r="CD24" s="548" t="str">
        <f t="shared" si="246"/>
        <v>-</v>
      </c>
      <c r="CE24" s="436" t="str">
        <f t="shared" si="246"/>
        <v>-</v>
      </c>
      <c r="CF24" s="172" t="str">
        <f t="shared" si="246"/>
        <v>-</v>
      </c>
      <c r="CG24" s="437" t="str">
        <f t="shared" si="246"/>
        <v>-</v>
      </c>
      <c r="CH24" s="172" t="str">
        <f t="shared" si="246"/>
        <v>-</v>
      </c>
      <c r="CI24" s="172" t="str">
        <f t="shared" si="246"/>
        <v>-</v>
      </c>
      <c r="CJ24" s="548" t="str">
        <f t="shared" si="246"/>
        <v>-</v>
      </c>
      <c r="CK24" s="171" t="str">
        <f t="shared" si="246"/>
        <v>-</v>
      </c>
      <c r="CL24" s="172" t="str">
        <f t="shared" si="246"/>
        <v>-</v>
      </c>
      <c r="CM24" s="548" t="str">
        <f t="shared" si="246"/>
        <v>-</v>
      </c>
      <c r="CN24" s="171" t="str">
        <f t="shared" si="246"/>
        <v>-</v>
      </c>
      <c r="CO24" s="172" t="str">
        <f t="shared" si="246"/>
        <v>-</v>
      </c>
      <c r="CP24" s="548" t="str">
        <f t="shared" si="246"/>
        <v>-</v>
      </c>
      <c r="CQ24" s="171" t="str">
        <f t="shared" si="246"/>
        <v>-</v>
      </c>
      <c r="CR24" s="172" t="str">
        <f t="shared" si="246"/>
        <v>-</v>
      </c>
      <c r="CS24" s="548" t="str">
        <f t="shared" si="246"/>
        <v>-</v>
      </c>
      <c r="CT24" s="171" t="str">
        <f t="shared" si="246"/>
        <v>-</v>
      </c>
      <c r="CU24" s="172" t="str">
        <f t="shared" si="246"/>
        <v>-</v>
      </c>
      <c r="CV24" s="548" t="str">
        <f t="shared" si="246"/>
        <v>-</v>
      </c>
      <c r="CW24" s="171" t="str">
        <f t="shared" ref="CW24:DT24" si="247">IFERROR(CW6/CW22,"-")</f>
        <v>-</v>
      </c>
      <c r="CX24" s="172" t="str">
        <f t="shared" si="247"/>
        <v>-</v>
      </c>
      <c r="CY24" s="548" t="str">
        <f t="shared" si="247"/>
        <v>-</v>
      </c>
      <c r="CZ24" s="171" t="str">
        <f t="shared" si="247"/>
        <v>-</v>
      </c>
      <c r="DA24" s="172" t="str">
        <f t="shared" si="247"/>
        <v>-</v>
      </c>
      <c r="DB24" s="548" t="str">
        <f t="shared" si="247"/>
        <v>-</v>
      </c>
      <c r="DC24" s="171" t="str">
        <f t="shared" si="247"/>
        <v>-</v>
      </c>
      <c r="DD24" s="172" t="str">
        <f t="shared" si="247"/>
        <v>-</v>
      </c>
      <c r="DE24" s="548" t="str">
        <f t="shared" si="247"/>
        <v>-</v>
      </c>
      <c r="DF24" s="171" t="str">
        <f t="shared" si="247"/>
        <v>-</v>
      </c>
      <c r="DG24" s="172" t="str">
        <f t="shared" si="247"/>
        <v>-</v>
      </c>
      <c r="DH24" s="548" t="str">
        <f t="shared" si="247"/>
        <v>-</v>
      </c>
      <c r="DI24" s="171" t="str">
        <f t="shared" si="247"/>
        <v>-</v>
      </c>
      <c r="DJ24" s="172" t="str">
        <f t="shared" si="247"/>
        <v>-</v>
      </c>
      <c r="DK24" s="548" t="str">
        <f t="shared" si="247"/>
        <v>-</v>
      </c>
      <c r="DL24" s="171" t="str">
        <f t="shared" si="247"/>
        <v>-</v>
      </c>
      <c r="DM24" s="172" t="str">
        <f t="shared" si="247"/>
        <v>-</v>
      </c>
      <c r="DN24" s="548" t="str">
        <f t="shared" si="247"/>
        <v>-</v>
      </c>
      <c r="DO24" s="171" t="str">
        <f t="shared" si="247"/>
        <v>-</v>
      </c>
      <c r="DP24" s="172" t="str">
        <f t="shared" si="247"/>
        <v>-</v>
      </c>
      <c r="DQ24" s="548" t="str">
        <f t="shared" si="247"/>
        <v>-</v>
      </c>
      <c r="DR24" s="436" t="str">
        <f t="shared" si="247"/>
        <v>-</v>
      </c>
      <c r="DS24" s="172" t="str">
        <f t="shared" si="247"/>
        <v>-</v>
      </c>
      <c r="DT24" s="437" t="str">
        <f t="shared" si="247"/>
        <v>-</v>
      </c>
    </row>
    <row r="25" spans="1:124" ht="14.25" customHeight="1">
      <c r="A25" s="23"/>
      <c r="B25" s="87"/>
      <c r="C25" s="88"/>
      <c r="D25" s="99"/>
      <c r="E25" s="433"/>
      <c r="F25" s="91"/>
      <c r="G25" s="434"/>
      <c r="H25" s="91"/>
      <c r="I25" s="91"/>
      <c r="J25" s="546"/>
      <c r="K25" s="91"/>
      <c r="L25" s="91"/>
      <c r="M25" s="546"/>
      <c r="N25" s="92"/>
      <c r="O25" s="91"/>
      <c r="P25" s="546"/>
      <c r="Q25" s="92"/>
      <c r="R25" s="91"/>
      <c r="S25" s="546"/>
      <c r="T25" s="92"/>
      <c r="U25" s="91"/>
      <c r="V25" s="546"/>
      <c r="W25" s="92"/>
      <c r="X25" s="91"/>
      <c r="Y25" s="546"/>
      <c r="Z25" s="92"/>
      <c r="AA25" s="91"/>
      <c r="AB25" s="546"/>
      <c r="AC25" s="92"/>
      <c r="AD25" s="91"/>
      <c r="AE25" s="546"/>
      <c r="AF25" s="92"/>
      <c r="AG25" s="91"/>
      <c r="AH25" s="546"/>
      <c r="AI25" s="92"/>
      <c r="AJ25" s="91"/>
      <c r="AK25" s="546"/>
      <c r="AL25" s="92"/>
      <c r="AM25" s="91"/>
      <c r="AN25" s="546"/>
      <c r="AO25" s="92"/>
      <c r="AP25" s="91"/>
      <c r="AQ25" s="546"/>
      <c r="AR25" s="433"/>
      <c r="AS25" s="91"/>
      <c r="AT25" s="434"/>
      <c r="AU25" s="92"/>
      <c r="AV25" s="91"/>
      <c r="AW25" s="546"/>
      <c r="AX25" s="92"/>
      <c r="AY25" s="91"/>
      <c r="AZ25" s="546"/>
      <c r="BA25" s="92"/>
      <c r="BB25" s="91"/>
      <c r="BC25" s="546"/>
      <c r="BD25" s="92"/>
      <c r="BE25" s="91"/>
      <c r="BF25" s="546"/>
      <c r="BG25" s="92"/>
      <c r="BH25" s="91"/>
      <c r="BI25" s="546"/>
      <c r="BJ25" s="92"/>
      <c r="BK25" s="91"/>
      <c r="BL25" s="546"/>
      <c r="BM25" s="92"/>
      <c r="BN25" s="91"/>
      <c r="BO25" s="546"/>
      <c r="BP25" s="92"/>
      <c r="BQ25" s="91"/>
      <c r="BR25" s="546"/>
      <c r="BS25" s="92"/>
      <c r="BT25" s="91"/>
      <c r="BU25" s="546"/>
      <c r="BV25" s="92"/>
      <c r="BW25" s="91"/>
      <c r="BX25" s="546"/>
      <c r="BY25" s="92"/>
      <c r="BZ25" s="91"/>
      <c r="CA25" s="546"/>
      <c r="CB25" s="92"/>
      <c r="CC25" s="91"/>
      <c r="CD25" s="546"/>
      <c r="CE25" s="433"/>
      <c r="CF25" s="91"/>
      <c r="CG25" s="434"/>
      <c r="CH25" s="91"/>
      <c r="CI25" s="91"/>
      <c r="CJ25" s="546"/>
      <c r="CK25" s="90"/>
      <c r="CL25" s="91"/>
      <c r="CM25" s="546"/>
      <c r="CN25" s="90"/>
      <c r="CO25" s="91"/>
      <c r="CP25" s="546"/>
      <c r="CQ25" s="90"/>
      <c r="CR25" s="91"/>
      <c r="CS25" s="546"/>
      <c r="CT25" s="90"/>
      <c r="CU25" s="91"/>
      <c r="CV25" s="546"/>
      <c r="CW25" s="90"/>
      <c r="CX25" s="91"/>
      <c r="CY25" s="546"/>
      <c r="CZ25" s="90"/>
      <c r="DA25" s="91"/>
      <c r="DB25" s="546"/>
      <c r="DC25" s="90"/>
      <c r="DD25" s="91"/>
      <c r="DE25" s="546"/>
      <c r="DF25" s="90"/>
      <c r="DG25" s="91"/>
      <c r="DH25" s="546"/>
      <c r="DI25" s="90"/>
      <c r="DJ25" s="91"/>
      <c r="DK25" s="546"/>
      <c r="DL25" s="90"/>
      <c r="DM25" s="91"/>
      <c r="DN25" s="546"/>
      <c r="DO25" s="90"/>
      <c r="DP25" s="91"/>
      <c r="DQ25" s="546"/>
      <c r="DR25" s="433"/>
      <c r="DS25" s="91"/>
      <c r="DT25" s="434"/>
    </row>
    <row r="26" spans="1:124" ht="14.25" customHeight="1">
      <c r="A26" s="23"/>
      <c r="B26" s="103"/>
      <c r="C26" s="104" t="s">
        <v>6</v>
      </c>
      <c r="D26" s="105" t="s">
        <v>239</v>
      </c>
      <c r="E26" s="436" t="str">
        <f t="shared" ref="E26:AJ26" si="248">IFERROR(E6/E14,"-")</f>
        <v>-</v>
      </c>
      <c r="F26" s="172" t="str">
        <f t="shared" si="248"/>
        <v>-</v>
      </c>
      <c r="G26" s="437" t="str">
        <f t="shared" si="248"/>
        <v>-</v>
      </c>
      <c r="H26" s="172" t="str">
        <f t="shared" si="248"/>
        <v>-</v>
      </c>
      <c r="I26" s="172" t="str">
        <f t="shared" si="248"/>
        <v>-</v>
      </c>
      <c r="J26" s="548" t="str">
        <f t="shared" si="248"/>
        <v>-</v>
      </c>
      <c r="K26" s="172" t="str">
        <f t="shared" si="248"/>
        <v>-</v>
      </c>
      <c r="L26" s="172" t="str">
        <f t="shared" si="248"/>
        <v>-</v>
      </c>
      <c r="M26" s="548" t="str">
        <f t="shared" si="248"/>
        <v>-</v>
      </c>
      <c r="N26" s="173" t="str">
        <f t="shared" si="248"/>
        <v>-</v>
      </c>
      <c r="O26" s="172" t="str">
        <f t="shared" si="248"/>
        <v>-</v>
      </c>
      <c r="P26" s="548" t="str">
        <f t="shared" si="248"/>
        <v>-</v>
      </c>
      <c r="Q26" s="173" t="str">
        <f t="shared" si="248"/>
        <v>-</v>
      </c>
      <c r="R26" s="172" t="str">
        <f t="shared" si="248"/>
        <v>-</v>
      </c>
      <c r="S26" s="548" t="str">
        <f t="shared" si="248"/>
        <v>-</v>
      </c>
      <c r="T26" s="173" t="str">
        <f t="shared" si="248"/>
        <v>-</v>
      </c>
      <c r="U26" s="172" t="str">
        <f t="shared" si="248"/>
        <v>-</v>
      </c>
      <c r="V26" s="548" t="str">
        <f t="shared" si="248"/>
        <v>-</v>
      </c>
      <c r="W26" s="173" t="str">
        <f t="shared" si="248"/>
        <v>-</v>
      </c>
      <c r="X26" s="172" t="str">
        <f t="shared" si="248"/>
        <v>-</v>
      </c>
      <c r="Y26" s="548" t="str">
        <f t="shared" si="248"/>
        <v>-</v>
      </c>
      <c r="Z26" s="173" t="str">
        <f t="shared" si="248"/>
        <v>-</v>
      </c>
      <c r="AA26" s="172" t="str">
        <f t="shared" si="248"/>
        <v>-</v>
      </c>
      <c r="AB26" s="548" t="str">
        <f t="shared" si="248"/>
        <v>-</v>
      </c>
      <c r="AC26" s="173" t="str">
        <f t="shared" si="248"/>
        <v>-</v>
      </c>
      <c r="AD26" s="172" t="str">
        <f t="shared" si="248"/>
        <v>-</v>
      </c>
      <c r="AE26" s="548" t="str">
        <f t="shared" si="248"/>
        <v>-</v>
      </c>
      <c r="AF26" s="173" t="str">
        <f t="shared" si="248"/>
        <v>-</v>
      </c>
      <c r="AG26" s="172" t="str">
        <f t="shared" si="248"/>
        <v>-</v>
      </c>
      <c r="AH26" s="548" t="str">
        <f t="shared" si="248"/>
        <v>-</v>
      </c>
      <c r="AI26" s="173" t="str">
        <f t="shared" si="248"/>
        <v>-</v>
      </c>
      <c r="AJ26" s="172" t="str">
        <f t="shared" si="248"/>
        <v>-</v>
      </c>
      <c r="AK26" s="548" t="str">
        <f t="shared" ref="AK26:BP26" si="249">IFERROR(AK6/AK14,"-")</f>
        <v>-</v>
      </c>
      <c r="AL26" s="173" t="str">
        <f t="shared" si="249"/>
        <v>-</v>
      </c>
      <c r="AM26" s="172" t="str">
        <f t="shared" si="249"/>
        <v>-</v>
      </c>
      <c r="AN26" s="548" t="str">
        <f t="shared" si="249"/>
        <v>-</v>
      </c>
      <c r="AO26" s="173" t="str">
        <f t="shared" si="249"/>
        <v>-</v>
      </c>
      <c r="AP26" s="172" t="str">
        <f t="shared" si="249"/>
        <v>-</v>
      </c>
      <c r="AQ26" s="548" t="str">
        <f t="shared" si="249"/>
        <v>-</v>
      </c>
      <c r="AR26" s="436" t="str">
        <f t="shared" si="249"/>
        <v>-</v>
      </c>
      <c r="AS26" s="172" t="str">
        <f t="shared" si="249"/>
        <v>-</v>
      </c>
      <c r="AT26" s="437" t="str">
        <f t="shared" si="249"/>
        <v>-</v>
      </c>
      <c r="AU26" s="173" t="str">
        <f t="shared" si="249"/>
        <v>-</v>
      </c>
      <c r="AV26" s="172" t="str">
        <f t="shared" si="249"/>
        <v>-</v>
      </c>
      <c r="AW26" s="548" t="str">
        <f t="shared" si="249"/>
        <v>-</v>
      </c>
      <c r="AX26" s="173" t="str">
        <f t="shared" si="249"/>
        <v>-</v>
      </c>
      <c r="AY26" s="172" t="str">
        <f t="shared" si="249"/>
        <v>-</v>
      </c>
      <c r="AZ26" s="548" t="str">
        <f t="shared" si="249"/>
        <v>-</v>
      </c>
      <c r="BA26" s="173" t="str">
        <f t="shared" si="249"/>
        <v>-</v>
      </c>
      <c r="BB26" s="172" t="str">
        <f t="shared" si="249"/>
        <v>-</v>
      </c>
      <c r="BC26" s="548" t="str">
        <f t="shared" si="249"/>
        <v>-</v>
      </c>
      <c r="BD26" s="173" t="str">
        <f t="shared" si="249"/>
        <v>-</v>
      </c>
      <c r="BE26" s="172" t="str">
        <f t="shared" si="249"/>
        <v>-</v>
      </c>
      <c r="BF26" s="548" t="str">
        <f t="shared" si="249"/>
        <v>-</v>
      </c>
      <c r="BG26" s="173" t="str">
        <f t="shared" si="249"/>
        <v>-</v>
      </c>
      <c r="BH26" s="172" t="str">
        <f t="shared" si="249"/>
        <v>-</v>
      </c>
      <c r="BI26" s="548" t="str">
        <f t="shared" si="249"/>
        <v>-</v>
      </c>
      <c r="BJ26" s="173" t="str">
        <f t="shared" si="249"/>
        <v>-</v>
      </c>
      <c r="BK26" s="172" t="str">
        <f t="shared" si="249"/>
        <v>-</v>
      </c>
      <c r="BL26" s="548" t="str">
        <f t="shared" si="249"/>
        <v>-</v>
      </c>
      <c r="BM26" s="173" t="str">
        <f t="shared" si="249"/>
        <v>-</v>
      </c>
      <c r="BN26" s="172" t="str">
        <f t="shared" si="249"/>
        <v>-</v>
      </c>
      <c r="BO26" s="548" t="str">
        <f t="shared" si="249"/>
        <v>-</v>
      </c>
      <c r="BP26" s="173" t="str">
        <f t="shared" si="249"/>
        <v>-</v>
      </c>
      <c r="BQ26" s="172" t="str">
        <f t="shared" ref="BQ26:CV26" si="250">IFERROR(BQ6/BQ14,"-")</f>
        <v>-</v>
      </c>
      <c r="BR26" s="548" t="str">
        <f t="shared" si="250"/>
        <v>-</v>
      </c>
      <c r="BS26" s="173" t="str">
        <f t="shared" si="250"/>
        <v>-</v>
      </c>
      <c r="BT26" s="172" t="str">
        <f t="shared" si="250"/>
        <v>-</v>
      </c>
      <c r="BU26" s="548" t="str">
        <f t="shared" si="250"/>
        <v>-</v>
      </c>
      <c r="BV26" s="173" t="str">
        <f t="shared" si="250"/>
        <v>-</v>
      </c>
      <c r="BW26" s="172" t="str">
        <f t="shared" si="250"/>
        <v>-</v>
      </c>
      <c r="BX26" s="548" t="str">
        <f t="shared" si="250"/>
        <v>-</v>
      </c>
      <c r="BY26" s="173" t="str">
        <f t="shared" si="250"/>
        <v>-</v>
      </c>
      <c r="BZ26" s="172" t="str">
        <f t="shared" si="250"/>
        <v>-</v>
      </c>
      <c r="CA26" s="548" t="str">
        <f t="shared" si="250"/>
        <v>-</v>
      </c>
      <c r="CB26" s="173" t="str">
        <f t="shared" si="250"/>
        <v>-</v>
      </c>
      <c r="CC26" s="172" t="str">
        <f t="shared" si="250"/>
        <v>-</v>
      </c>
      <c r="CD26" s="548" t="str">
        <f t="shared" si="250"/>
        <v>-</v>
      </c>
      <c r="CE26" s="436" t="str">
        <f t="shared" si="250"/>
        <v>-</v>
      </c>
      <c r="CF26" s="172" t="str">
        <f t="shared" si="250"/>
        <v>-</v>
      </c>
      <c r="CG26" s="437" t="str">
        <f t="shared" si="250"/>
        <v>-</v>
      </c>
      <c r="CH26" s="172" t="str">
        <f t="shared" si="250"/>
        <v>-</v>
      </c>
      <c r="CI26" s="172" t="str">
        <f t="shared" si="250"/>
        <v>-</v>
      </c>
      <c r="CJ26" s="548" t="str">
        <f t="shared" si="250"/>
        <v>-</v>
      </c>
      <c r="CK26" s="171" t="str">
        <f t="shared" si="250"/>
        <v>-</v>
      </c>
      <c r="CL26" s="172" t="str">
        <f t="shared" si="250"/>
        <v>-</v>
      </c>
      <c r="CM26" s="548" t="str">
        <f t="shared" si="250"/>
        <v>-</v>
      </c>
      <c r="CN26" s="171" t="str">
        <f t="shared" si="250"/>
        <v>-</v>
      </c>
      <c r="CO26" s="172" t="str">
        <f t="shared" si="250"/>
        <v>-</v>
      </c>
      <c r="CP26" s="548" t="str">
        <f t="shared" si="250"/>
        <v>-</v>
      </c>
      <c r="CQ26" s="171" t="str">
        <f t="shared" si="250"/>
        <v>-</v>
      </c>
      <c r="CR26" s="172" t="str">
        <f t="shared" si="250"/>
        <v>-</v>
      </c>
      <c r="CS26" s="548" t="str">
        <f t="shared" si="250"/>
        <v>-</v>
      </c>
      <c r="CT26" s="171" t="str">
        <f t="shared" si="250"/>
        <v>-</v>
      </c>
      <c r="CU26" s="172" t="str">
        <f t="shared" si="250"/>
        <v>-</v>
      </c>
      <c r="CV26" s="548" t="str">
        <f t="shared" si="250"/>
        <v>-</v>
      </c>
      <c r="CW26" s="171" t="str">
        <f t="shared" ref="CW26:DT26" si="251">IFERROR(CW6/CW14,"-")</f>
        <v>-</v>
      </c>
      <c r="CX26" s="172" t="str">
        <f t="shared" si="251"/>
        <v>-</v>
      </c>
      <c r="CY26" s="548" t="str">
        <f t="shared" si="251"/>
        <v>-</v>
      </c>
      <c r="CZ26" s="171" t="str">
        <f t="shared" si="251"/>
        <v>-</v>
      </c>
      <c r="DA26" s="172" t="str">
        <f t="shared" si="251"/>
        <v>-</v>
      </c>
      <c r="DB26" s="548" t="str">
        <f t="shared" si="251"/>
        <v>-</v>
      </c>
      <c r="DC26" s="171" t="str">
        <f t="shared" si="251"/>
        <v>-</v>
      </c>
      <c r="DD26" s="172" t="str">
        <f t="shared" si="251"/>
        <v>-</v>
      </c>
      <c r="DE26" s="548" t="str">
        <f t="shared" si="251"/>
        <v>-</v>
      </c>
      <c r="DF26" s="171" t="str">
        <f t="shared" si="251"/>
        <v>-</v>
      </c>
      <c r="DG26" s="172" t="str">
        <f t="shared" si="251"/>
        <v>-</v>
      </c>
      <c r="DH26" s="548" t="str">
        <f t="shared" si="251"/>
        <v>-</v>
      </c>
      <c r="DI26" s="171" t="str">
        <f t="shared" si="251"/>
        <v>-</v>
      </c>
      <c r="DJ26" s="172" t="str">
        <f t="shared" si="251"/>
        <v>-</v>
      </c>
      <c r="DK26" s="548" t="str">
        <f t="shared" si="251"/>
        <v>-</v>
      </c>
      <c r="DL26" s="171" t="str">
        <f t="shared" si="251"/>
        <v>-</v>
      </c>
      <c r="DM26" s="172" t="str">
        <f t="shared" si="251"/>
        <v>-</v>
      </c>
      <c r="DN26" s="548" t="str">
        <f t="shared" si="251"/>
        <v>-</v>
      </c>
      <c r="DO26" s="171" t="str">
        <f t="shared" si="251"/>
        <v>-</v>
      </c>
      <c r="DP26" s="172" t="str">
        <f t="shared" si="251"/>
        <v>-</v>
      </c>
      <c r="DQ26" s="548" t="str">
        <f t="shared" si="251"/>
        <v>-</v>
      </c>
      <c r="DR26" s="436" t="str">
        <f t="shared" si="251"/>
        <v>-</v>
      </c>
      <c r="DS26" s="172" t="str">
        <f t="shared" si="251"/>
        <v>-</v>
      </c>
      <c r="DT26" s="437" t="str">
        <f t="shared" si="251"/>
        <v>-</v>
      </c>
    </row>
    <row r="27" spans="1:124" ht="14.25" customHeight="1">
      <c r="A27" s="23"/>
      <c r="B27" s="87"/>
      <c r="C27" s="88"/>
      <c r="D27" s="89"/>
      <c r="E27" s="433" t="str">
        <f t="shared" ref="E27:AJ27" si="252">IFERROR(E7/E15,"-")</f>
        <v>-</v>
      </c>
      <c r="F27" s="91" t="str">
        <f t="shared" si="252"/>
        <v>-</v>
      </c>
      <c r="G27" s="184" t="str">
        <f t="shared" si="252"/>
        <v>-</v>
      </c>
      <c r="H27" s="91" t="str">
        <f t="shared" si="252"/>
        <v>-</v>
      </c>
      <c r="I27" s="91" t="str">
        <f t="shared" si="252"/>
        <v>-</v>
      </c>
      <c r="J27" s="93" t="str">
        <f t="shared" si="252"/>
        <v>-</v>
      </c>
      <c r="K27" s="91" t="str">
        <f t="shared" si="252"/>
        <v>-</v>
      </c>
      <c r="L27" s="91" t="str">
        <f t="shared" si="252"/>
        <v>-</v>
      </c>
      <c r="M27" s="93" t="str">
        <f t="shared" si="252"/>
        <v>-</v>
      </c>
      <c r="N27" s="92" t="str">
        <f t="shared" si="252"/>
        <v>-</v>
      </c>
      <c r="O27" s="91" t="str">
        <f t="shared" si="252"/>
        <v>-</v>
      </c>
      <c r="P27" s="93" t="str">
        <f t="shared" si="252"/>
        <v>-</v>
      </c>
      <c r="Q27" s="92" t="str">
        <f t="shared" si="252"/>
        <v>-</v>
      </c>
      <c r="R27" s="91" t="str">
        <f t="shared" si="252"/>
        <v>-</v>
      </c>
      <c r="S27" s="93" t="str">
        <f t="shared" si="252"/>
        <v>-</v>
      </c>
      <c r="T27" s="92" t="str">
        <f t="shared" si="252"/>
        <v>-</v>
      </c>
      <c r="U27" s="91" t="str">
        <f t="shared" si="252"/>
        <v>-</v>
      </c>
      <c r="V27" s="93" t="str">
        <f t="shared" si="252"/>
        <v>-</v>
      </c>
      <c r="W27" s="92" t="str">
        <f t="shared" si="252"/>
        <v>-</v>
      </c>
      <c r="X27" s="91" t="str">
        <f t="shared" si="252"/>
        <v>-</v>
      </c>
      <c r="Y27" s="93" t="str">
        <f t="shared" si="252"/>
        <v>-</v>
      </c>
      <c r="Z27" s="92" t="str">
        <f t="shared" si="252"/>
        <v>-</v>
      </c>
      <c r="AA27" s="91" t="str">
        <f t="shared" si="252"/>
        <v>-</v>
      </c>
      <c r="AB27" s="93" t="str">
        <f t="shared" si="252"/>
        <v>-</v>
      </c>
      <c r="AC27" s="92" t="str">
        <f t="shared" si="252"/>
        <v>-</v>
      </c>
      <c r="AD27" s="91" t="str">
        <f t="shared" si="252"/>
        <v>-</v>
      </c>
      <c r="AE27" s="93" t="str">
        <f t="shared" si="252"/>
        <v>-</v>
      </c>
      <c r="AF27" s="92" t="str">
        <f t="shared" si="252"/>
        <v>-</v>
      </c>
      <c r="AG27" s="91" t="str">
        <f t="shared" si="252"/>
        <v>-</v>
      </c>
      <c r="AH27" s="93" t="str">
        <f t="shared" si="252"/>
        <v>-</v>
      </c>
      <c r="AI27" s="92" t="str">
        <f t="shared" si="252"/>
        <v>-</v>
      </c>
      <c r="AJ27" s="91" t="str">
        <f t="shared" si="252"/>
        <v>-</v>
      </c>
      <c r="AK27" s="93" t="str">
        <f t="shared" ref="AK27:BP27" si="253">IFERROR(AK7/AK15,"-")</f>
        <v>-</v>
      </c>
      <c r="AL27" s="92" t="str">
        <f t="shared" si="253"/>
        <v>-</v>
      </c>
      <c r="AM27" s="91" t="str">
        <f t="shared" si="253"/>
        <v>-</v>
      </c>
      <c r="AN27" s="93" t="str">
        <f t="shared" si="253"/>
        <v>-</v>
      </c>
      <c r="AO27" s="92" t="str">
        <f t="shared" si="253"/>
        <v>-</v>
      </c>
      <c r="AP27" s="91" t="str">
        <f t="shared" si="253"/>
        <v>-</v>
      </c>
      <c r="AQ27" s="93" t="str">
        <f t="shared" si="253"/>
        <v>-</v>
      </c>
      <c r="AR27" s="433" t="str">
        <f t="shared" si="253"/>
        <v>-</v>
      </c>
      <c r="AS27" s="91" t="str">
        <f t="shared" si="253"/>
        <v>-</v>
      </c>
      <c r="AT27" s="184" t="str">
        <f t="shared" si="253"/>
        <v>-</v>
      </c>
      <c r="AU27" s="92" t="str">
        <f t="shared" si="253"/>
        <v>-</v>
      </c>
      <c r="AV27" s="91" t="str">
        <f t="shared" si="253"/>
        <v>-</v>
      </c>
      <c r="AW27" s="93" t="str">
        <f t="shared" si="253"/>
        <v>-</v>
      </c>
      <c r="AX27" s="92" t="str">
        <f t="shared" si="253"/>
        <v>-</v>
      </c>
      <c r="AY27" s="91" t="str">
        <f t="shared" si="253"/>
        <v>-</v>
      </c>
      <c r="AZ27" s="93" t="str">
        <f t="shared" si="253"/>
        <v>-</v>
      </c>
      <c r="BA27" s="92" t="str">
        <f t="shared" si="253"/>
        <v>-</v>
      </c>
      <c r="BB27" s="91" t="str">
        <f t="shared" si="253"/>
        <v>-</v>
      </c>
      <c r="BC27" s="93" t="str">
        <f t="shared" si="253"/>
        <v>-</v>
      </c>
      <c r="BD27" s="92" t="str">
        <f t="shared" si="253"/>
        <v>-</v>
      </c>
      <c r="BE27" s="91" t="str">
        <f t="shared" si="253"/>
        <v>-</v>
      </c>
      <c r="BF27" s="93" t="str">
        <f t="shared" si="253"/>
        <v>-</v>
      </c>
      <c r="BG27" s="92" t="str">
        <f t="shared" si="253"/>
        <v>-</v>
      </c>
      <c r="BH27" s="91" t="str">
        <f t="shared" si="253"/>
        <v>-</v>
      </c>
      <c r="BI27" s="93" t="str">
        <f t="shared" si="253"/>
        <v>-</v>
      </c>
      <c r="BJ27" s="92" t="str">
        <f t="shared" si="253"/>
        <v>-</v>
      </c>
      <c r="BK27" s="91" t="str">
        <f t="shared" si="253"/>
        <v>-</v>
      </c>
      <c r="BL27" s="93" t="str">
        <f t="shared" si="253"/>
        <v>-</v>
      </c>
      <c r="BM27" s="92" t="str">
        <f t="shared" si="253"/>
        <v>-</v>
      </c>
      <c r="BN27" s="91" t="str">
        <f t="shared" si="253"/>
        <v>-</v>
      </c>
      <c r="BO27" s="93" t="str">
        <f t="shared" si="253"/>
        <v>-</v>
      </c>
      <c r="BP27" s="92" t="str">
        <f t="shared" si="253"/>
        <v>-</v>
      </c>
      <c r="BQ27" s="91" t="str">
        <f t="shared" ref="BQ27:CV27" si="254">IFERROR(BQ7/BQ15,"-")</f>
        <v>-</v>
      </c>
      <c r="BR27" s="93" t="str">
        <f t="shared" si="254"/>
        <v>-</v>
      </c>
      <c r="BS27" s="92" t="str">
        <f t="shared" si="254"/>
        <v>-</v>
      </c>
      <c r="BT27" s="91" t="str">
        <f t="shared" si="254"/>
        <v>-</v>
      </c>
      <c r="BU27" s="93" t="str">
        <f t="shared" si="254"/>
        <v>-</v>
      </c>
      <c r="BV27" s="92" t="str">
        <f t="shared" si="254"/>
        <v>-</v>
      </c>
      <c r="BW27" s="91" t="str">
        <f t="shared" si="254"/>
        <v>-</v>
      </c>
      <c r="BX27" s="93" t="str">
        <f t="shared" si="254"/>
        <v>-</v>
      </c>
      <c r="BY27" s="92" t="str">
        <f t="shared" si="254"/>
        <v>-</v>
      </c>
      <c r="BZ27" s="91" t="str">
        <f t="shared" si="254"/>
        <v>-</v>
      </c>
      <c r="CA27" s="93" t="str">
        <f t="shared" si="254"/>
        <v>-</v>
      </c>
      <c r="CB27" s="92" t="str">
        <f t="shared" si="254"/>
        <v>-</v>
      </c>
      <c r="CC27" s="91" t="str">
        <f t="shared" si="254"/>
        <v>-</v>
      </c>
      <c r="CD27" s="93" t="str">
        <f t="shared" si="254"/>
        <v>-</v>
      </c>
      <c r="CE27" s="433" t="str">
        <f t="shared" si="254"/>
        <v>-</v>
      </c>
      <c r="CF27" s="91" t="str">
        <f t="shared" si="254"/>
        <v>-</v>
      </c>
      <c r="CG27" s="184" t="str">
        <f t="shared" si="254"/>
        <v>-</v>
      </c>
      <c r="CH27" s="91" t="str">
        <f t="shared" si="254"/>
        <v>-</v>
      </c>
      <c r="CI27" s="91" t="str">
        <f t="shared" si="254"/>
        <v>-</v>
      </c>
      <c r="CJ27" s="93" t="str">
        <f t="shared" si="254"/>
        <v>-</v>
      </c>
      <c r="CK27" s="90" t="str">
        <f t="shared" si="254"/>
        <v>-</v>
      </c>
      <c r="CL27" s="91" t="str">
        <f t="shared" si="254"/>
        <v>-</v>
      </c>
      <c r="CM27" s="93" t="str">
        <f t="shared" si="254"/>
        <v>-</v>
      </c>
      <c r="CN27" s="90" t="str">
        <f t="shared" si="254"/>
        <v>-</v>
      </c>
      <c r="CO27" s="91" t="str">
        <f t="shared" si="254"/>
        <v>-</v>
      </c>
      <c r="CP27" s="93" t="str">
        <f t="shared" si="254"/>
        <v>-</v>
      </c>
      <c r="CQ27" s="90" t="str">
        <f t="shared" si="254"/>
        <v>-</v>
      </c>
      <c r="CR27" s="91" t="str">
        <f t="shared" si="254"/>
        <v>-</v>
      </c>
      <c r="CS27" s="93" t="str">
        <f t="shared" si="254"/>
        <v>-</v>
      </c>
      <c r="CT27" s="90" t="str">
        <f t="shared" si="254"/>
        <v>-</v>
      </c>
      <c r="CU27" s="91" t="str">
        <f t="shared" si="254"/>
        <v>-</v>
      </c>
      <c r="CV27" s="93" t="str">
        <f t="shared" si="254"/>
        <v>-</v>
      </c>
      <c r="CW27" s="90" t="str">
        <f t="shared" ref="CW27:DT27" si="255">IFERROR(CW7/CW15,"-")</f>
        <v>-</v>
      </c>
      <c r="CX27" s="91" t="str">
        <f t="shared" si="255"/>
        <v>-</v>
      </c>
      <c r="CY27" s="93" t="str">
        <f t="shared" si="255"/>
        <v>-</v>
      </c>
      <c r="CZ27" s="90" t="str">
        <f t="shared" si="255"/>
        <v>-</v>
      </c>
      <c r="DA27" s="91" t="str">
        <f t="shared" si="255"/>
        <v>-</v>
      </c>
      <c r="DB27" s="93" t="str">
        <f t="shared" si="255"/>
        <v>-</v>
      </c>
      <c r="DC27" s="90" t="str">
        <f t="shared" si="255"/>
        <v>-</v>
      </c>
      <c r="DD27" s="91" t="str">
        <f t="shared" si="255"/>
        <v>-</v>
      </c>
      <c r="DE27" s="93" t="str">
        <f t="shared" si="255"/>
        <v>-</v>
      </c>
      <c r="DF27" s="90" t="str">
        <f t="shared" si="255"/>
        <v>-</v>
      </c>
      <c r="DG27" s="91" t="str">
        <f t="shared" si="255"/>
        <v>-</v>
      </c>
      <c r="DH27" s="93" t="str">
        <f t="shared" si="255"/>
        <v>-</v>
      </c>
      <c r="DI27" s="90" t="str">
        <f t="shared" si="255"/>
        <v>-</v>
      </c>
      <c r="DJ27" s="91" t="str">
        <f t="shared" si="255"/>
        <v>-</v>
      </c>
      <c r="DK27" s="93" t="str">
        <f t="shared" si="255"/>
        <v>-</v>
      </c>
      <c r="DL27" s="90" t="str">
        <f t="shared" si="255"/>
        <v>-</v>
      </c>
      <c r="DM27" s="91" t="str">
        <f t="shared" si="255"/>
        <v>-</v>
      </c>
      <c r="DN27" s="93" t="str">
        <f t="shared" si="255"/>
        <v>-</v>
      </c>
      <c r="DO27" s="90" t="str">
        <f t="shared" si="255"/>
        <v>-</v>
      </c>
      <c r="DP27" s="91" t="str">
        <f t="shared" si="255"/>
        <v>-</v>
      </c>
      <c r="DQ27" s="93" t="str">
        <f t="shared" si="255"/>
        <v>-</v>
      </c>
      <c r="DR27" s="433" t="str">
        <f t="shared" si="255"/>
        <v>-</v>
      </c>
      <c r="DS27" s="91" t="str">
        <f t="shared" si="255"/>
        <v>-</v>
      </c>
      <c r="DT27" s="184" t="str">
        <f t="shared" si="255"/>
        <v>-</v>
      </c>
    </row>
    <row r="28" spans="1:124" ht="14.25" customHeight="1">
      <c r="A28" s="23"/>
      <c r="B28" s="87"/>
      <c r="C28" s="88"/>
      <c r="D28" s="89"/>
      <c r="E28" s="433" t="str">
        <f t="shared" ref="E28:AJ28" si="256">IFERROR(E8/E16,"-")</f>
        <v>-</v>
      </c>
      <c r="F28" s="91" t="str">
        <f t="shared" si="256"/>
        <v>-</v>
      </c>
      <c r="G28" s="184" t="str">
        <f t="shared" si="256"/>
        <v>-</v>
      </c>
      <c r="H28" s="91" t="str">
        <f t="shared" si="256"/>
        <v>-</v>
      </c>
      <c r="I28" s="91" t="str">
        <f t="shared" si="256"/>
        <v>-</v>
      </c>
      <c r="J28" s="93" t="str">
        <f t="shared" si="256"/>
        <v>-</v>
      </c>
      <c r="K28" s="91" t="str">
        <f t="shared" si="256"/>
        <v>-</v>
      </c>
      <c r="L28" s="91" t="str">
        <f t="shared" si="256"/>
        <v>-</v>
      </c>
      <c r="M28" s="93" t="str">
        <f t="shared" si="256"/>
        <v>-</v>
      </c>
      <c r="N28" s="92" t="str">
        <f t="shared" si="256"/>
        <v>-</v>
      </c>
      <c r="O28" s="91" t="str">
        <f t="shared" si="256"/>
        <v>-</v>
      </c>
      <c r="P28" s="93" t="str">
        <f t="shared" si="256"/>
        <v>-</v>
      </c>
      <c r="Q28" s="92" t="str">
        <f t="shared" si="256"/>
        <v>-</v>
      </c>
      <c r="R28" s="91" t="str">
        <f t="shared" si="256"/>
        <v>-</v>
      </c>
      <c r="S28" s="93" t="str">
        <f t="shared" si="256"/>
        <v>-</v>
      </c>
      <c r="T28" s="92" t="str">
        <f t="shared" si="256"/>
        <v>-</v>
      </c>
      <c r="U28" s="91" t="str">
        <f t="shared" si="256"/>
        <v>-</v>
      </c>
      <c r="V28" s="93" t="str">
        <f t="shared" si="256"/>
        <v>-</v>
      </c>
      <c r="W28" s="92" t="str">
        <f t="shared" si="256"/>
        <v>-</v>
      </c>
      <c r="X28" s="91" t="str">
        <f t="shared" si="256"/>
        <v>-</v>
      </c>
      <c r="Y28" s="93" t="str">
        <f t="shared" si="256"/>
        <v>-</v>
      </c>
      <c r="Z28" s="92" t="str">
        <f t="shared" si="256"/>
        <v>-</v>
      </c>
      <c r="AA28" s="91" t="str">
        <f t="shared" si="256"/>
        <v>-</v>
      </c>
      <c r="AB28" s="93" t="str">
        <f t="shared" si="256"/>
        <v>-</v>
      </c>
      <c r="AC28" s="92" t="str">
        <f t="shared" si="256"/>
        <v>-</v>
      </c>
      <c r="AD28" s="91" t="str">
        <f t="shared" si="256"/>
        <v>-</v>
      </c>
      <c r="AE28" s="93" t="str">
        <f t="shared" si="256"/>
        <v>-</v>
      </c>
      <c r="AF28" s="92" t="str">
        <f t="shared" si="256"/>
        <v>-</v>
      </c>
      <c r="AG28" s="91" t="str">
        <f t="shared" si="256"/>
        <v>-</v>
      </c>
      <c r="AH28" s="93" t="str">
        <f t="shared" si="256"/>
        <v>-</v>
      </c>
      <c r="AI28" s="92" t="str">
        <f t="shared" si="256"/>
        <v>-</v>
      </c>
      <c r="AJ28" s="91" t="str">
        <f t="shared" si="256"/>
        <v>-</v>
      </c>
      <c r="AK28" s="93" t="str">
        <f t="shared" ref="AK28:BP28" si="257">IFERROR(AK8/AK16,"-")</f>
        <v>-</v>
      </c>
      <c r="AL28" s="92" t="str">
        <f t="shared" si="257"/>
        <v>-</v>
      </c>
      <c r="AM28" s="91" t="str">
        <f t="shared" si="257"/>
        <v>-</v>
      </c>
      <c r="AN28" s="93" t="str">
        <f t="shared" si="257"/>
        <v>-</v>
      </c>
      <c r="AO28" s="92" t="str">
        <f t="shared" si="257"/>
        <v>-</v>
      </c>
      <c r="AP28" s="91" t="str">
        <f t="shared" si="257"/>
        <v>-</v>
      </c>
      <c r="AQ28" s="93" t="str">
        <f t="shared" si="257"/>
        <v>-</v>
      </c>
      <c r="AR28" s="433" t="str">
        <f t="shared" si="257"/>
        <v>-</v>
      </c>
      <c r="AS28" s="91" t="str">
        <f t="shared" si="257"/>
        <v>-</v>
      </c>
      <c r="AT28" s="184" t="str">
        <f t="shared" si="257"/>
        <v>-</v>
      </c>
      <c r="AU28" s="92" t="str">
        <f t="shared" si="257"/>
        <v>-</v>
      </c>
      <c r="AV28" s="91" t="str">
        <f t="shared" si="257"/>
        <v>-</v>
      </c>
      <c r="AW28" s="93" t="str">
        <f t="shared" si="257"/>
        <v>-</v>
      </c>
      <c r="AX28" s="92" t="str">
        <f t="shared" si="257"/>
        <v>-</v>
      </c>
      <c r="AY28" s="91" t="str">
        <f t="shared" si="257"/>
        <v>-</v>
      </c>
      <c r="AZ28" s="93" t="str">
        <f t="shared" si="257"/>
        <v>-</v>
      </c>
      <c r="BA28" s="92" t="str">
        <f t="shared" si="257"/>
        <v>-</v>
      </c>
      <c r="BB28" s="91" t="str">
        <f t="shared" si="257"/>
        <v>-</v>
      </c>
      <c r="BC28" s="93" t="str">
        <f t="shared" si="257"/>
        <v>-</v>
      </c>
      <c r="BD28" s="92" t="str">
        <f t="shared" si="257"/>
        <v>-</v>
      </c>
      <c r="BE28" s="91" t="str">
        <f t="shared" si="257"/>
        <v>-</v>
      </c>
      <c r="BF28" s="93" t="str">
        <f t="shared" si="257"/>
        <v>-</v>
      </c>
      <c r="BG28" s="92" t="str">
        <f t="shared" si="257"/>
        <v>-</v>
      </c>
      <c r="BH28" s="91" t="str">
        <f t="shared" si="257"/>
        <v>-</v>
      </c>
      <c r="BI28" s="93" t="str">
        <f t="shared" si="257"/>
        <v>-</v>
      </c>
      <c r="BJ28" s="92" t="str">
        <f t="shared" si="257"/>
        <v>-</v>
      </c>
      <c r="BK28" s="91" t="str">
        <f t="shared" si="257"/>
        <v>-</v>
      </c>
      <c r="BL28" s="93" t="str">
        <f t="shared" si="257"/>
        <v>-</v>
      </c>
      <c r="BM28" s="92" t="str">
        <f t="shared" si="257"/>
        <v>-</v>
      </c>
      <c r="BN28" s="91" t="str">
        <f t="shared" si="257"/>
        <v>-</v>
      </c>
      <c r="BO28" s="93" t="str">
        <f t="shared" si="257"/>
        <v>-</v>
      </c>
      <c r="BP28" s="92" t="str">
        <f t="shared" si="257"/>
        <v>-</v>
      </c>
      <c r="BQ28" s="91" t="str">
        <f t="shared" ref="BQ28:CV28" si="258">IFERROR(BQ8/BQ16,"-")</f>
        <v>-</v>
      </c>
      <c r="BR28" s="93" t="str">
        <f t="shared" si="258"/>
        <v>-</v>
      </c>
      <c r="BS28" s="92" t="str">
        <f t="shared" si="258"/>
        <v>-</v>
      </c>
      <c r="BT28" s="91" t="str">
        <f t="shared" si="258"/>
        <v>-</v>
      </c>
      <c r="BU28" s="93" t="str">
        <f t="shared" si="258"/>
        <v>-</v>
      </c>
      <c r="BV28" s="92" t="str">
        <f t="shared" si="258"/>
        <v>-</v>
      </c>
      <c r="BW28" s="91" t="str">
        <f t="shared" si="258"/>
        <v>-</v>
      </c>
      <c r="BX28" s="93" t="str">
        <f t="shared" si="258"/>
        <v>-</v>
      </c>
      <c r="BY28" s="92" t="str">
        <f t="shared" si="258"/>
        <v>-</v>
      </c>
      <c r="BZ28" s="91" t="str">
        <f t="shared" si="258"/>
        <v>-</v>
      </c>
      <c r="CA28" s="93" t="str">
        <f t="shared" si="258"/>
        <v>-</v>
      </c>
      <c r="CB28" s="92" t="str">
        <f t="shared" si="258"/>
        <v>-</v>
      </c>
      <c r="CC28" s="91" t="str">
        <f t="shared" si="258"/>
        <v>-</v>
      </c>
      <c r="CD28" s="93" t="str">
        <f t="shared" si="258"/>
        <v>-</v>
      </c>
      <c r="CE28" s="433" t="str">
        <f t="shared" si="258"/>
        <v>-</v>
      </c>
      <c r="CF28" s="91" t="str">
        <f t="shared" si="258"/>
        <v>-</v>
      </c>
      <c r="CG28" s="184" t="str">
        <f t="shared" si="258"/>
        <v>-</v>
      </c>
      <c r="CH28" s="91" t="str">
        <f t="shared" si="258"/>
        <v>-</v>
      </c>
      <c r="CI28" s="91" t="str">
        <f t="shared" si="258"/>
        <v>-</v>
      </c>
      <c r="CJ28" s="93" t="str">
        <f t="shared" si="258"/>
        <v>-</v>
      </c>
      <c r="CK28" s="90" t="str">
        <f t="shared" si="258"/>
        <v>-</v>
      </c>
      <c r="CL28" s="91" t="str">
        <f t="shared" si="258"/>
        <v>-</v>
      </c>
      <c r="CM28" s="93" t="str">
        <f t="shared" si="258"/>
        <v>-</v>
      </c>
      <c r="CN28" s="90" t="str">
        <f t="shared" si="258"/>
        <v>-</v>
      </c>
      <c r="CO28" s="91" t="str">
        <f t="shared" si="258"/>
        <v>-</v>
      </c>
      <c r="CP28" s="93" t="str">
        <f t="shared" si="258"/>
        <v>-</v>
      </c>
      <c r="CQ28" s="90" t="str">
        <f t="shared" si="258"/>
        <v>-</v>
      </c>
      <c r="CR28" s="91" t="str">
        <f t="shared" si="258"/>
        <v>-</v>
      </c>
      <c r="CS28" s="93" t="str">
        <f t="shared" si="258"/>
        <v>-</v>
      </c>
      <c r="CT28" s="90" t="str">
        <f t="shared" si="258"/>
        <v>-</v>
      </c>
      <c r="CU28" s="91" t="str">
        <f t="shared" si="258"/>
        <v>-</v>
      </c>
      <c r="CV28" s="93" t="str">
        <f t="shared" si="258"/>
        <v>-</v>
      </c>
      <c r="CW28" s="90" t="str">
        <f t="shared" ref="CW28:DT28" si="259">IFERROR(CW8/CW16,"-")</f>
        <v>-</v>
      </c>
      <c r="CX28" s="91" t="str">
        <f t="shared" si="259"/>
        <v>-</v>
      </c>
      <c r="CY28" s="93" t="str">
        <f t="shared" si="259"/>
        <v>-</v>
      </c>
      <c r="CZ28" s="90" t="str">
        <f t="shared" si="259"/>
        <v>-</v>
      </c>
      <c r="DA28" s="91" t="str">
        <f t="shared" si="259"/>
        <v>-</v>
      </c>
      <c r="DB28" s="93" t="str">
        <f t="shared" si="259"/>
        <v>-</v>
      </c>
      <c r="DC28" s="90" t="str">
        <f t="shared" si="259"/>
        <v>-</v>
      </c>
      <c r="DD28" s="91" t="str">
        <f t="shared" si="259"/>
        <v>-</v>
      </c>
      <c r="DE28" s="93" t="str">
        <f t="shared" si="259"/>
        <v>-</v>
      </c>
      <c r="DF28" s="90" t="str">
        <f t="shared" si="259"/>
        <v>-</v>
      </c>
      <c r="DG28" s="91" t="str">
        <f t="shared" si="259"/>
        <v>-</v>
      </c>
      <c r="DH28" s="93" t="str">
        <f t="shared" si="259"/>
        <v>-</v>
      </c>
      <c r="DI28" s="90" t="str">
        <f t="shared" si="259"/>
        <v>-</v>
      </c>
      <c r="DJ28" s="91" t="str">
        <f t="shared" si="259"/>
        <v>-</v>
      </c>
      <c r="DK28" s="93" t="str">
        <f t="shared" si="259"/>
        <v>-</v>
      </c>
      <c r="DL28" s="90" t="str">
        <f t="shared" si="259"/>
        <v>-</v>
      </c>
      <c r="DM28" s="91" t="str">
        <f t="shared" si="259"/>
        <v>-</v>
      </c>
      <c r="DN28" s="93" t="str">
        <f t="shared" si="259"/>
        <v>-</v>
      </c>
      <c r="DO28" s="90" t="str">
        <f t="shared" si="259"/>
        <v>-</v>
      </c>
      <c r="DP28" s="91" t="str">
        <f t="shared" si="259"/>
        <v>-</v>
      </c>
      <c r="DQ28" s="93" t="str">
        <f t="shared" si="259"/>
        <v>-</v>
      </c>
      <c r="DR28" s="433" t="str">
        <f t="shared" si="259"/>
        <v>-</v>
      </c>
      <c r="DS28" s="91" t="str">
        <f t="shared" si="259"/>
        <v>-</v>
      </c>
      <c r="DT28" s="184" t="str">
        <f t="shared" si="259"/>
        <v>-</v>
      </c>
    </row>
    <row r="29" spans="1:124" ht="14.25" customHeight="1">
      <c r="A29" s="23"/>
      <c r="B29" s="87"/>
      <c r="C29" s="88"/>
      <c r="D29" s="89"/>
      <c r="E29" s="433" t="str">
        <f t="shared" ref="E29:AJ29" si="260">IFERROR(E9/E17,"-")</f>
        <v>-</v>
      </c>
      <c r="F29" s="91" t="str">
        <f t="shared" si="260"/>
        <v>-</v>
      </c>
      <c r="G29" s="184" t="str">
        <f t="shared" si="260"/>
        <v>-</v>
      </c>
      <c r="H29" s="91" t="str">
        <f t="shared" si="260"/>
        <v>-</v>
      </c>
      <c r="I29" s="91" t="str">
        <f t="shared" si="260"/>
        <v>-</v>
      </c>
      <c r="J29" s="93" t="str">
        <f t="shared" si="260"/>
        <v>-</v>
      </c>
      <c r="K29" s="91" t="str">
        <f t="shared" si="260"/>
        <v>-</v>
      </c>
      <c r="L29" s="91" t="str">
        <f t="shared" si="260"/>
        <v>-</v>
      </c>
      <c r="M29" s="93" t="str">
        <f t="shared" si="260"/>
        <v>-</v>
      </c>
      <c r="N29" s="92" t="str">
        <f t="shared" si="260"/>
        <v>-</v>
      </c>
      <c r="O29" s="91" t="str">
        <f t="shared" si="260"/>
        <v>-</v>
      </c>
      <c r="P29" s="93" t="str">
        <f t="shared" si="260"/>
        <v>-</v>
      </c>
      <c r="Q29" s="92" t="str">
        <f t="shared" si="260"/>
        <v>-</v>
      </c>
      <c r="R29" s="91" t="str">
        <f t="shared" si="260"/>
        <v>-</v>
      </c>
      <c r="S29" s="93" t="str">
        <f t="shared" si="260"/>
        <v>-</v>
      </c>
      <c r="T29" s="92" t="str">
        <f t="shared" si="260"/>
        <v>-</v>
      </c>
      <c r="U29" s="91" t="str">
        <f t="shared" si="260"/>
        <v>-</v>
      </c>
      <c r="V29" s="93" t="str">
        <f t="shared" si="260"/>
        <v>-</v>
      </c>
      <c r="W29" s="92" t="str">
        <f t="shared" si="260"/>
        <v>-</v>
      </c>
      <c r="X29" s="91" t="str">
        <f t="shared" si="260"/>
        <v>-</v>
      </c>
      <c r="Y29" s="93" t="str">
        <f t="shared" si="260"/>
        <v>-</v>
      </c>
      <c r="Z29" s="92" t="str">
        <f t="shared" si="260"/>
        <v>-</v>
      </c>
      <c r="AA29" s="91" t="str">
        <f t="shared" si="260"/>
        <v>-</v>
      </c>
      <c r="AB29" s="93" t="str">
        <f t="shared" si="260"/>
        <v>-</v>
      </c>
      <c r="AC29" s="92" t="str">
        <f t="shared" si="260"/>
        <v>-</v>
      </c>
      <c r="AD29" s="91" t="str">
        <f t="shared" si="260"/>
        <v>-</v>
      </c>
      <c r="AE29" s="93" t="str">
        <f t="shared" si="260"/>
        <v>-</v>
      </c>
      <c r="AF29" s="92" t="str">
        <f t="shared" si="260"/>
        <v>-</v>
      </c>
      <c r="AG29" s="91" t="str">
        <f t="shared" si="260"/>
        <v>-</v>
      </c>
      <c r="AH29" s="93" t="str">
        <f t="shared" si="260"/>
        <v>-</v>
      </c>
      <c r="AI29" s="92" t="str">
        <f t="shared" si="260"/>
        <v>-</v>
      </c>
      <c r="AJ29" s="91" t="str">
        <f t="shared" si="260"/>
        <v>-</v>
      </c>
      <c r="AK29" s="93" t="str">
        <f t="shared" ref="AK29:BP29" si="261">IFERROR(AK9/AK17,"-")</f>
        <v>-</v>
      </c>
      <c r="AL29" s="92" t="str">
        <f t="shared" si="261"/>
        <v>-</v>
      </c>
      <c r="AM29" s="91" t="str">
        <f t="shared" si="261"/>
        <v>-</v>
      </c>
      <c r="AN29" s="93" t="str">
        <f t="shared" si="261"/>
        <v>-</v>
      </c>
      <c r="AO29" s="92" t="str">
        <f t="shared" si="261"/>
        <v>-</v>
      </c>
      <c r="AP29" s="91" t="str">
        <f t="shared" si="261"/>
        <v>-</v>
      </c>
      <c r="AQ29" s="93" t="str">
        <f t="shared" si="261"/>
        <v>-</v>
      </c>
      <c r="AR29" s="433" t="str">
        <f t="shared" si="261"/>
        <v>-</v>
      </c>
      <c r="AS29" s="91" t="str">
        <f t="shared" si="261"/>
        <v>-</v>
      </c>
      <c r="AT29" s="184" t="str">
        <f t="shared" si="261"/>
        <v>-</v>
      </c>
      <c r="AU29" s="92" t="str">
        <f t="shared" si="261"/>
        <v>-</v>
      </c>
      <c r="AV29" s="91" t="str">
        <f t="shared" si="261"/>
        <v>-</v>
      </c>
      <c r="AW29" s="93" t="str">
        <f t="shared" si="261"/>
        <v>-</v>
      </c>
      <c r="AX29" s="92" t="str">
        <f t="shared" si="261"/>
        <v>-</v>
      </c>
      <c r="AY29" s="91" t="str">
        <f t="shared" si="261"/>
        <v>-</v>
      </c>
      <c r="AZ29" s="93" t="str">
        <f t="shared" si="261"/>
        <v>-</v>
      </c>
      <c r="BA29" s="92" t="str">
        <f t="shared" si="261"/>
        <v>-</v>
      </c>
      <c r="BB29" s="91" t="str">
        <f t="shared" si="261"/>
        <v>-</v>
      </c>
      <c r="BC29" s="93" t="str">
        <f t="shared" si="261"/>
        <v>-</v>
      </c>
      <c r="BD29" s="92" t="str">
        <f t="shared" si="261"/>
        <v>-</v>
      </c>
      <c r="BE29" s="91" t="str">
        <f t="shared" si="261"/>
        <v>-</v>
      </c>
      <c r="BF29" s="93" t="str">
        <f t="shared" si="261"/>
        <v>-</v>
      </c>
      <c r="BG29" s="92" t="str">
        <f t="shared" si="261"/>
        <v>-</v>
      </c>
      <c r="BH29" s="91" t="str">
        <f t="shared" si="261"/>
        <v>-</v>
      </c>
      <c r="BI29" s="93" t="str">
        <f t="shared" si="261"/>
        <v>-</v>
      </c>
      <c r="BJ29" s="92" t="str">
        <f t="shared" si="261"/>
        <v>-</v>
      </c>
      <c r="BK29" s="91" t="str">
        <f t="shared" si="261"/>
        <v>-</v>
      </c>
      <c r="BL29" s="93" t="str">
        <f t="shared" si="261"/>
        <v>-</v>
      </c>
      <c r="BM29" s="92" t="str">
        <f t="shared" si="261"/>
        <v>-</v>
      </c>
      <c r="BN29" s="91" t="str">
        <f t="shared" si="261"/>
        <v>-</v>
      </c>
      <c r="BO29" s="93" t="str">
        <f t="shared" si="261"/>
        <v>-</v>
      </c>
      <c r="BP29" s="92" t="str">
        <f t="shared" si="261"/>
        <v>-</v>
      </c>
      <c r="BQ29" s="91" t="str">
        <f t="shared" ref="BQ29:CV29" si="262">IFERROR(BQ9/BQ17,"-")</f>
        <v>-</v>
      </c>
      <c r="BR29" s="93" t="str">
        <f t="shared" si="262"/>
        <v>-</v>
      </c>
      <c r="BS29" s="92" t="str">
        <f t="shared" si="262"/>
        <v>-</v>
      </c>
      <c r="BT29" s="91" t="str">
        <f t="shared" si="262"/>
        <v>-</v>
      </c>
      <c r="BU29" s="93" t="str">
        <f t="shared" si="262"/>
        <v>-</v>
      </c>
      <c r="BV29" s="92" t="str">
        <f t="shared" si="262"/>
        <v>-</v>
      </c>
      <c r="BW29" s="91" t="str">
        <f t="shared" si="262"/>
        <v>-</v>
      </c>
      <c r="BX29" s="93" t="str">
        <f t="shared" si="262"/>
        <v>-</v>
      </c>
      <c r="BY29" s="92" t="str">
        <f t="shared" si="262"/>
        <v>-</v>
      </c>
      <c r="BZ29" s="91" t="str">
        <f t="shared" si="262"/>
        <v>-</v>
      </c>
      <c r="CA29" s="93" t="str">
        <f t="shared" si="262"/>
        <v>-</v>
      </c>
      <c r="CB29" s="92" t="str">
        <f t="shared" si="262"/>
        <v>-</v>
      </c>
      <c r="CC29" s="91" t="str">
        <f t="shared" si="262"/>
        <v>-</v>
      </c>
      <c r="CD29" s="93" t="str">
        <f t="shared" si="262"/>
        <v>-</v>
      </c>
      <c r="CE29" s="433" t="str">
        <f t="shared" si="262"/>
        <v>-</v>
      </c>
      <c r="CF29" s="91" t="str">
        <f t="shared" si="262"/>
        <v>-</v>
      </c>
      <c r="CG29" s="184" t="str">
        <f t="shared" si="262"/>
        <v>-</v>
      </c>
      <c r="CH29" s="91" t="str">
        <f t="shared" si="262"/>
        <v>-</v>
      </c>
      <c r="CI29" s="91" t="str">
        <f t="shared" si="262"/>
        <v>-</v>
      </c>
      <c r="CJ29" s="93" t="str">
        <f t="shared" si="262"/>
        <v>-</v>
      </c>
      <c r="CK29" s="90" t="str">
        <f t="shared" si="262"/>
        <v>-</v>
      </c>
      <c r="CL29" s="91" t="str">
        <f t="shared" si="262"/>
        <v>-</v>
      </c>
      <c r="CM29" s="93" t="str">
        <f t="shared" si="262"/>
        <v>-</v>
      </c>
      <c r="CN29" s="90" t="str">
        <f t="shared" si="262"/>
        <v>-</v>
      </c>
      <c r="CO29" s="91" t="str">
        <f t="shared" si="262"/>
        <v>-</v>
      </c>
      <c r="CP29" s="93" t="str">
        <f t="shared" si="262"/>
        <v>-</v>
      </c>
      <c r="CQ29" s="90" t="str">
        <f t="shared" si="262"/>
        <v>-</v>
      </c>
      <c r="CR29" s="91" t="str">
        <f t="shared" si="262"/>
        <v>-</v>
      </c>
      <c r="CS29" s="93" t="str">
        <f t="shared" si="262"/>
        <v>-</v>
      </c>
      <c r="CT29" s="90" t="str">
        <f t="shared" si="262"/>
        <v>-</v>
      </c>
      <c r="CU29" s="91" t="str">
        <f t="shared" si="262"/>
        <v>-</v>
      </c>
      <c r="CV29" s="93" t="str">
        <f t="shared" si="262"/>
        <v>-</v>
      </c>
      <c r="CW29" s="90" t="str">
        <f t="shared" ref="CW29:DT29" si="263">IFERROR(CW9/CW17,"-")</f>
        <v>-</v>
      </c>
      <c r="CX29" s="91" t="str">
        <f t="shared" si="263"/>
        <v>-</v>
      </c>
      <c r="CY29" s="93" t="str">
        <f t="shared" si="263"/>
        <v>-</v>
      </c>
      <c r="CZ29" s="90" t="str">
        <f t="shared" si="263"/>
        <v>-</v>
      </c>
      <c r="DA29" s="91" t="str">
        <f t="shared" si="263"/>
        <v>-</v>
      </c>
      <c r="DB29" s="93" t="str">
        <f t="shared" si="263"/>
        <v>-</v>
      </c>
      <c r="DC29" s="90" t="str">
        <f t="shared" si="263"/>
        <v>-</v>
      </c>
      <c r="DD29" s="91" t="str">
        <f t="shared" si="263"/>
        <v>-</v>
      </c>
      <c r="DE29" s="93" t="str">
        <f t="shared" si="263"/>
        <v>-</v>
      </c>
      <c r="DF29" s="90" t="str">
        <f t="shared" si="263"/>
        <v>-</v>
      </c>
      <c r="DG29" s="91" t="str">
        <f t="shared" si="263"/>
        <v>-</v>
      </c>
      <c r="DH29" s="93" t="str">
        <f t="shared" si="263"/>
        <v>-</v>
      </c>
      <c r="DI29" s="90" t="str">
        <f t="shared" si="263"/>
        <v>-</v>
      </c>
      <c r="DJ29" s="91" t="str">
        <f t="shared" si="263"/>
        <v>-</v>
      </c>
      <c r="DK29" s="93" t="str">
        <f t="shared" si="263"/>
        <v>-</v>
      </c>
      <c r="DL29" s="90" t="str">
        <f t="shared" si="263"/>
        <v>-</v>
      </c>
      <c r="DM29" s="91" t="str">
        <f t="shared" si="263"/>
        <v>-</v>
      </c>
      <c r="DN29" s="93" t="str">
        <f t="shared" si="263"/>
        <v>-</v>
      </c>
      <c r="DO29" s="90" t="str">
        <f t="shared" si="263"/>
        <v>-</v>
      </c>
      <c r="DP29" s="91" t="str">
        <f t="shared" si="263"/>
        <v>-</v>
      </c>
      <c r="DQ29" s="93" t="str">
        <f t="shared" si="263"/>
        <v>-</v>
      </c>
      <c r="DR29" s="433" t="str">
        <f t="shared" si="263"/>
        <v>-</v>
      </c>
      <c r="DS29" s="91" t="str">
        <f t="shared" si="263"/>
        <v>-</v>
      </c>
      <c r="DT29" s="184" t="str">
        <f t="shared" si="263"/>
        <v>-</v>
      </c>
    </row>
    <row r="30" spans="1:124" ht="14.25" customHeight="1">
      <c r="A30" s="23"/>
      <c r="B30" s="87"/>
      <c r="C30" s="88"/>
      <c r="D30" s="89"/>
      <c r="E30" s="433" t="str">
        <f t="shared" ref="E30:AJ30" si="264">IFERROR(E10/E18,"-")</f>
        <v>-</v>
      </c>
      <c r="F30" s="91" t="str">
        <f t="shared" si="264"/>
        <v>-</v>
      </c>
      <c r="G30" s="184" t="str">
        <f t="shared" si="264"/>
        <v>-</v>
      </c>
      <c r="H30" s="91" t="str">
        <f t="shared" si="264"/>
        <v>-</v>
      </c>
      <c r="I30" s="91" t="str">
        <f t="shared" si="264"/>
        <v>-</v>
      </c>
      <c r="J30" s="93" t="str">
        <f t="shared" si="264"/>
        <v>-</v>
      </c>
      <c r="K30" s="91" t="str">
        <f t="shared" si="264"/>
        <v>-</v>
      </c>
      <c r="L30" s="91" t="str">
        <f t="shared" si="264"/>
        <v>-</v>
      </c>
      <c r="M30" s="93" t="str">
        <f t="shared" si="264"/>
        <v>-</v>
      </c>
      <c r="N30" s="92" t="str">
        <f t="shared" si="264"/>
        <v>-</v>
      </c>
      <c r="O30" s="91" t="str">
        <f t="shared" si="264"/>
        <v>-</v>
      </c>
      <c r="P30" s="93" t="str">
        <f t="shared" si="264"/>
        <v>-</v>
      </c>
      <c r="Q30" s="92" t="str">
        <f t="shared" si="264"/>
        <v>-</v>
      </c>
      <c r="R30" s="91" t="str">
        <f t="shared" si="264"/>
        <v>-</v>
      </c>
      <c r="S30" s="93" t="str">
        <f t="shared" si="264"/>
        <v>-</v>
      </c>
      <c r="T30" s="92" t="str">
        <f t="shared" si="264"/>
        <v>-</v>
      </c>
      <c r="U30" s="91" t="str">
        <f t="shared" si="264"/>
        <v>-</v>
      </c>
      <c r="V30" s="93" t="str">
        <f t="shared" si="264"/>
        <v>-</v>
      </c>
      <c r="W30" s="92" t="str">
        <f t="shared" si="264"/>
        <v>-</v>
      </c>
      <c r="X30" s="91" t="str">
        <f t="shared" si="264"/>
        <v>-</v>
      </c>
      <c r="Y30" s="93" t="str">
        <f t="shared" si="264"/>
        <v>-</v>
      </c>
      <c r="Z30" s="92" t="str">
        <f t="shared" si="264"/>
        <v>-</v>
      </c>
      <c r="AA30" s="91" t="str">
        <f t="shared" si="264"/>
        <v>-</v>
      </c>
      <c r="AB30" s="93" t="str">
        <f t="shared" si="264"/>
        <v>-</v>
      </c>
      <c r="AC30" s="92" t="str">
        <f t="shared" si="264"/>
        <v>-</v>
      </c>
      <c r="AD30" s="91" t="str">
        <f t="shared" si="264"/>
        <v>-</v>
      </c>
      <c r="AE30" s="93" t="str">
        <f t="shared" si="264"/>
        <v>-</v>
      </c>
      <c r="AF30" s="92" t="str">
        <f t="shared" si="264"/>
        <v>-</v>
      </c>
      <c r="AG30" s="91" t="str">
        <f t="shared" si="264"/>
        <v>-</v>
      </c>
      <c r="AH30" s="93" t="str">
        <f t="shared" si="264"/>
        <v>-</v>
      </c>
      <c r="AI30" s="92" t="str">
        <f t="shared" si="264"/>
        <v>-</v>
      </c>
      <c r="AJ30" s="91" t="str">
        <f t="shared" si="264"/>
        <v>-</v>
      </c>
      <c r="AK30" s="93" t="str">
        <f t="shared" ref="AK30:BP30" si="265">IFERROR(AK10/AK18,"-")</f>
        <v>-</v>
      </c>
      <c r="AL30" s="92" t="str">
        <f t="shared" si="265"/>
        <v>-</v>
      </c>
      <c r="AM30" s="91" t="str">
        <f t="shared" si="265"/>
        <v>-</v>
      </c>
      <c r="AN30" s="93" t="str">
        <f t="shared" si="265"/>
        <v>-</v>
      </c>
      <c r="AO30" s="92" t="str">
        <f t="shared" si="265"/>
        <v>-</v>
      </c>
      <c r="AP30" s="91" t="str">
        <f t="shared" si="265"/>
        <v>-</v>
      </c>
      <c r="AQ30" s="93" t="str">
        <f t="shared" si="265"/>
        <v>-</v>
      </c>
      <c r="AR30" s="433" t="str">
        <f t="shared" si="265"/>
        <v>-</v>
      </c>
      <c r="AS30" s="91" t="str">
        <f t="shared" si="265"/>
        <v>-</v>
      </c>
      <c r="AT30" s="184" t="str">
        <f t="shared" si="265"/>
        <v>-</v>
      </c>
      <c r="AU30" s="92" t="str">
        <f t="shared" si="265"/>
        <v>-</v>
      </c>
      <c r="AV30" s="91" t="str">
        <f t="shared" si="265"/>
        <v>-</v>
      </c>
      <c r="AW30" s="93" t="str">
        <f t="shared" si="265"/>
        <v>-</v>
      </c>
      <c r="AX30" s="92" t="str">
        <f t="shared" si="265"/>
        <v>-</v>
      </c>
      <c r="AY30" s="91" t="str">
        <f t="shared" si="265"/>
        <v>-</v>
      </c>
      <c r="AZ30" s="93" t="str">
        <f t="shared" si="265"/>
        <v>-</v>
      </c>
      <c r="BA30" s="92" t="str">
        <f t="shared" si="265"/>
        <v>-</v>
      </c>
      <c r="BB30" s="91" t="str">
        <f t="shared" si="265"/>
        <v>-</v>
      </c>
      <c r="BC30" s="93" t="str">
        <f t="shared" si="265"/>
        <v>-</v>
      </c>
      <c r="BD30" s="92" t="str">
        <f t="shared" si="265"/>
        <v>-</v>
      </c>
      <c r="BE30" s="91" t="str">
        <f t="shared" si="265"/>
        <v>-</v>
      </c>
      <c r="BF30" s="93" t="str">
        <f t="shared" si="265"/>
        <v>-</v>
      </c>
      <c r="BG30" s="92" t="str">
        <f t="shared" si="265"/>
        <v>-</v>
      </c>
      <c r="BH30" s="91" t="str">
        <f t="shared" si="265"/>
        <v>-</v>
      </c>
      <c r="BI30" s="93" t="str">
        <f t="shared" si="265"/>
        <v>-</v>
      </c>
      <c r="BJ30" s="92" t="str">
        <f t="shared" si="265"/>
        <v>-</v>
      </c>
      <c r="BK30" s="91" t="str">
        <f t="shared" si="265"/>
        <v>-</v>
      </c>
      <c r="BL30" s="93" t="str">
        <f t="shared" si="265"/>
        <v>-</v>
      </c>
      <c r="BM30" s="92" t="str">
        <f t="shared" si="265"/>
        <v>-</v>
      </c>
      <c r="BN30" s="91" t="str">
        <f t="shared" si="265"/>
        <v>-</v>
      </c>
      <c r="BO30" s="93" t="str">
        <f t="shared" si="265"/>
        <v>-</v>
      </c>
      <c r="BP30" s="92" t="str">
        <f t="shared" si="265"/>
        <v>-</v>
      </c>
      <c r="BQ30" s="91" t="str">
        <f t="shared" ref="BQ30:CV30" si="266">IFERROR(BQ10/BQ18,"-")</f>
        <v>-</v>
      </c>
      <c r="BR30" s="93" t="str">
        <f t="shared" si="266"/>
        <v>-</v>
      </c>
      <c r="BS30" s="92" t="str">
        <f t="shared" si="266"/>
        <v>-</v>
      </c>
      <c r="BT30" s="91" t="str">
        <f t="shared" si="266"/>
        <v>-</v>
      </c>
      <c r="BU30" s="93" t="str">
        <f t="shared" si="266"/>
        <v>-</v>
      </c>
      <c r="BV30" s="92" t="str">
        <f t="shared" si="266"/>
        <v>-</v>
      </c>
      <c r="BW30" s="91" t="str">
        <f t="shared" si="266"/>
        <v>-</v>
      </c>
      <c r="BX30" s="93" t="str">
        <f t="shared" si="266"/>
        <v>-</v>
      </c>
      <c r="BY30" s="92" t="str">
        <f t="shared" si="266"/>
        <v>-</v>
      </c>
      <c r="BZ30" s="91" t="str">
        <f t="shared" si="266"/>
        <v>-</v>
      </c>
      <c r="CA30" s="93" t="str">
        <f t="shared" si="266"/>
        <v>-</v>
      </c>
      <c r="CB30" s="92" t="str">
        <f t="shared" si="266"/>
        <v>-</v>
      </c>
      <c r="CC30" s="91" t="str">
        <f t="shared" si="266"/>
        <v>-</v>
      </c>
      <c r="CD30" s="93" t="str">
        <f t="shared" si="266"/>
        <v>-</v>
      </c>
      <c r="CE30" s="433" t="str">
        <f t="shared" si="266"/>
        <v>-</v>
      </c>
      <c r="CF30" s="91" t="str">
        <f t="shared" si="266"/>
        <v>-</v>
      </c>
      <c r="CG30" s="184" t="str">
        <f t="shared" si="266"/>
        <v>-</v>
      </c>
      <c r="CH30" s="91" t="str">
        <f t="shared" si="266"/>
        <v>-</v>
      </c>
      <c r="CI30" s="91" t="str">
        <f t="shared" si="266"/>
        <v>-</v>
      </c>
      <c r="CJ30" s="93" t="str">
        <f t="shared" si="266"/>
        <v>-</v>
      </c>
      <c r="CK30" s="90" t="str">
        <f t="shared" si="266"/>
        <v>-</v>
      </c>
      <c r="CL30" s="91" t="str">
        <f t="shared" si="266"/>
        <v>-</v>
      </c>
      <c r="CM30" s="93" t="str">
        <f t="shared" si="266"/>
        <v>-</v>
      </c>
      <c r="CN30" s="90" t="str">
        <f t="shared" si="266"/>
        <v>-</v>
      </c>
      <c r="CO30" s="91" t="str">
        <f t="shared" si="266"/>
        <v>-</v>
      </c>
      <c r="CP30" s="93" t="str">
        <f t="shared" si="266"/>
        <v>-</v>
      </c>
      <c r="CQ30" s="90" t="str">
        <f t="shared" si="266"/>
        <v>-</v>
      </c>
      <c r="CR30" s="91" t="str">
        <f t="shared" si="266"/>
        <v>-</v>
      </c>
      <c r="CS30" s="93" t="str">
        <f t="shared" si="266"/>
        <v>-</v>
      </c>
      <c r="CT30" s="90" t="str">
        <f t="shared" si="266"/>
        <v>-</v>
      </c>
      <c r="CU30" s="91" t="str">
        <f t="shared" si="266"/>
        <v>-</v>
      </c>
      <c r="CV30" s="93" t="str">
        <f t="shared" si="266"/>
        <v>-</v>
      </c>
      <c r="CW30" s="90" t="str">
        <f t="shared" ref="CW30:DT30" si="267">IFERROR(CW10/CW18,"-")</f>
        <v>-</v>
      </c>
      <c r="CX30" s="91" t="str">
        <f t="shared" si="267"/>
        <v>-</v>
      </c>
      <c r="CY30" s="93" t="str">
        <f t="shared" si="267"/>
        <v>-</v>
      </c>
      <c r="CZ30" s="90" t="str">
        <f t="shared" si="267"/>
        <v>-</v>
      </c>
      <c r="DA30" s="91" t="str">
        <f t="shared" si="267"/>
        <v>-</v>
      </c>
      <c r="DB30" s="93" t="str">
        <f t="shared" si="267"/>
        <v>-</v>
      </c>
      <c r="DC30" s="90" t="str">
        <f t="shared" si="267"/>
        <v>-</v>
      </c>
      <c r="DD30" s="91" t="str">
        <f t="shared" si="267"/>
        <v>-</v>
      </c>
      <c r="DE30" s="93" t="str">
        <f t="shared" si="267"/>
        <v>-</v>
      </c>
      <c r="DF30" s="90" t="str">
        <f t="shared" si="267"/>
        <v>-</v>
      </c>
      <c r="DG30" s="91" t="str">
        <f t="shared" si="267"/>
        <v>-</v>
      </c>
      <c r="DH30" s="93" t="str">
        <f t="shared" si="267"/>
        <v>-</v>
      </c>
      <c r="DI30" s="90" t="str">
        <f t="shared" si="267"/>
        <v>-</v>
      </c>
      <c r="DJ30" s="91" t="str">
        <f t="shared" si="267"/>
        <v>-</v>
      </c>
      <c r="DK30" s="93" t="str">
        <f t="shared" si="267"/>
        <v>-</v>
      </c>
      <c r="DL30" s="90" t="str">
        <f t="shared" si="267"/>
        <v>-</v>
      </c>
      <c r="DM30" s="91" t="str">
        <f t="shared" si="267"/>
        <v>-</v>
      </c>
      <c r="DN30" s="93" t="str">
        <f t="shared" si="267"/>
        <v>-</v>
      </c>
      <c r="DO30" s="90" t="str">
        <f t="shared" si="267"/>
        <v>-</v>
      </c>
      <c r="DP30" s="91" t="str">
        <f t="shared" si="267"/>
        <v>-</v>
      </c>
      <c r="DQ30" s="93" t="str">
        <f t="shared" si="267"/>
        <v>-</v>
      </c>
      <c r="DR30" s="433" t="str">
        <f t="shared" si="267"/>
        <v>-</v>
      </c>
      <c r="DS30" s="91" t="str">
        <f t="shared" si="267"/>
        <v>-</v>
      </c>
      <c r="DT30" s="184" t="str">
        <f t="shared" si="267"/>
        <v>-</v>
      </c>
    </row>
    <row r="31" spans="1:124" ht="14.25" customHeight="1">
      <c r="A31" s="23"/>
      <c r="B31" s="87"/>
      <c r="C31" s="88"/>
      <c r="D31" s="89"/>
      <c r="E31" s="433" t="str">
        <f t="shared" ref="E31:AJ31" si="268">IFERROR(E11/E19,"-")</f>
        <v>-</v>
      </c>
      <c r="F31" s="91" t="str">
        <f t="shared" si="268"/>
        <v>-</v>
      </c>
      <c r="G31" s="184" t="str">
        <f t="shared" si="268"/>
        <v>-</v>
      </c>
      <c r="H31" s="91" t="str">
        <f t="shared" si="268"/>
        <v>-</v>
      </c>
      <c r="I31" s="91" t="str">
        <f t="shared" si="268"/>
        <v>-</v>
      </c>
      <c r="J31" s="93" t="str">
        <f t="shared" si="268"/>
        <v>-</v>
      </c>
      <c r="K31" s="91" t="str">
        <f t="shared" si="268"/>
        <v>-</v>
      </c>
      <c r="L31" s="91" t="str">
        <f t="shared" si="268"/>
        <v>-</v>
      </c>
      <c r="M31" s="93" t="str">
        <f t="shared" si="268"/>
        <v>-</v>
      </c>
      <c r="N31" s="92" t="str">
        <f t="shared" si="268"/>
        <v>-</v>
      </c>
      <c r="O31" s="91" t="str">
        <f t="shared" si="268"/>
        <v>-</v>
      </c>
      <c r="P31" s="93" t="str">
        <f t="shared" si="268"/>
        <v>-</v>
      </c>
      <c r="Q31" s="92" t="str">
        <f t="shared" si="268"/>
        <v>-</v>
      </c>
      <c r="R31" s="91" t="str">
        <f t="shared" si="268"/>
        <v>-</v>
      </c>
      <c r="S31" s="93" t="str">
        <f t="shared" si="268"/>
        <v>-</v>
      </c>
      <c r="T31" s="92" t="str">
        <f t="shared" si="268"/>
        <v>-</v>
      </c>
      <c r="U31" s="91" t="str">
        <f t="shared" si="268"/>
        <v>-</v>
      </c>
      <c r="V31" s="93" t="str">
        <f t="shared" si="268"/>
        <v>-</v>
      </c>
      <c r="W31" s="92" t="str">
        <f t="shared" si="268"/>
        <v>-</v>
      </c>
      <c r="X31" s="91" t="str">
        <f t="shared" si="268"/>
        <v>-</v>
      </c>
      <c r="Y31" s="93" t="str">
        <f t="shared" si="268"/>
        <v>-</v>
      </c>
      <c r="Z31" s="92" t="str">
        <f t="shared" si="268"/>
        <v>-</v>
      </c>
      <c r="AA31" s="91" t="str">
        <f t="shared" si="268"/>
        <v>-</v>
      </c>
      <c r="AB31" s="93" t="str">
        <f t="shared" si="268"/>
        <v>-</v>
      </c>
      <c r="AC31" s="92" t="str">
        <f t="shared" si="268"/>
        <v>-</v>
      </c>
      <c r="AD31" s="91" t="str">
        <f t="shared" si="268"/>
        <v>-</v>
      </c>
      <c r="AE31" s="93" t="str">
        <f t="shared" si="268"/>
        <v>-</v>
      </c>
      <c r="AF31" s="92" t="str">
        <f t="shared" si="268"/>
        <v>-</v>
      </c>
      <c r="AG31" s="91" t="str">
        <f t="shared" si="268"/>
        <v>-</v>
      </c>
      <c r="AH31" s="93" t="str">
        <f t="shared" si="268"/>
        <v>-</v>
      </c>
      <c r="AI31" s="92" t="str">
        <f t="shared" si="268"/>
        <v>-</v>
      </c>
      <c r="AJ31" s="91" t="str">
        <f t="shared" si="268"/>
        <v>-</v>
      </c>
      <c r="AK31" s="93" t="str">
        <f t="shared" ref="AK31:BP31" si="269">IFERROR(AK11/AK19,"-")</f>
        <v>-</v>
      </c>
      <c r="AL31" s="92" t="str">
        <f t="shared" si="269"/>
        <v>-</v>
      </c>
      <c r="AM31" s="91" t="str">
        <f t="shared" si="269"/>
        <v>-</v>
      </c>
      <c r="AN31" s="93" t="str">
        <f t="shared" si="269"/>
        <v>-</v>
      </c>
      <c r="AO31" s="92" t="str">
        <f t="shared" si="269"/>
        <v>-</v>
      </c>
      <c r="AP31" s="91" t="str">
        <f t="shared" si="269"/>
        <v>-</v>
      </c>
      <c r="AQ31" s="93" t="str">
        <f t="shared" si="269"/>
        <v>-</v>
      </c>
      <c r="AR31" s="433" t="str">
        <f t="shared" si="269"/>
        <v>-</v>
      </c>
      <c r="AS31" s="91" t="str">
        <f t="shared" si="269"/>
        <v>-</v>
      </c>
      <c r="AT31" s="184" t="str">
        <f t="shared" si="269"/>
        <v>-</v>
      </c>
      <c r="AU31" s="92" t="str">
        <f t="shared" si="269"/>
        <v>-</v>
      </c>
      <c r="AV31" s="91" t="str">
        <f t="shared" si="269"/>
        <v>-</v>
      </c>
      <c r="AW31" s="93" t="str">
        <f t="shared" si="269"/>
        <v>-</v>
      </c>
      <c r="AX31" s="92" t="str">
        <f t="shared" si="269"/>
        <v>-</v>
      </c>
      <c r="AY31" s="91" t="str">
        <f t="shared" si="269"/>
        <v>-</v>
      </c>
      <c r="AZ31" s="93" t="str">
        <f t="shared" si="269"/>
        <v>-</v>
      </c>
      <c r="BA31" s="92" t="str">
        <f t="shared" si="269"/>
        <v>-</v>
      </c>
      <c r="BB31" s="91" t="str">
        <f t="shared" si="269"/>
        <v>-</v>
      </c>
      <c r="BC31" s="93" t="str">
        <f t="shared" si="269"/>
        <v>-</v>
      </c>
      <c r="BD31" s="92" t="str">
        <f t="shared" si="269"/>
        <v>-</v>
      </c>
      <c r="BE31" s="91" t="str">
        <f t="shared" si="269"/>
        <v>-</v>
      </c>
      <c r="BF31" s="93" t="str">
        <f t="shared" si="269"/>
        <v>-</v>
      </c>
      <c r="BG31" s="92" t="str">
        <f t="shared" si="269"/>
        <v>-</v>
      </c>
      <c r="BH31" s="91" t="str">
        <f t="shared" si="269"/>
        <v>-</v>
      </c>
      <c r="BI31" s="93" t="str">
        <f t="shared" si="269"/>
        <v>-</v>
      </c>
      <c r="BJ31" s="92" t="str">
        <f t="shared" si="269"/>
        <v>-</v>
      </c>
      <c r="BK31" s="91" t="str">
        <f t="shared" si="269"/>
        <v>-</v>
      </c>
      <c r="BL31" s="93" t="str">
        <f t="shared" si="269"/>
        <v>-</v>
      </c>
      <c r="BM31" s="92" t="str">
        <f t="shared" si="269"/>
        <v>-</v>
      </c>
      <c r="BN31" s="91" t="str">
        <f t="shared" si="269"/>
        <v>-</v>
      </c>
      <c r="BO31" s="93" t="str">
        <f t="shared" si="269"/>
        <v>-</v>
      </c>
      <c r="BP31" s="92" t="str">
        <f t="shared" si="269"/>
        <v>-</v>
      </c>
      <c r="BQ31" s="91" t="str">
        <f t="shared" ref="BQ31:CV31" si="270">IFERROR(BQ11/BQ19,"-")</f>
        <v>-</v>
      </c>
      <c r="BR31" s="93" t="str">
        <f t="shared" si="270"/>
        <v>-</v>
      </c>
      <c r="BS31" s="92" t="str">
        <f t="shared" si="270"/>
        <v>-</v>
      </c>
      <c r="BT31" s="91" t="str">
        <f t="shared" si="270"/>
        <v>-</v>
      </c>
      <c r="BU31" s="93" t="str">
        <f t="shared" si="270"/>
        <v>-</v>
      </c>
      <c r="BV31" s="92" t="str">
        <f t="shared" si="270"/>
        <v>-</v>
      </c>
      <c r="BW31" s="91" t="str">
        <f t="shared" si="270"/>
        <v>-</v>
      </c>
      <c r="BX31" s="93" t="str">
        <f t="shared" si="270"/>
        <v>-</v>
      </c>
      <c r="BY31" s="92" t="str">
        <f t="shared" si="270"/>
        <v>-</v>
      </c>
      <c r="BZ31" s="91" t="str">
        <f t="shared" si="270"/>
        <v>-</v>
      </c>
      <c r="CA31" s="93" t="str">
        <f t="shared" si="270"/>
        <v>-</v>
      </c>
      <c r="CB31" s="92" t="str">
        <f t="shared" si="270"/>
        <v>-</v>
      </c>
      <c r="CC31" s="91" t="str">
        <f t="shared" si="270"/>
        <v>-</v>
      </c>
      <c r="CD31" s="93" t="str">
        <f t="shared" si="270"/>
        <v>-</v>
      </c>
      <c r="CE31" s="433" t="str">
        <f t="shared" si="270"/>
        <v>-</v>
      </c>
      <c r="CF31" s="91" t="str">
        <f t="shared" si="270"/>
        <v>-</v>
      </c>
      <c r="CG31" s="184" t="str">
        <f t="shared" si="270"/>
        <v>-</v>
      </c>
      <c r="CH31" s="91" t="str">
        <f t="shared" si="270"/>
        <v>-</v>
      </c>
      <c r="CI31" s="91" t="str">
        <f t="shared" si="270"/>
        <v>-</v>
      </c>
      <c r="CJ31" s="93" t="str">
        <f t="shared" si="270"/>
        <v>-</v>
      </c>
      <c r="CK31" s="90" t="str">
        <f t="shared" si="270"/>
        <v>-</v>
      </c>
      <c r="CL31" s="91" t="str">
        <f t="shared" si="270"/>
        <v>-</v>
      </c>
      <c r="CM31" s="93" t="str">
        <f t="shared" si="270"/>
        <v>-</v>
      </c>
      <c r="CN31" s="90" t="str">
        <f t="shared" si="270"/>
        <v>-</v>
      </c>
      <c r="CO31" s="91" t="str">
        <f t="shared" si="270"/>
        <v>-</v>
      </c>
      <c r="CP31" s="93" t="str">
        <f t="shared" si="270"/>
        <v>-</v>
      </c>
      <c r="CQ31" s="90" t="str">
        <f t="shared" si="270"/>
        <v>-</v>
      </c>
      <c r="CR31" s="91" t="str">
        <f t="shared" si="270"/>
        <v>-</v>
      </c>
      <c r="CS31" s="93" t="str">
        <f t="shared" si="270"/>
        <v>-</v>
      </c>
      <c r="CT31" s="90" t="str">
        <f t="shared" si="270"/>
        <v>-</v>
      </c>
      <c r="CU31" s="91" t="str">
        <f t="shared" si="270"/>
        <v>-</v>
      </c>
      <c r="CV31" s="93" t="str">
        <f t="shared" si="270"/>
        <v>-</v>
      </c>
      <c r="CW31" s="90" t="str">
        <f t="shared" ref="CW31:DT31" si="271">IFERROR(CW11/CW19,"-")</f>
        <v>-</v>
      </c>
      <c r="CX31" s="91" t="str">
        <f t="shared" si="271"/>
        <v>-</v>
      </c>
      <c r="CY31" s="93" t="str">
        <f t="shared" si="271"/>
        <v>-</v>
      </c>
      <c r="CZ31" s="90" t="str">
        <f t="shared" si="271"/>
        <v>-</v>
      </c>
      <c r="DA31" s="91" t="str">
        <f t="shared" si="271"/>
        <v>-</v>
      </c>
      <c r="DB31" s="93" t="str">
        <f t="shared" si="271"/>
        <v>-</v>
      </c>
      <c r="DC31" s="90" t="str">
        <f t="shared" si="271"/>
        <v>-</v>
      </c>
      <c r="DD31" s="91" t="str">
        <f t="shared" si="271"/>
        <v>-</v>
      </c>
      <c r="DE31" s="93" t="str">
        <f t="shared" si="271"/>
        <v>-</v>
      </c>
      <c r="DF31" s="90" t="str">
        <f t="shared" si="271"/>
        <v>-</v>
      </c>
      <c r="DG31" s="91" t="str">
        <f t="shared" si="271"/>
        <v>-</v>
      </c>
      <c r="DH31" s="93" t="str">
        <f t="shared" si="271"/>
        <v>-</v>
      </c>
      <c r="DI31" s="90" t="str">
        <f t="shared" si="271"/>
        <v>-</v>
      </c>
      <c r="DJ31" s="91" t="str">
        <f t="shared" si="271"/>
        <v>-</v>
      </c>
      <c r="DK31" s="93" t="str">
        <f t="shared" si="271"/>
        <v>-</v>
      </c>
      <c r="DL31" s="90" t="str">
        <f t="shared" si="271"/>
        <v>-</v>
      </c>
      <c r="DM31" s="91" t="str">
        <f t="shared" si="271"/>
        <v>-</v>
      </c>
      <c r="DN31" s="93" t="str">
        <f t="shared" si="271"/>
        <v>-</v>
      </c>
      <c r="DO31" s="90" t="str">
        <f t="shared" si="271"/>
        <v>-</v>
      </c>
      <c r="DP31" s="91" t="str">
        <f t="shared" si="271"/>
        <v>-</v>
      </c>
      <c r="DQ31" s="93" t="str">
        <f t="shared" si="271"/>
        <v>-</v>
      </c>
      <c r="DR31" s="433" t="str">
        <f t="shared" si="271"/>
        <v>-</v>
      </c>
      <c r="DS31" s="91" t="str">
        <f t="shared" si="271"/>
        <v>-</v>
      </c>
      <c r="DT31" s="184" t="str">
        <f t="shared" si="271"/>
        <v>-</v>
      </c>
    </row>
    <row r="32" spans="1:124" ht="14.25" customHeight="1">
      <c r="A32" s="23"/>
      <c r="B32" s="87"/>
      <c r="C32" s="88"/>
      <c r="D32" s="89"/>
      <c r="E32" s="433" t="str">
        <f t="shared" ref="E32:AJ32" si="272">IFERROR(E12/E20,"-")</f>
        <v>-</v>
      </c>
      <c r="F32" s="91" t="str">
        <f t="shared" si="272"/>
        <v>-</v>
      </c>
      <c r="G32" s="184" t="str">
        <f t="shared" si="272"/>
        <v>-</v>
      </c>
      <c r="H32" s="91" t="str">
        <f t="shared" si="272"/>
        <v>-</v>
      </c>
      <c r="I32" s="91" t="str">
        <f t="shared" si="272"/>
        <v>-</v>
      </c>
      <c r="J32" s="93" t="str">
        <f t="shared" si="272"/>
        <v>-</v>
      </c>
      <c r="K32" s="91" t="str">
        <f t="shared" si="272"/>
        <v>-</v>
      </c>
      <c r="L32" s="91" t="str">
        <f t="shared" si="272"/>
        <v>-</v>
      </c>
      <c r="M32" s="93" t="str">
        <f t="shared" si="272"/>
        <v>-</v>
      </c>
      <c r="N32" s="92" t="str">
        <f t="shared" si="272"/>
        <v>-</v>
      </c>
      <c r="O32" s="91" t="str">
        <f t="shared" si="272"/>
        <v>-</v>
      </c>
      <c r="P32" s="93" t="str">
        <f t="shared" si="272"/>
        <v>-</v>
      </c>
      <c r="Q32" s="92" t="str">
        <f t="shared" si="272"/>
        <v>-</v>
      </c>
      <c r="R32" s="91" t="str">
        <f t="shared" si="272"/>
        <v>-</v>
      </c>
      <c r="S32" s="93" t="str">
        <f t="shared" si="272"/>
        <v>-</v>
      </c>
      <c r="T32" s="92" t="str">
        <f t="shared" si="272"/>
        <v>-</v>
      </c>
      <c r="U32" s="91" t="str">
        <f t="shared" si="272"/>
        <v>-</v>
      </c>
      <c r="V32" s="93" t="str">
        <f t="shared" si="272"/>
        <v>-</v>
      </c>
      <c r="W32" s="92" t="str">
        <f t="shared" si="272"/>
        <v>-</v>
      </c>
      <c r="X32" s="91" t="str">
        <f t="shared" si="272"/>
        <v>-</v>
      </c>
      <c r="Y32" s="93" t="str">
        <f t="shared" si="272"/>
        <v>-</v>
      </c>
      <c r="Z32" s="92" t="str">
        <f t="shared" si="272"/>
        <v>-</v>
      </c>
      <c r="AA32" s="91" t="str">
        <f t="shared" si="272"/>
        <v>-</v>
      </c>
      <c r="AB32" s="93" t="str">
        <f t="shared" si="272"/>
        <v>-</v>
      </c>
      <c r="AC32" s="92" t="str">
        <f t="shared" si="272"/>
        <v>-</v>
      </c>
      <c r="AD32" s="91" t="str">
        <f t="shared" si="272"/>
        <v>-</v>
      </c>
      <c r="AE32" s="93" t="str">
        <f t="shared" si="272"/>
        <v>-</v>
      </c>
      <c r="AF32" s="92" t="str">
        <f t="shared" si="272"/>
        <v>-</v>
      </c>
      <c r="AG32" s="91" t="str">
        <f t="shared" si="272"/>
        <v>-</v>
      </c>
      <c r="AH32" s="93" t="str">
        <f t="shared" si="272"/>
        <v>-</v>
      </c>
      <c r="AI32" s="92" t="str">
        <f t="shared" si="272"/>
        <v>-</v>
      </c>
      <c r="AJ32" s="91" t="str">
        <f t="shared" si="272"/>
        <v>-</v>
      </c>
      <c r="AK32" s="93" t="str">
        <f t="shared" ref="AK32:BP32" si="273">IFERROR(AK12/AK20,"-")</f>
        <v>-</v>
      </c>
      <c r="AL32" s="92" t="str">
        <f t="shared" si="273"/>
        <v>-</v>
      </c>
      <c r="AM32" s="91" t="str">
        <f t="shared" si="273"/>
        <v>-</v>
      </c>
      <c r="AN32" s="93" t="str">
        <f t="shared" si="273"/>
        <v>-</v>
      </c>
      <c r="AO32" s="92" t="str">
        <f t="shared" si="273"/>
        <v>-</v>
      </c>
      <c r="AP32" s="91" t="str">
        <f t="shared" si="273"/>
        <v>-</v>
      </c>
      <c r="AQ32" s="93" t="str">
        <f t="shared" si="273"/>
        <v>-</v>
      </c>
      <c r="AR32" s="433" t="str">
        <f t="shared" si="273"/>
        <v>-</v>
      </c>
      <c r="AS32" s="91" t="str">
        <f t="shared" si="273"/>
        <v>-</v>
      </c>
      <c r="AT32" s="184" t="str">
        <f t="shared" si="273"/>
        <v>-</v>
      </c>
      <c r="AU32" s="92" t="str">
        <f t="shared" si="273"/>
        <v>-</v>
      </c>
      <c r="AV32" s="91" t="str">
        <f t="shared" si="273"/>
        <v>-</v>
      </c>
      <c r="AW32" s="93" t="str">
        <f t="shared" si="273"/>
        <v>-</v>
      </c>
      <c r="AX32" s="92" t="str">
        <f t="shared" si="273"/>
        <v>-</v>
      </c>
      <c r="AY32" s="91" t="str">
        <f t="shared" si="273"/>
        <v>-</v>
      </c>
      <c r="AZ32" s="93" t="str">
        <f t="shared" si="273"/>
        <v>-</v>
      </c>
      <c r="BA32" s="92" t="str">
        <f t="shared" si="273"/>
        <v>-</v>
      </c>
      <c r="BB32" s="91" t="str">
        <f t="shared" si="273"/>
        <v>-</v>
      </c>
      <c r="BC32" s="93" t="str">
        <f t="shared" si="273"/>
        <v>-</v>
      </c>
      <c r="BD32" s="92" t="str">
        <f t="shared" si="273"/>
        <v>-</v>
      </c>
      <c r="BE32" s="91" t="str">
        <f t="shared" si="273"/>
        <v>-</v>
      </c>
      <c r="BF32" s="93" t="str">
        <f t="shared" si="273"/>
        <v>-</v>
      </c>
      <c r="BG32" s="92" t="str">
        <f t="shared" si="273"/>
        <v>-</v>
      </c>
      <c r="BH32" s="91" t="str">
        <f t="shared" si="273"/>
        <v>-</v>
      </c>
      <c r="BI32" s="93" t="str">
        <f t="shared" si="273"/>
        <v>-</v>
      </c>
      <c r="BJ32" s="92" t="str">
        <f t="shared" si="273"/>
        <v>-</v>
      </c>
      <c r="BK32" s="91" t="str">
        <f t="shared" si="273"/>
        <v>-</v>
      </c>
      <c r="BL32" s="93" t="str">
        <f t="shared" si="273"/>
        <v>-</v>
      </c>
      <c r="BM32" s="92" t="str">
        <f t="shared" si="273"/>
        <v>-</v>
      </c>
      <c r="BN32" s="91" t="str">
        <f t="shared" si="273"/>
        <v>-</v>
      </c>
      <c r="BO32" s="93" t="str">
        <f t="shared" si="273"/>
        <v>-</v>
      </c>
      <c r="BP32" s="92" t="str">
        <f t="shared" si="273"/>
        <v>-</v>
      </c>
      <c r="BQ32" s="91" t="str">
        <f t="shared" ref="BQ32:CV32" si="274">IFERROR(BQ12/BQ20,"-")</f>
        <v>-</v>
      </c>
      <c r="BR32" s="93" t="str">
        <f t="shared" si="274"/>
        <v>-</v>
      </c>
      <c r="BS32" s="92" t="str">
        <f t="shared" si="274"/>
        <v>-</v>
      </c>
      <c r="BT32" s="91" t="str">
        <f t="shared" si="274"/>
        <v>-</v>
      </c>
      <c r="BU32" s="93" t="str">
        <f t="shared" si="274"/>
        <v>-</v>
      </c>
      <c r="BV32" s="92" t="str">
        <f t="shared" si="274"/>
        <v>-</v>
      </c>
      <c r="BW32" s="91" t="str">
        <f t="shared" si="274"/>
        <v>-</v>
      </c>
      <c r="BX32" s="93" t="str">
        <f t="shared" si="274"/>
        <v>-</v>
      </c>
      <c r="BY32" s="92" t="str">
        <f t="shared" si="274"/>
        <v>-</v>
      </c>
      <c r="BZ32" s="91" t="str">
        <f t="shared" si="274"/>
        <v>-</v>
      </c>
      <c r="CA32" s="93" t="str">
        <f t="shared" si="274"/>
        <v>-</v>
      </c>
      <c r="CB32" s="92" t="str">
        <f t="shared" si="274"/>
        <v>-</v>
      </c>
      <c r="CC32" s="91" t="str">
        <f t="shared" si="274"/>
        <v>-</v>
      </c>
      <c r="CD32" s="93" t="str">
        <f t="shared" si="274"/>
        <v>-</v>
      </c>
      <c r="CE32" s="433" t="str">
        <f t="shared" si="274"/>
        <v>-</v>
      </c>
      <c r="CF32" s="91" t="str">
        <f t="shared" si="274"/>
        <v>-</v>
      </c>
      <c r="CG32" s="184" t="str">
        <f t="shared" si="274"/>
        <v>-</v>
      </c>
      <c r="CH32" s="91" t="str">
        <f t="shared" si="274"/>
        <v>-</v>
      </c>
      <c r="CI32" s="91" t="str">
        <f t="shared" si="274"/>
        <v>-</v>
      </c>
      <c r="CJ32" s="93" t="str">
        <f t="shared" si="274"/>
        <v>-</v>
      </c>
      <c r="CK32" s="90" t="str">
        <f t="shared" si="274"/>
        <v>-</v>
      </c>
      <c r="CL32" s="91" t="str">
        <f t="shared" si="274"/>
        <v>-</v>
      </c>
      <c r="CM32" s="93" t="str">
        <f t="shared" si="274"/>
        <v>-</v>
      </c>
      <c r="CN32" s="90" t="str">
        <f t="shared" si="274"/>
        <v>-</v>
      </c>
      <c r="CO32" s="91" t="str">
        <f t="shared" si="274"/>
        <v>-</v>
      </c>
      <c r="CP32" s="93" t="str">
        <f t="shared" si="274"/>
        <v>-</v>
      </c>
      <c r="CQ32" s="90" t="str">
        <f t="shared" si="274"/>
        <v>-</v>
      </c>
      <c r="CR32" s="91" t="str">
        <f t="shared" si="274"/>
        <v>-</v>
      </c>
      <c r="CS32" s="93" t="str">
        <f t="shared" si="274"/>
        <v>-</v>
      </c>
      <c r="CT32" s="90" t="str">
        <f t="shared" si="274"/>
        <v>-</v>
      </c>
      <c r="CU32" s="91" t="str">
        <f t="shared" si="274"/>
        <v>-</v>
      </c>
      <c r="CV32" s="93" t="str">
        <f t="shared" si="274"/>
        <v>-</v>
      </c>
      <c r="CW32" s="90" t="str">
        <f t="shared" ref="CW32:DT32" si="275">IFERROR(CW12/CW20,"-")</f>
        <v>-</v>
      </c>
      <c r="CX32" s="91" t="str">
        <f t="shared" si="275"/>
        <v>-</v>
      </c>
      <c r="CY32" s="93" t="str">
        <f t="shared" si="275"/>
        <v>-</v>
      </c>
      <c r="CZ32" s="90" t="str">
        <f t="shared" si="275"/>
        <v>-</v>
      </c>
      <c r="DA32" s="91" t="str">
        <f t="shared" si="275"/>
        <v>-</v>
      </c>
      <c r="DB32" s="93" t="str">
        <f t="shared" si="275"/>
        <v>-</v>
      </c>
      <c r="DC32" s="90" t="str">
        <f t="shared" si="275"/>
        <v>-</v>
      </c>
      <c r="DD32" s="91" t="str">
        <f t="shared" si="275"/>
        <v>-</v>
      </c>
      <c r="DE32" s="93" t="str">
        <f t="shared" si="275"/>
        <v>-</v>
      </c>
      <c r="DF32" s="90" t="str">
        <f t="shared" si="275"/>
        <v>-</v>
      </c>
      <c r="DG32" s="91" t="str">
        <f t="shared" si="275"/>
        <v>-</v>
      </c>
      <c r="DH32" s="93" t="str">
        <f t="shared" si="275"/>
        <v>-</v>
      </c>
      <c r="DI32" s="90" t="str">
        <f t="shared" si="275"/>
        <v>-</v>
      </c>
      <c r="DJ32" s="91" t="str">
        <f t="shared" si="275"/>
        <v>-</v>
      </c>
      <c r="DK32" s="93" t="str">
        <f t="shared" si="275"/>
        <v>-</v>
      </c>
      <c r="DL32" s="90" t="str">
        <f t="shared" si="275"/>
        <v>-</v>
      </c>
      <c r="DM32" s="91" t="str">
        <f t="shared" si="275"/>
        <v>-</v>
      </c>
      <c r="DN32" s="93" t="str">
        <f t="shared" si="275"/>
        <v>-</v>
      </c>
      <c r="DO32" s="90" t="str">
        <f t="shared" si="275"/>
        <v>-</v>
      </c>
      <c r="DP32" s="91" t="str">
        <f t="shared" si="275"/>
        <v>-</v>
      </c>
      <c r="DQ32" s="93" t="str">
        <f t="shared" si="275"/>
        <v>-</v>
      </c>
      <c r="DR32" s="433" t="str">
        <f t="shared" si="275"/>
        <v>-</v>
      </c>
      <c r="DS32" s="91" t="str">
        <f t="shared" si="275"/>
        <v>-</v>
      </c>
      <c r="DT32" s="184" t="str">
        <f t="shared" si="275"/>
        <v>-</v>
      </c>
    </row>
    <row r="33" spans="1:124" ht="14.25" customHeight="1">
      <c r="A33" s="23"/>
      <c r="B33" s="87"/>
      <c r="C33" s="88"/>
      <c r="D33" s="89"/>
      <c r="E33" s="433"/>
      <c r="F33" s="91"/>
      <c r="G33" s="184"/>
      <c r="H33" s="91"/>
      <c r="I33" s="91"/>
      <c r="J33" s="93"/>
      <c r="K33" s="91"/>
      <c r="L33" s="91"/>
      <c r="M33" s="93"/>
      <c r="N33" s="91"/>
      <c r="O33" s="91"/>
      <c r="P33" s="93"/>
      <c r="Q33" s="91"/>
      <c r="R33" s="91"/>
      <c r="S33" s="93"/>
      <c r="T33" s="91"/>
      <c r="U33" s="91"/>
      <c r="V33" s="93"/>
      <c r="W33" s="91"/>
      <c r="X33" s="91"/>
      <c r="Y33" s="93"/>
      <c r="Z33" s="91"/>
      <c r="AA33" s="91"/>
      <c r="AB33" s="93"/>
      <c r="AC33" s="91"/>
      <c r="AD33" s="91"/>
      <c r="AE33" s="93"/>
      <c r="AF33" s="91"/>
      <c r="AG33" s="91"/>
      <c r="AH33" s="93"/>
      <c r="AI33" s="91"/>
      <c r="AJ33" s="91"/>
      <c r="AK33" s="93"/>
      <c r="AL33" s="91"/>
      <c r="AM33" s="91"/>
      <c r="AN33" s="93"/>
      <c r="AO33" s="91"/>
      <c r="AP33" s="91"/>
      <c r="AQ33" s="93"/>
      <c r="AR33" s="433"/>
      <c r="AS33" s="91"/>
      <c r="AT33" s="184"/>
      <c r="AU33" s="91"/>
      <c r="AV33" s="91"/>
      <c r="AW33" s="93"/>
      <c r="AX33" s="91"/>
      <c r="AY33" s="91"/>
      <c r="AZ33" s="93"/>
      <c r="BA33" s="91"/>
      <c r="BB33" s="91"/>
      <c r="BC33" s="93"/>
      <c r="BD33" s="91"/>
      <c r="BE33" s="91"/>
      <c r="BF33" s="93"/>
      <c r="BG33" s="91"/>
      <c r="BH33" s="91"/>
      <c r="BI33" s="93"/>
      <c r="BJ33" s="91"/>
      <c r="BK33" s="91"/>
      <c r="BL33" s="93"/>
      <c r="BM33" s="91"/>
      <c r="BN33" s="91"/>
      <c r="BO33" s="93"/>
      <c r="BP33" s="91"/>
      <c r="BQ33" s="91"/>
      <c r="BR33" s="93"/>
      <c r="BS33" s="91"/>
      <c r="BT33" s="91"/>
      <c r="BU33" s="93"/>
      <c r="BV33" s="91"/>
      <c r="BW33" s="91"/>
      <c r="BX33" s="93"/>
      <c r="BY33" s="91"/>
      <c r="BZ33" s="91"/>
      <c r="CA33" s="93"/>
      <c r="CB33" s="91"/>
      <c r="CC33" s="91"/>
      <c r="CD33" s="93"/>
      <c r="CE33" s="433"/>
      <c r="CF33" s="91"/>
      <c r="CG33" s="184"/>
      <c r="CH33" s="91"/>
      <c r="CI33" s="91"/>
      <c r="CJ33" s="93"/>
      <c r="CK33" s="90"/>
      <c r="CL33" s="91"/>
      <c r="CM33" s="93"/>
      <c r="CN33" s="90"/>
      <c r="CO33" s="91"/>
      <c r="CP33" s="93"/>
      <c r="CQ33" s="90"/>
      <c r="CR33" s="91"/>
      <c r="CS33" s="93"/>
      <c r="CT33" s="90"/>
      <c r="CU33" s="91"/>
      <c r="CV33" s="93"/>
      <c r="CW33" s="90"/>
      <c r="CX33" s="91"/>
      <c r="CY33" s="93"/>
      <c r="CZ33" s="90"/>
      <c r="DA33" s="91"/>
      <c r="DB33" s="93"/>
      <c r="DC33" s="90"/>
      <c r="DD33" s="91"/>
      <c r="DE33" s="93"/>
      <c r="DF33" s="90"/>
      <c r="DG33" s="91"/>
      <c r="DH33" s="93"/>
      <c r="DI33" s="90"/>
      <c r="DJ33" s="91"/>
      <c r="DK33" s="93"/>
      <c r="DL33" s="90"/>
      <c r="DM33" s="91"/>
      <c r="DN33" s="93"/>
      <c r="DO33" s="90"/>
      <c r="DP33" s="91"/>
      <c r="DQ33" s="93"/>
      <c r="DR33" s="433"/>
      <c r="DS33" s="91"/>
      <c r="DT33" s="184"/>
    </row>
    <row r="34" spans="1:124" ht="14.25" customHeight="1">
      <c r="A34" s="23"/>
      <c r="B34" s="96" t="s">
        <v>70</v>
      </c>
      <c r="C34" s="97" t="s">
        <v>2</v>
      </c>
      <c r="D34" s="98" t="s">
        <v>241</v>
      </c>
      <c r="E34" s="431">
        <f t="shared" ref="E34:BP34" si="276">SUM(E35:E40)</f>
        <v>0</v>
      </c>
      <c r="F34" s="169">
        <f t="shared" si="276"/>
        <v>0</v>
      </c>
      <c r="G34" s="432">
        <f t="shared" si="276"/>
        <v>0</v>
      </c>
      <c r="H34" s="169">
        <f t="shared" si="276"/>
        <v>0</v>
      </c>
      <c r="I34" s="169">
        <f t="shared" si="276"/>
        <v>0</v>
      </c>
      <c r="J34" s="545">
        <f t="shared" si="276"/>
        <v>0</v>
      </c>
      <c r="K34" s="169">
        <f t="shared" si="276"/>
        <v>0</v>
      </c>
      <c r="L34" s="169">
        <f t="shared" si="276"/>
        <v>0</v>
      </c>
      <c r="M34" s="545">
        <f t="shared" si="276"/>
        <v>0</v>
      </c>
      <c r="N34" s="168">
        <f t="shared" si="276"/>
        <v>0</v>
      </c>
      <c r="O34" s="169">
        <f t="shared" si="276"/>
        <v>0</v>
      </c>
      <c r="P34" s="545">
        <f t="shared" si="276"/>
        <v>0</v>
      </c>
      <c r="Q34" s="168">
        <f t="shared" si="276"/>
        <v>0</v>
      </c>
      <c r="R34" s="169">
        <f t="shared" si="276"/>
        <v>0</v>
      </c>
      <c r="S34" s="545">
        <f t="shared" si="276"/>
        <v>0</v>
      </c>
      <c r="T34" s="168">
        <f t="shared" si="276"/>
        <v>0</v>
      </c>
      <c r="U34" s="169">
        <f t="shared" si="276"/>
        <v>0</v>
      </c>
      <c r="V34" s="545">
        <f t="shared" si="276"/>
        <v>0</v>
      </c>
      <c r="W34" s="168">
        <f t="shared" si="276"/>
        <v>0</v>
      </c>
      <c r="X34" s="169">
        <f t="shared" si="276"/>
        <v>0</v>
      </c>
      <c r="Y34" s="545">
        <f t="shared" si="276"/>
        <v>0</v>
      </c>
      <c r="Z34" s="168">
        <f t="shared" si="276"/>
        <v>0</v>
      </c>
      <c r="AA34" s="169">
        <f t="shared" si="276"/>
        <v>0</v>
      </c>
      <c r="AB34" s="545">
        <f t="shared" si="276"/>
        <v>0</v>
      </c>
      <c r="AC34" s="168">
        <f t="shared" si="276"/>
        <v>0</v>
      </c>
      <c r="AD34" s="169">
        <f t="shared" si="276"/>
        <v>0</v>
      </c>
      <c r="AE34" s="545">
        <f t="shared" si="276"/>
        <v>0</v>
      </c>
      <c r="AF34" s="168">
        <f t="shared" si="276"/>
        <v>0</v>
      </c>
      <c r="AG34" s="169">
        <f t="shared" si="276"/>
        <v>0</v>
      </c>
      <c r="AH34" s="545">
        <f t="shared" si="276"/>
        <v>0</v>
      </c>
      <c r="AI34" s="168">
        <f t="shared" si="276"/>
        <v>0</v>
      </c>
      <c r="AJ34" s="169">
        <f t="shared" si="276"/>
        <v>0</v>
      </c>
      <c r="AK34" s="545">
        <f t="shared" si="276"/>
        <v>0</v>
      </c>
      <c r="AL34" s="168">
        <f t="shared" si="276"/>
        <v>0</v>
      </c>
      <c r="AM34" s="169">
        <f t="shared" si="276"/>
        <v>0</v>
      </c>
      <c r="AN34" s="545">
        <f t="shared" si="276"/>
        <v>0</v>
      </c>
      <c r="AO34" s="168">
        <f t="shared" si="276"/>
        <v>0</v>
      </c>
      <c r="AP34" s="169">
        <f t="shared" si="276"/>
        <v>0</v>
      </c>
      <c r="AQ34" s="545">
        <f t="shared" si="276"/>
        <v>0</v>
      </c>
      <c r="AR34" s="431">
        <f t="shared" si="276"/>
        <v>0</v>
      </c>
      <c r="AS34" s="169">
        <f t="shared" si="276"/>
        <v>0</v>
      </c>
      <c r="AT34" s="432">
        <f t="shared" si="276"/>
        <v>0</v>
      </c>
      <c r="AU34" s="168">
        <f t="shared" si="276"/>
        <v>0</v>
      </c>
      <c r="AV34" s="169">
        <f t="shared" si="276"/>
        <v>0</v>
      </c>
      <c r="AW34" s="545">
        <f t="shared" si="276"/>
        <v>0</v>
      </c>
      <c r="AX34" s="168">
        <f t="shared" si="276"/>
        <v>0</v>
      </c>
      <c r="AY34" s="169">
        <f t="shared" si="276"/>
        <v>0</v>
      </c>
      <c r="AZ34" s="545">
        <f t="shared" si="276"/>
        <v>0</v>
      </c>
      <c r="BA34" s="168">
        <f t="shared" si="276"/>
        <v>0</v>
      </c>
      <c r="BB34" s="169">
        <f t="shared" si="276"/>
        <v>0</v>
      </c>
      <c r="BC34" s="545">
        <f t="shared" si="276"/>
        <v>0</v>
      </c>
      <c r="BD34" s="168">
        <f t="shared" si="276"/>
        <v>0</v>
      </c>
      <c r="BE34" s="169">
        <f t="shared" si="276"/>
        <v>0</v>
      </c>
      <c r="BF34" s="545">
        <f t="shared" si="276"/>
        <v>0</v>
      </c>
      <c r="BG34" s="168">
        <f t="shared" si="276"/>
        <v>0</v>
      </c>
      <c r="BH34" s="169">
        <f t="shared" si="276"/>
        <v>0</v>
      </c>
      <c r="BI34" s="545">
        <f t="shared" si="276"/>
        <v>0</v>
      </c>
      <c r="BJ34" s="168">
        <f t="shared" si="276"/>
        <v>0</v>
      </c>
      <c r="BK34" s="169">
        <f t="shared" si="276"/>
        <v>0</v>
      </c>
      <c r="BL34" s="545">
        <f t="shared" si="276"/>
        <v>0</v>
      </c>
      <c r="BM34" s="168">
        <f t="shared" si="276"/>
        <v>0</v>
      </c>
      <c r="BN34" s="169">
        <f t="shared" si="276"/>
        <v>0</v>
      </c>
      <c r="BO34" s="545">
        <f t="shared" si="276"/>
        <v>0</v>
      </c>
      <c r="BP34" s="168">
        <f t="shared" si="276"/>
        <v>0</v>
      </c>
      <c r="BQ34" s="169">
        <f t="shared" ref="BQ34:DT34" si="277">SUM(BQ35:BQ40)</f>
        <v>0</v>
      </c>
      <c r="BR34" s="545">
        <f t="shared" si="277"/>
        <v>0</v>
      </c>
      <c r="BS34" s="168">
        <f t="shared" si="277"/>
        <v>0</v>
      </c>
      <c r="BT34" s="169">
        <f t="shared" si="277"/>
        <v>0</v>
      </c>
      <c r="BU34" s="545">
        <f t="shared" si="277"/>
        <v>0</v>
      </c>
      <c r="BV34" s="168">
        <f t="shared" si="277"/>
        <v>0</v>
      </c>
      <c r="BW34" s="169">
        <f t="shared" si="277"/>
        <v>0</v>
      </c>
      <c r="BX34" s="545">
        <f t="shared" si="277"/>
        <v>0</v>
      </c>
      <c r="BY34" s="168">
        <f t="shared" si="277"/>
        <v>0</v>
      </c>
      <c r="BZ34" s="169">
        <f t="shared" si="277"/>
        <v>0</v>
      </c>
      <c r="CA34" s="545">
        <f t="shared" si="277"/>
        <v>0</v>
      </c>
      <c r="CB34" s="168">
        <f t="shared" si="277"/>
        <v>0</v>
      </c>
      <c r="CC34" s="169">
        <f t="shared" si="277"/>
        <v>0</v>
      </c>
      <c r="CD34" s="545">
        <f t="shared" si="277"/>
        <v>0</v>
      </c>
      <c r="CE34" s="446">
        <f t="shared" si="277"/>
        <v>0</v>
      </c>
      <c r="CF34" s="179">
        <f t="shared" si="277"/>
        <v>0</v>
      </c>
      <c r="CG34" s="447">
        <f t="shared" si="277"/>
        <v>0</v>
      </c>
      <c r="CH34" s="169">
        <f t="shared" si="277"/>
        <v>0</v>
      </c>
      <c r="CI34" s="169">
        <f t="shared" si="277"/>
        <v>0</v>
      </c>
      <c r="CJ34" s="545">
        <f t="shared" si="277"/>
        <v>0</v>
      </c>
      <c r="CK34" s="178">
        <f t="shared" si="277"/>
        <v>0</v>
      </c>
      <c r="CL34" s="179">
        <f t="shared" si="277"/>
        <v>0</v>
      </c>
      <c r="CM34" s="545">
        <f t="shared" si="277"/>
        <v>0</v>
      </c>
      <c r="CN34" s="178">
        <f t="shared" si="277"/>
        <v>0</v>
      </c>
      <c r="CO34" s="179">
        <f t="shared" si="277"/>
        <v>0</v>
      </c>
      <c r="CP34" s="545">
        <f t="shared" si="277"/>
        <v>0</v>
      </c>
      <c r="CQ34" s="178">
        <f t="shared" si="277"/>
        <v>0</v>
      </c>
      <c r="CR34" s="179">
        <f t="shared" si="277"/>
        <v>0</v>
      </c>
      <c r="CS34" s="545">
        <f t="shared" si="277"/>
        <v>0</v>
      </c>
      <c r="CT34" s="178">
        <f t="shared" si="277"/>
        <v>0</v>
      </c>
      <c r="CU34" s="179">
        <f t="shared" si="277"/>
        <v>0</v>
      </c>
      <c r="CV34" s="545">
        <f t="shared" si="277"/>
        <v>0</v>
      </c>
      <c r="CW34" s="178">
        <f t="shared" si="277"/>
        <v>0</v>
      </c>
      <c r="CX34" s="179">
        <f t="shared" si="277"/>
        <v>0</v>
      </c>
      <c r="CY34" s="545">
        <f t="shared" si="277"/>
        <v>0</v>
      </c>
      <c r="CZ34" s="178">
        <f t="shared" si="277"/>
        <v>0</v>
      </c>
      <c r="DA34" s="179">
        <f t="shared" si="277"/>
        <v>0</v>
      </c>
      <c r="DB34" s="545">
        <f t="shared" si="277"/>
        <v>0</v>
      </c>
      <c r="DC34" s="178">
        <f t="shared" si="277"/>
        <v>0</v>
      </c>
      <c r="DD34" s="179">
        <f t="shared" si="277"/>
        <v>0</v>
      </c>
      <c r="DE34" s="545">
        <f t="shared" si="277"/>
        <v>0</v>
      </c>
      <c r="DF34" s="178">
        <f t="shared" si="277"/>
        <v>0</v>
      </c>
      <c r="DG34" s="179">
        <f t="shared" si="277"/>
        <v>0</v>
      </c>
      <c r="DH34" s="545">
        <f t="shared" si="277"/>
        <v>0</v>
      </c>
      <c r="DI34" s="178">
        <f t="shared" si="277"/>
        <v>0</v>
      </c>
      <c r="DJ34" s="179">
        <f t="shared" si="277"/>
        <v>0</v>
      </c>
      <c r="DK34" s="545">
        <f t="shared" si="277"/>
        <v>0</v>
      </c>
      <c r="DL34" s="178">
        <f t="shared" si="277"/>
        <v>0</v>
      </c>
      <c r="DM34" s="179">
        <f t="shared" si="277"/>
        <v>0</v>
      </c>
      <c r="DN34" s="545">
        <f t="shared" si="277"/>
        <v>0</v>
      </c>
      <c r="DO34" s="178">
        <f t="shared" si="277"/>
        <v>0</v>
      </c>
      <c r="DP34" s="179">
        <f t="shared" si="277"/>
        <v>0</v>
      </c>
      <c r="DQ34" s="545">
        <f t="shared" si="277"/>
        <v>0</v>
      </c>
      <c r="DR34" s="446">
        <f t="shared" si="277"/>
        <v>0</v>
      </c>
      <c r="DS34" s="179">
        <f t="shared" si="277"/>
        <v>0</v>
      </c>
      <c r="DT34" s="447">
        <f t="shared" si="277"/>
        <v>0</v>
      </c>
    </row>
    <row r="35" spans="1:124" ht="14.25" customHeight="1">
      <c r="A35" s="23"/>
      <c r="B35" s="87"/>
      <c r="C35" s="88"/>
      <c r="D35" s="555" t="s">
        <v>242</v>
      </c>
      <c r="E35" s="433"/>
      <c r="F35" s="91"/>
      <c r="G35" s="184">
        <f>SUM(E35:F35)</f>
        <v>0</v>
      </c>
      <c r="H35" s="91"/>
      <c r="I35" s="91"/>
      <c r="J35" s="93">
        <f>SUM(H35:I35)</f>
        <v>0</v>
      </c>
      <c r="K35" s="91"/>
      <c r="L35" s="91"/>
      <c r="M35" s="93">
        <f>SUM(K35:L35)</f>
        <v>0</v>
      </c>
      <c r="N35" s="92"/>
      <c r="O35" s="91"/>
      <c r="P35" s="93">
        <f>SUM(N35:O35)</f>
        <v>0</v>
      </c>
      <c r="Q35" s="92"/>
      <c r="R35" s="91"/>
      <c r="S35" s="93">
        <f>SUM(Q35:R35)</f>
        <v>0</v>
      </c>
      <c r="T35" s="92"/>
      <c r="U35" s="91"/>
      <c r="V35" s="93">
        <f>SUM(T35:U35)</f>
        <v>0</v>
      </c>
      <c r="W35" s="92"/>
      <c r="X35" s="91"/>
      <c r="Y35" s="93">
        <f>SUM(W35:X35)</f>
        <v>0</v>
      </c>
      <c r="Z35" s="92"/>
      <c r="AA35" s="91"/>
      <c r="AB35" s="93">
        <f>SUM(Z35:AA35)</f>
        <v>0</v>
      </c>
      <c r="AC35" s="92"/>
      <c r="AD35" s="91"/>
      <c r="AE35" s="93">
        <f>SUM(AC35:AD35)</f>
        <v>0</v>
      </c>
      <c r="AF35" s="92"/>
      <c r="AG35" s="91"/>
      <c r="AH35" s="93">
        <f>SUM(AF35:AG35)</f>
        <v>0</v>
      </c>
      <c r="AI35" s="92"/>
      <c r="AJ35" s="91"/>
      <c r="AK35" s="93">
        <f>SUM(AI35:AJ35)</f>
        <v>0</v>
      </c>
      <c r="AL35" s="92"/>
      <c r="AM35" s="91"/>
      <c r="AN35" s="93">
        <f>SUM(AL35:AM35)</f>
        <v>0</v>
      </c>
      <c r="AO35" s="92"/>
      <c r="AP35" s="91"/>
      <c r="AQ35" s="93">
        <f>SUM(AO35:AP35)</f>
        <v>0</v>
      </c>
      <c r="AR35" s="433">
        <f t="shared" ref="AR35:AR40" si="278">AO35+AL35+AI35+AF35+AC35+Z35+W35+T35+Q35+N35+K35+H35</f>
        <v>0</v>
      </c>
      <c r="AS35" s="91">
        <f t="shared" ref="AS35:AS40" si="279">AP35+AM35+AJ35+AG35+AD35+AA35+X35+U35+R35+O35+L35+I35</f>
        <v>0</v>
      </c>
      <c r="AT35" s="184">
        <f>SUM(AR35:AS35)</f>
        <v>0</v>
      </c>
      <c r="AU35" s="92"/>
      <c r="AV35" s="91"/>
      <c r="AW35" s="93">
        <f>SUM(AU35:AV35)</f>
        <v>0</v>
      </c>
      <c r="AX35" s="92"/>
      <c r="AY35" s="91"/>
      <c r="AZ35" s="93">
        <f>SUM(AX35:AY35)</f>
        <v>0</v>
      </c>
      <c r="BA35" s="92"/>
      <c r="BB35" s="91"/>
      <c r="BC35" s="93">
        <f>SUM(BA35:BB35)</f>
        <v>0</v>
      </c>
      <c r="BD35" s="92"/>
      <c r="BE35" s="91"/>
      <c r="BF35" s="93">
        <f>SUM(BD35:BE35)</f>
        <v>0</v>
      </c>
      <c r="BG35" s="92"/>
      <c r="BH35" s="91"/>
      <c r="BI35" s="93">
        <f>SUM(BG35:BH35)</f>
        <v>0</v>
      </c>
      <c r="BJ35" s="92"/>
      <c r="BK35" s="91"/>
      <c r="BL35" s="93">
        <f>SUM(BJ35:BK35)</f>
        <v>0</v>
      </c>
      <c r="BM35" s="92"/>
      <c r="BN35" s="91"/>
      <c r="BO35" s="93">
        <f>SUM(BM35:BN35)</f>
        <v>0</v>
      </c>
      <c r="BP35" s="92"/>
      <c r="BQ35" s="91"/>
      <c r="BR35" s="93">
        <f>SUM(BP35:BQ35)</f>
        <v>0</v>
      </c>
      <c r="BS35" s="92"/>
      <c r="BT35" s="91"/>
      <c r="BU35" s="93">
        <f>SUM(BS35:BT35)</f>
        <v>0</v>
      </c>
      <c r="BV35" s="92"/>
      <c r="BW35" s="91"/>
      <c r="BX35" s="93">
        <f>SUM(BV35:BW35)</f>
        <v>0</v>
      </c>
      <c r="BY35" s="92"/>
      <c r="BZ35" s="91"/>
      <c r="CA35" s="93">
        <f>SUM(BY35:BZ35)</f>
        <v>0</v>
      </c>
      <c r="CB35" s="92"/>
      <c r="CC35" s="91"/>
      <c r="CD35" s="93">
        <f>SUM(CB35:CC35)</f>
        <v>0</v>
      </c>
      <c r="CE35" s="438">
        <f>CB35+BY35+BV35+BS35+BP35+BM35+BJ35+BG35+BD35+BA35+AX35+AU35</f>
        <v>0</v>
      </c>
      <c r="CF35" s="175">
        <f>CC35+BZ35+BW35+BT35+BQ35+BN35+BK35+BH35+BE35+BB35+AY35+AV35</f>
        <v>0</v>
      </c>
      <c r="CG35" s="439">
        <f>SUM(CE35:CF35)</f>
        <v>0</v>
      </c>
      <c r="CH35" s="91"/>
      <c r="CI35" s="91"/>
      <c r="CJ35" s="93">
        <f>SUM(CH35:CI35)</f>
        <v>0</v>
      </c>
      <c r="CK35" s="174"/>
      <c r="CL35" s="175"/>
      <c r="CM35" s="93">
        <f t="shared" ref="CM35:CM40" si="280">SUM(CK35:CL35)</f>
        <v>0</v>
      </c>
      <c r="CN35" s="174"/>
      <c r="CO35" s="175"/>
      <c r="CP35" s="93">
        <f t="shared" ref="CP35:CP40" si="281">SUM(CN35:CO35)</f>
        <v>0</v>
      </c>
      <c r="CQ35" s="174"/>
      <c r="CR35" s="175"/>
      <c r="CS35" s="93">
        <f t="shared" ref="CS35:CS40" si="282">SUM(CQ35:CR35)</f>
        <v>0</v>
      </c>
      <c r="CT35" s="174"/>
      <c r="CU35" s="175"/>
      <c r="CV35" s="93">
        <f t="shared" ref="CV35:CV40" si="283">SUM(CT35:CU35)</f>
        <v>0</v>
      </c>
      <c r="CW35" s="174"/>
      <c r="CX35" s="175"/>
      <c r="CY35" s="93">
        <f t="shared" ref="CY35:CY40" si="284">SUM(CW35:CX35)</f>
        <v>0</v>
      </c>
      <c r="CZ35" s="174"/>
      <c r="DA35" s="175"/>
      <c r="DB35" s="93">
        <f t="shared" ref="DB35:DB40" si="285">SUM(CZ35:DA35)</f>
        <v>0</v>
      </c>
      <c r="DC35" s="174"/>
      <c r="DD35" s="175"/>
      <c r="DE35" s="93">
        <f t="shared" ref="DE35:DE40" si="286">SUM(DC35:DD35)</f>
        <v>0</v>
      </c>
      <c r="DF35" s="174"/>
      <c r="DG35" s="175"/>
      <c r="DH35" s="93">
        <f t="shared" ref="DH35:DH40" si="287">SUM(DF35:DG35)</f>
        <v>0</v>
      </c>
      <c r="DI35" s="174"/>
      <c r="DJ35" s="175"/>
      <c r="DK35" s="93">
        <f t="shared" ref="DK35:DK40" si="288">SUM(DI35:DJ35)</f>
        <v>0</v>
      </c>
      <c r="DL35" s="174"/>
      <c r="DM35" s="175"/>
      <c r="DN35" s="93">
        <f t="shared" ref="DN35:DN40" si="289">SUM(DL35:DM35)</f>
        <v>0</v>
      </c>
      <c r="DO35" s="174"/>
      <c r="DP35" s="175"/>
      <c r="DQ35" s="93">
        <f t="shared" ref="DQ35:DQ40" si="290">SUM(DO35:DP35)</f>
        <v>0</v>
      </c>
      <c r="DR35" s="438">
        <f>DO35+DL35+DI35+DF35+DC35+CZ35+CW35+CT35+CQ35+CN35+CK35+CH35</f>
        <v>0</v>
      </c>
      <c r="DS35" s="175">
        <f>DP35+DM35+DJ35+DG35+DD35+DA35+CX35+CU35+CR35+CO35+CL35+CI35</f>
        <v>0</v>
      </c>
      <c r="DT35" s="439">
        <f>SUM(DR35:DS35)</f>
        <v>0</v>
      </c>
    </row>
    <row r="36" spans="1:124" ht="14.25" customHeight="1">
      <c r="A36" s="23"/>
      <c r="B36" s="87"/>
      <c r="C36" s="88"/>
      <c r="D36" s="89"/>
      <c r="E36" s="433"/>
      <c r="F36" s="91"/>
      <c r="G36" s="184">
        <f t="shared" ref="G36" si="291">SUM(E36:F36)</f>
        <v>0</v>
      </c>
      <c r="H36" s="91"/>
      <c r="I36" s="91"/>
      <c r="J36" s="93">
        <f t="shared" ref="J36" si="292">SUM(H36:I36)</f>
        <v>0</v>
      </c>
      <c r="K36" s="91"/>
      <c r="L36" s="91"/>
      <c r="M36" s="93">
        <f t="shared" ref="M36" si="293">SUM(K36:L36)</f>
        <v>0</v>
      </c>
      <c r="N36" s="92"/>
      <c r="O36" s="91"/>
      <c r="P36" s="93">
        <f t="shared" ref="P36" si="294">SUM(N36:O36)</f>
        <v>0</v>
      </c>
      <c r="Q36" s="92"/>
      <c r="R36" s="91"/>
      <c r="S36" s="93">
        <f t="shared" ref="S36" si="295">SUM(Q36:R36)</f>
        <v>0</v>
      </c>
      <c r="T36" s="92"/>
      <c r="U36" s="91"/>
      <c r="V36" s="93">
        <f t="shared" ref="V36" si="296">SUM(T36:U36)</f>
        <v>0</v>
      </c>
      <c r="W36" s="92"/>
      <c r="X36" s="91"/>
      <c r="Y36" s="93">
        <f t="shared" ref="Y36" si="297">SUM(W36:X36)</f>
        <v>0</v>
      </c>
      <c r="Z36" s="92"/>
      <c r="AA36" s="91"/>
      <c r="AB36" s="93">
        <f t="shared" ref="AB36" si="298">SUM(Z36:AA36)</f>
        <v>0</v>
      </c>
      <c r="AC36" s="92"/>
      <c r="AD36" s="91"/>
      <c r="AE36" s="93">
        <f t="shared" ref="AE36" si="299">SUM(AC36:AD36)</f>
        <v>0</v>
      </c>
      <c r="AF36" s="92"/>
      <c r="AG36" s="91"/>
      <c r="AH36" s="93">
        <f t="shared" ref="AH36" si="300">SUM(AF36:AG36)</f>
        <v>0</v>
      </c>
      <c r="AI36" s="92"/>
      <c r="AJ36" s="91"/>
      <c r="AK36" s="93">
        <f t="shared" ref="AK36" si="301">SUM(AI36:AJ36)</f>
        <v>0</v>
      </c>
      <c r="AL36" s="92"/>
      <c r="AM36" s="91"/>
      <c r="AN36" s="93">
        <f t="shared" ref="AN36" si="302">SUM(AL36:AM36)</f>
        <v>0</v>
      </c>
      <c r="AO36" s="92"/>
      <c r="AP36" s="91"/>
      <c r="AQ36" s="93">
        <f t="shared" ref="AQ36" si="303">SUM(AO36:AP36)</f>
        <v>0</v>
      </c>
      <c r="AR36" s="433">
        <f t="shared" si="278"/>
        <v>0</v>
      </c>
      <c r="AS36" s="91">
        <f t="shared" si="279"/>
        <v>0</v>
      </c>
      <c r="AT36" s="184">
        <f t="shared" ref="AT36" si="304">SUM(AR36:AS36)</f>
        <v>0</v>
      </c>
      <c r="AU36" s="92"/>
      <c r="AV36" s="91"/>
      <c r="AW36" s="93">
        <f t="shared" ref="AW36" si="305">SUM(AU36:AV36)</f>
        <v>0</v>
      </c>
      <c r="AX36" s="92"/>
      <c r="AY36" s="91"/>
      <c r="AZ36" s="93">
        <f t="shared" ref="AZ36" si="306">SUM(AX36:AY36)</f>
        <v>0</v>
      </c>
      <c r="BA36" s="92"/>
      <c r="BB36" s="91"/>
      <c r="BC36" s="93">
        <f t="shared" ref="BC36" si="307">SUM(BA36:BB36)</f>
        <v>0</v>
      </c>
      <c r="BD36" s="92"/>
      <c r="BE36" s="91"/>
      <c r="BF36" s="93">
        <f t="shared" ref="BF36" si="308">SUM(BD36:BE36)</f>
        <v>0</v>
      </c>
      <c r="BG36" s="92"/>
      <c r="BH36" s="91"/>
      <c r="BI36" s="93">
        <f t="shared" ref="BI36" si="309">SUM(BG36:BH36)</f>
        <v>0</v>
      </c>
      <c r="BJ36" s="92"/>
      <c r="BK36" s="91"/>
      <c r="BL36" s="93">
        <f t="shared" ref="BL36" si="310">SUM(BJ36:BK36)</f>
        <v>0</v>
      </c>
      <c r="BM36" s="92"/>
      <c r="BN36" s="91"/>
      <c r="BO36" s="93">
        <f t="shared" ref="BO36" si="311">SUM(BM36:BN36)</f>
        <v>0</v>
      </c>
      <c r="BP36" s="92"/>
      <c r="BQ36" s="91"/>
      <c r="BR36" s="93">
        <f t="shared" ref="BR36" si="312">SUM(BP36:BQ36)</f>
        <v>0</v>
      </c>
      <c r="BS36" s="92"/>
      <c r="BT36" s="91"/>
      <c r="BU36" s="93">
        <f t="shared" ref="BU36" si="313">SUM(BS36:BT36)</f>
        <v>0</v>
      </c>
      <c r="BV36" s="92"/>
      <c r="BW36" s="91"/>
      <c r="BX36" s="93">
        <f t="shared" ref="BX36" si="314">SUM(BV36:BW36)</f>
        <v>0</v>
      </c>
      <c r="BY36" s="92"/>
      <c r="BZ36" s="91"/>
      <c r="CA36" s="93">
        <f t="shared" ref="CA36" si="315">SUM(BY36:BZ36)</f>
        <v>0</v>
      </c>
      <c r="CB36" s="92"/>
      <c r="CC36" s="91"/>
      <c r="CD36" s="93">
        <f t="shared" ref="CD36" si="316">SUM(CB36:CC36)</f>
        <v>0</v>
      </c>
      <c r="CE36" s="438">
        <f t="shared" ref="CE36:CE40" si="317">CB36+BY36+BV36+BS36+BP36+BM36+BJ36+BG36+BD36+BA36+AX36+AU36</f>
        <v>0</v>
      </c>
      <c r="CF36" s="175">
        <f t="shared" ref="CF36:CF40" si="318">CC36+BZ36+BW36+BT36+BQ36+BN36+BK36+BH36+BE36+BB36+AY36+AV36</f>
        <v>0</v>
      </c>
      <c r="CG36" s="439">
        <f t="shared" ref="CG36:CG40" si="319">SUM(CE36:CF36)</f>
        <v>0</v>
      </c>
      <c r="CH36" s="91"/>
      <c r="CI36" s="91"/>
      <c r="CJ36" s="93">
        <f t="shared" ref="CJ36" si="320">SUM(CH36:CI36)</f>
        <v>0</v>
      </c>
      <c r="CK36" s="174"/>
      <c r="CL36" s="175"/>
      <c r="CM36" s="93">
        <f t="shared" si="280"/>
        <v>0</v>
      </c>
      <c r="CN36" s="174"/>
      <c r="CO36" s="175"/>
      <c r="CP36" s="93">
        <f t="shared" si="281"/>
        <v>0</v>
      </c>
      <c r="CQ36" s="174"/>
      <c r="CR36" s="175"/>
      <c r="CS36" s="93">
        <f t="shared" si="282"/>
        <v>0</v>
      </c>
      <c r="CT36" s="174"/>
      <c r="CU36" s="175"/>
      <c r="CV36" s="93">
        <f t="shared" si="283"/>
        <v>0</v>
      </c>
      <c r="CW36" s="174"/>
      <c r="CX36" s="175"/>
      <c r="CY36" s="93">
        <f t="shared" si="284"/>
        <v>0</v>
      </c>
      <c r="CZ36" s="174"/>
      <c r="DA36" s="175"/>
      <c r="DB36" s="93">
        <f t="shared" si="285"/>
        <v>0</v>
      </c>
      <c r="DC36" s="174"/>
      <c r="DD36" s="175"/>
      <c r="DE36" s="93">
        <f t="shared" si="286"/>
        <v>0</v>
      </c>
      <c r="DF36" s="174"/>
      <c r="DG36" s="175"/>
      <c r="DH36" s="93">
        <f t="shared" si="287"/>
        <v>0</v>
      </c>
      <c r="DI36" s="174"/>
      <c r="DJ36" s="175"/>
      <c r="DK36" s="93">
        <f t="shared" si="288"/>
        <v>0</v>
      </c>
      <c r="DL36" s="174"/>
      <c r="DM36" s="175"/>
      <c r="DN36" s="93">
        <f t="shared" si="289"/>
        <v>0</v>
      </c>
      <c r="DO36" s="174"/>
      <c r="DP36" s="175"/>
      <c r="DQ36" s="93">
        <f t="shared" si="290"/>
        <v>0</v>
      </c>
      <c r="DR36" s="438">
        <f t="shared" ref="DR36:DR40" si="321">DO36+DL36+DI36+DF36+DC36+CZ36+CW36+CT36+CQ36+CN36+CK36+CH36</f>
        <v>0</v>
      </c>
      <c r="DS36" s="175">
        <f t="shared" ref="DS36:DS40" si="322">DP36+DM36+DJ36+DG36+DD36+DA36+CX36+CU36+CR36+CO36+CL36+CI36</f>
        <v>0</v>
      </c>
      <c r="DT36" s="439">
        <f t="shared" ref="DT36:DT40" si="323">SUM(DR36:DS36)</f>
        <v>0</v>
      </c>
    </row>
    <row r="37" spans="1:124" ht="14.25" customHeight="1">
      <c r="A37" s="23"/>
      <c r="B37" s="87"/>
      <c r="C37" s="88"/>
      <c r="D37" s="89"/>
      <c r="E37" s="433"/>
      <c r="F37" s="91"/>
      <c r="G37" s="184">
        <f>SUM(E37:F37)</f>
        <v>0</v>
      </c>
      <c r="H37" s="91"/>
      <c r="I37" s="91"/>
      <c r="J37" s="93">
        <f>SUM(H37:I37)</f>
        <v>0</v>
      </c>
      <c r="K37" s="91"/>
      <c r="L37" s="91"/>
      <c r="M37" s="93">
        <f>SUM(K37:L37)</f>
        <v>0</v>
      </c>
      <c r="N37" s="92"/>
      <c r="O37" s="91"/>
      <c r="P37" s="93">
        <f>SUM(N37:O37)</f>
        <v>0</v>
      </c>
      <c r="Q37" s="92"/>
      <c r="R37" s="91"/>
      <c r="S37" s="93">
        <f>SUM(Q37:R37)</f>
        <v>0</v>
      </c>
      <c r="T37" s="92"/>
      <c r="U37" s="91"/>
      <c r="V37" s="93">
        <f>SUM(T37:U37)</f>
        <v>0</v>
      </c>
      <c r="W37" s="92"/>
      <c r="X37" s="91"/>
      <c r="Y37" s="93">
        <f>SUM(W37:X37)</f>
        <v>0</v>
      </c>
      <c r="Z37" s="92"/>
      <c r="AA37" s="91"/>
      <c r="AB37" s="93">
        <f>SUM(Z37:AA37)</f>
        <v>0</v>
      </c>
      <c r="AC37" s="92"/>
      <c r="AD37" s="91"/>
      <c r="AE37" s="93">
        <f>SUM(AC37:AD37)</f>
        <v>0</v>
      </c>
      <c r="AF37" s="92"/>
      <c r="AG37" s="91"/>
      <c r="AH37" s="93">
        <f>SUM(AF37:AG37)</f>
        <v>0</v>
      </c>
      <c r="AI37" s="92"/>
      <c r="AJ37" s="91"/>
      <c r="AK37" s="93">
        <f>SUM(AI37:AJ37)</f>
        <v>0</v>
      </c>
      <c r="AL37" s="92"/>
      <c r="AM37" s="91"/>
      <c r="AN37" s="93">
        <f>SUM(AL37:AM37)</f>
        <v>0</v>
      </c>
      <c r="AO37" s="92"/>
      <c r="AP37" s="91"/>
      <c r="AQ37" s="93">
        <f>SUM(AO37:AP37)</f>
        <v>0</v>
      </c>
      <c r="AR37" s="433">
        <f t="shared" si="278"/>
        <v>0</v>
      </c>
      <c r="AS37" s="91">
        <f t="shared" si="279"/>
        <v>0</v>
      </c>
      <c r="AT37" s="184">
        <f>SUM(AR37:AS37)</f>
        <v>0</v>
      </c>
      <c r="AU37" s="92"/>
      <c r="AV37" s="91"/>
      <c r="AW37" s="93">
        <f>SUM(AU37:AV37)</f>
        <v>0</v>
      </c>
      <c r="AX37" s="92"/>
      <c r="AY37" s="91"/>
      <c r="AZ37" s="93">
        <f>SUM(AX37:AY37)</f>
        <v>0</v>
      </c>
      <c r="BA37" s="92"/>
      <c r="BB37" s="91"/>
      <c r="BC37" s="93">
        <f>SUM(BA37:BB37)</f>
        <v>0</v>
      </c>
      <c r="BD37" s="92"/>
      <c r="BE37" s="91"/>
      <c r="BF37" s="93">
        <f>SUM(BD37:BE37)</f>
        <v>0</v>
      </c>
      <c r="BG37" s="92"/>
      <c r="BH37" s="91"/>
      <c r="BI37" s="93">
        <f>SUM(BG37:BH37)</f>
        <v>0</v>
      </c>
      <c r="BJ37" s="92"/>
      <c r="BK37" s="91"/>
      <c r="BL37" s="93">
        <f>SUM(BJ37:BK37)</f>
        <v>0</v>
      </c>
      <c r="BM37" s="92"/>
      <c r="BN37" s="91"/>
      <c r="BO37" s="93">
        <f>SUM(BM37:BN37)</f>
        <v>0</v>
      </c>
      <c r="BP37" s="92"/>
      <c r="BQ37" s="91"/>
      <c r="BR37" s="93">
        <f>SUM(BP37:BQ37)</f>
        <v>0</v>
      </c>
      <c r="BS37" s="92"/>
      <c r="BT37" s="91"/>
      <c r="BU37" s="93">
        <f>SUM(BS37:BT37)</f>
        <v>0</v>
      </c>
      <c r="BV37" s="92"/>
      <c r="BW37" s="91"/>
      <c r="BX37" s="93">
        <f>SUM(BV37:BW37)</f>
        <v>0</v>
      </c>
      <c r="BY37" s="92"/>
      <c r="BZ37" s="91"/>
      <c r="CA37" s="93">
        <f>SUM(BY37:BZ37)</f>
        <v>0</v>
      </c>
      <c r="CB37" s="92"/>
      <c r="CC37" s="91"/>
      <c r="CD37" s="93">
        <f>SUM(CB37:CC37)</f>
        <v>0</v>
      </c>
      <c r="CE37" s="438">
        <f t="shared" si="317"/>
        <v>0</v>
      </c>
      <c r="CF37" s="175">
        <f t="shared" si="318"/>
        <v>0</v>
      </c>
      <c r="CG37" s="439">
        <f t="shared" si="319"/>
        <v>0</v>
      </c>
      <c r="CH37" s="91"/>
      <c r="CI37" s="91"/>
      <c r="CJ37" s="93">
        <f>SUM(CH37:CI37)</f>
        <v>0</v>
      </c>
      <c r="CK37" s="174"/>
      <c r="CL37" s="175"/>
      <c r="CM37" s="93">
        <f t="shared" si="280"/>
        <v>0</v>
      </c>
      <c r="CN37" s="174"/>
      <c r="CO37" s="175"/>
      <c r="CP37" s="93">
        <f t="shared" si="281"/>
        <v>0</v>
      </c>
      <c r="CQ37" s="174"/>
      <c r="CR37" s="175"/>
      <c r="CS37" s="93">
        <f t="shared" si="282"/>
        <v>0</v>
      </c>
      <c r="CT37" s="174"/>
      <c r="CU37" s="175"/>
      <c r="CV37" s="93">
        <f t="shared" si="283"/>
        <v>0</v>
      </c>
      <c r="CW37" s="174"/>
      <c r="CX37" s="175"/>
      <c r="CY37" s="93">
        <f t="shared" si="284"/>
        <v>0</v>
      </c>
      <c r="CZ37" s="174"/>
      <c r="DA37" s="175"/>
      <c r="DB37" s="93">
        <f t="shared" si="285"/>
        <v>0</v>
      </c>
      <c r="DC37" s="174"/>
      <c r="DD37" s="175"/>
      <c r="DE37" s="93">
        <f t="shared" si="286"/>
        <v>0</v>
      </c>
      <c r="DF37" s="174"/>
      <c r="DG37" s="175"/>
      <c r="DH37" s="93">
        <f t="shared" si="287"/>
        <v>0</v>
      </c>
      <c r="DI37" s="174"/>
      <c r="DJ37" s="175"/>
      <c r="DK37" s="93">
        <f t="shared" si="288"/>
        <v>0</v>
      </c>
      <c r="DL37" s="174"/>
      <c r="DM37" s="175"/>
      <c r="DN37" s="93">
        <f t="shared" si="289"/>
        <v>0</v>
      </c>
      <c r="DO37" s="174"/>
      <c r="DP37" s="175"/>
      <c r="DQ37" s="93">
        <f t="shared" si="290"/>
        <v>0</v>
      </c>
      <c r="DR37" s="438">
        <f t="shared" si="321"/>
        <v>0</v>
      </c>
      <c r="DS37" s="175">
        <f t="shared" si="322"/>
        <v>0</v>
      </c>
      <c r="DT37" s="439">
        <f t="shared" si="323"/>
        <v>0</v>
      </c>
    </row>
    <row r="38" spans="1:124" ht="14.25" customHeight="1">
      <c r="A38" s="23"/>
      <c r="B38" s="87"/>
      <c r="C38" s="88"/>
      <c r="D38" s="89"/>
      <c r="E38" s="433"/>
      <c r="F38" s="91"/>
      <c r="G38" s="184">
        <f>SUM(E38:F38)</f>
        <v>0</v>
      </c>
      <c r="H38" s="91"/>
      <c r="I38" s="91"/>
      <c r="J38" s="93">
        <f>SUM(H38:I38)</f>
        <v>0</v>
      </c>
      <c r="K38" s="91"/>
      <c r="L38" s="91"/>
      <c r="M38" s="93">
        <f>SUM(K38:L38)</f>
        <v>0</v>
      </c>
      <c r="N38" s="92"/>
      <c r="O38" s="91"/>
      <c r="P38" s="93">
        <f>SUM(N38:O38)</f>
        <v>0</v>
      </c>
      <c r="Q38" s="92"/>
      <c r="R38" s="91"/>
      <c r="S38" s="93">
        <f>SUM(Q38:R38)</f>
        <v>0</v>
      </c>
      <c r="T38" s="92"/>
      <c r="U38" s="91"/>
      <c r="V38" s="93">
        <f>SUM(T38:U38)</f>
        <v>0</v>
      </c>
      <c r="W38" s="92"/>
      <c r="X38" s="91"/>
      <c r="Y38" s="93">
        <f>SUM(W38:X38)</f>
        <v>0</v>
      </c>
      <c r="Z38" s="92"/>
      <c r="AA38" s="91"/>
      <c r="AB38" s="93">
        <f>SUM(Z38:AA38)</f>
        <v>0</v>
      </c>
      <c r="AC38" s="92"/>
      <c r="AD38" s="91"/>
      <c r="AE38" s="93">
        <f>SUM(AC38:AD38)</f>
        <v>0</v>
      </c>
      <c r="AF38" s="92"/>
      <c r="AG38" s="91"/>
      <c r="AH38" s="93">
        <f>SUM(AF38:AG38)</f>
        <v>0</v>
      </c>
      <c r="AI38" s="92"/>
      <c r="AJ38" s="91"/>
      <c r="AK38" s="93">
        <f>SUM(AI38:AJ38)</f>
        <v>0</v>
      </c>
      <c r="AL38" s="92"/>
      <c r="AM38" s="91"/>
      <c r="AN38" s="93">
        <f>SUM(AL38:AM38)</f>
        <v>0</v>
      </c>
      <c r="AO38" s="92"/>
      <c r="AP38" s="91"/>
      <c r="AQ38" s="93">
        <f>SUM(AO38:AP38)</f>
        <v>0</v>
      </c>
      <c r="AR38" s="433">
        <f t="shared" si="278"/>
        <v>0</v>
      </c>
      <c r="AS38" s="91">
        <f t="shared" si="279"/>
        <v>0</v>
      </c>
      <c r="AT38" s="184">
        <f>SUM(AR38:AS38)</f>
        <v>0</v>
      </c>
      <c r="AU38" s="92"/>
      <c r="AV38" s="91"/>
      <c r="AW38" s="93">
        <f>SUM(AU38:AV38)</f>
        <v>0</v>
      </c>
      <c r="AX38" s="92"/>
      <c r="AY38" s="91"/>
      <c r="AZ38" s="93">
        <f>SUM(AX38:AY38)</f>
        <v>0</v>
      </c>
      <c r="BA38" s="92"/>
      <c r="BB38" s="91"/>
      <c r="BC38" s="93">
        <f>SUM(BA38:BB38)</f>
        <v>0</v>
      </c>
      <c r="BD38" s="92"/>
      <c r="BE38" s="91"/>
      <c r="BF38" s="93">
        <f>SUM(BD38:BE38)</f>
        <v>0</v>
      </c>
      <c r="BG38" s="92"/>
      <c r="BH38" s="91"/>
      <c r="BI38" s="93">
        <f>SUM(BG38:BH38)</f>
        <v>0</v>
      </c>
      <c r="BJ38" s="92"/>
      <c r="BK38" s="91"/>
      <c r="BL38" s="93">
        <f>SUM(BJ38:BK38)</f>
        <v>0</v>
      </c>
      <c r="BM38" s="92"/>
      <c r="BN38" s="91"/>
      <c r="BO38" s="93">
        <f>SUM(BM38:BN38)</f>
        <v>0</v>
      </c>
      <c r="BP38" s="92"/>
      <c r="BQ38" s="91"/>
      <c r="BR38" s="93">
        <f>SUM(BP38:BQ38)</f>
        <v>0</v>
      </c>
      <c r="BS38" s="92"/>
      <c r="BT38" s="91"/>
      <c r="BU38" s="93">
        <f>SUM(BS38:BT38)</f>
        <v>0</v>
      </c>
      <c r="BV38" s="92"/>
      <c r="BW38" s="91"/>
      <c r="BX38" s="93">
        <f>SUM(BV38:BW38)</f>
        <v>0</v>
      </c>
      <c r="BY38" s="92"/>
      <c r="BZ38" s="91"/>
      <c r="CA38" s="93">
        <f>SUM(BY38:BZ38)</f>
        <v>0</v>
      </c>
      <c r="CB38" s="92"/>
      <c r="CC38" s="91"/>
      <c r="CD38" s="93">
        <f>SUM(CB38:CC38)</f>
        <v>0</v>
      </c>
      <c r="CE38" s="438">
        <f t="shared" si="317"/>
        <v>0</v>
      </c>
      <c r="CF38" s="175">
        <f t="shared" si="318"/>
        <v>0</v>
      </c>
      <c r="CG38" s="439">
        <f t="shared" si="319"/>
        <v>0</v>
      </c>
      <c r="CH38" s="91"/>
      <c r="CI38" s="91"/>
      <c r="CJ38" s="93">
        <f>SUM(CH38:CI38)</f>
        <v>0</v>
      </c>
      <c r="CK38" s="174"/>
      <c r="CL38" s="175"/>
      <c r="CM38" s="93">
        <f t="shared" si="280"/>
        <v>0</v>
      </c>
      <c r="CN38" s="174"/>
      <c r="CO38" s="175"/>
      <c r="CP38" s="93">
        <f t="shared" si="281"/>
        <v>0</v>
      </c>
      <c r="CQ38" s="174"/>
      <c r="CR38" s="175"/>
      <c r="CS38" s="93">
        <f t="shared" si="282"/>
        <v>0</v>
      </c>
      <c r="CT38" s="174"/>
      <c r="CU38" s="175"/>
      <c r="CV38" s="93">
        <f t="shared" si="283"/>
        <v>0</v>
      </c>
      <c r="CW38" s="174"/>
      <c r="CX38" s="175"/>
      <c r="CY38" s="93">
        <f t="shared" si="284"/>
        <v>0</v>
      </c>
      <c r="CZ38" s="174"/>
      <c r="DA38" s="175"/>
      <c r="DB38" s="93">
        <f t="shared" si="285"/>
        <v>0</v>
      </c>
      <c r="DC38" s="174"/>
      <c r="DD38" s="175"/>
      <c r="DE38" s="93">
        <f t="shared" si="286"/>
        <v>0</v>
      </c>
      <c r="DF38" s="174"/>
      <c r="DG38" s="175"/>
      <c r="DH38" s="93">
        <f t="shared" si="287"/>
        <v>0</v>
      </c>
      <c r="DI38" s="174"/>
      <c r="DJ38" s="175"/>
      <c r="DK38" s="93">
        <f t="shared" si="288"/>
        <v>0</v>
      </c>
      <c r="DL38" s="174"/>
      <c r="DM38" s="175"/>
      <c r="DN38" s="93">
        <f t="shared" si="289"/>
        <v>0</v>
      </c>
      <c r="DO38" s="174"/>
      <c r="DP38" s="175"/>
      <c r="DQ38" s="93">
        <f t="shared" si="290"/>
        <v>0</v>
      </c>
      <c r="DR38" s="438">
        <f t="shared" si="321"/>
        <v>0</v>
      </c>
      <c r="DS38" s="175">
        <f t="shared" si="322"/>
        <v>0</v>
      </c>
      <c r="DT38" s="439">
        <f t="shared" si="323"/>
        <v>0</v>
      </c>
    </row>
    <row r="39" spans="1:124" ht="14.25" customHeight="1">
      <c r="A39" s="23"/>
      <c r="B39" s="87"/>
      <c r="C39" s="88"/>
      <c r="D39" s="89"/>
      <c r="E39" s="433"/>
      <c r="F39" s="91"/>
      <c r="G39" s="184">
        <f t="shared" ref="G39" si="324">SUM(E39:F39)</f>
        <v>0</v>
      </c>
      <c r="H39" s="91"/>
      <c r="I39" s="91"/>
      <c r="J39" s="93">
        <f t="shared" ref="J39" si="325">SUM(H39:I39)</f>
        <v>0</v>
      </c>
      <c r="K39" s="91"/>
      <c r="L39" s="91"/>
      <c r="M39" s="93">
        <f t="shared" ref="M39" si="326">SUM(K39:L39)</f>
        <v>0</v>
      </c>
      <c r="N39" s="92"/>
      <c r="O39" s="91"/>
      <c r="P39" s="93">
        <f t="shared" ref="P39" si="327">SUM(N39:O39)</f>
        <v>0</v>
      </c>
      <c r="Q39" s="92"/>
      <c r="R39" s="91"/>
      <c r="S39" s="93">
        <f t="shared" ref="S39" si="328">SUM(Q39:R39)</f>
        <v>0</v>
      </c>
      <c r="T39" s="92"/>
      <c r="U39" s="91"/>
      <c r="V39" s="93">
        <f t="shared" ref="V39" si="329">SUM(T39:U39)</f>
        <v>0</v>
      </c>
      <c r="W39" s="92"/>
      <c r="X39" s="91"/>
      <c r="Y39" s="93">
        <f t="shared" ref="Y39" si="330">SUM(W39:X39)</f>
        <v>0</v>
      </c>
      <c r="Z39" s="92"/>
      <c r="AA39" s="91"/>
      <c r="AB39" s="93">
        <f t="shared" ref="AB39" si="331">SUM(Z39:AA39)</f>
        <v>0</v>
      </c>
      <c r="AC39" s="92"/>
      <c r="AD39" s="91"/>
      <c r="AE39" s="93">
        <f t="shared" ref="AE39" si="332">SUM(AC39:AD39)</f>
        <v>0</v>
      </c>
      <c r="AF39" s="92"/>
      <c r="AG39" s="91"/>
      <c r="AH39" s="93">
        <f t="shared" ref="AH39" si="333">SUM(AF39:AG39)</f>
        <v>0</v>
      </c>
      <c r="AI39" s="92"/>
      <c r="AJ39" s="91"/>
      <c r="AK39" s="93">
        <f t="shared" ref="AK39" si="334">SUM(AI39:AJ39)</f>
        <v>0</v>
      </c>
      <c r="AL39" s="92"/>
      <c r="AM39" s="91"/>
      <c r="AN39" s="93">
        <f t="shared" ref="AN39" si="335">SUM(AL39:AM39)</f>
        <v>0</v>
      </c>
      <c r="AO39" s="92"/>
      <c r="AP39" s="91"/>
      <c r="AQ39" s="93">
        <f t="shared" ref="AQ39" si="336">SUM(AO39:AP39)</f>
        <v>0</v>
      </c>
      <c r="AR39" s="433">
        <f t="shared" si="278"/>
        <v>0</v>
      </c>
      <c r="AS39" s="91">
        <f t="shared" si="279"/>
        <v>0</v>
      </c>
      <c r="AT39" s="184">
        <f t="shared" ref="AT39" si="337">SUM(AR39:AS39)</f>
        <v>0</v>
      </c>
      <c r="AU39" s="92"/>
      <c r="AV39" s="91"/>
      <c r="AW39" s="93">
        <f t="shared" ref="AW39" si="338">SUM(AU39:AV39)</f>
        <v>0</v>
      </c>
      <c r="AX39" s="92"/>
      <c r="AY39" s="91"/>
      <c r="AZ39" s="93">
        <f t="shared" ref="AZ39" si="339">SUM(AX39:AY39)</f>
        <v>0</v>
      </c>
      <c r="BA39" s="92"/>
      <c r="BB39" s="91"/>
      <c r="BC39" s="93">
        <f t="shared" ref="BC39" si="340">SUM(BA39:BB39)</f>
        <v>0</v>
      </c>
      <c r="BD39" s="92"/>
      <c r="BE39" s="91"/>
      <c r="BF39" s="93">
        <f t="shared" ref="BF39" si="341">SUM(BD39:BE39)</f>
        <v>0</v>
      </c>
      <c r="BG39" s="92"/>
      <c r="BH39" s="91"/>
      <c r="BI39" s="93">
        <f t="shared" ref="BI39" si="342">SUM(BG39:BH39)</f>
        <v>0</v>
      </c>
      <c r="BJ39" s="92"/>
      <c r="BK39" s="91"/>
      <c r="BL39" s="93">
        <f t="shared" ref="BL39" si="343">SUM(BJ39:BK39)</f>
        <v>0</v>
      </c>
      <c r="BM39" s="92"/>
      <c r="BN39" s="91"/>
      <c r="BO39" s="93">
        <f t="shared" ref="BO39" si="344">SUM(BM39:BN39)</f>
        <v>0</v>
      </c>
      <c r="BP39" s="92"/>
      <c r="BQ39" s="91"/>
      <c r="BR39" s="93">
        <f t="shared" ref="BR39" si="345">SUM(BP39:BQ39)</f>
        <v>0</v>
      </c>
      <c r="BS39" s="92"/>
      <c r="BT39" s="91"/>
      <c r="BU39" s="93">
        <f t="shared" ref="BU39" si="346">SUM(BS39:BT39)</f>
        <v>0</v>
      </c>
      <c r="BV39" s="92"/>
      <c r="BW39" s="91"/>
      <c r="BX39" s="93">
        <f t="shared" ref="BX39" si="347">SUM(BV39:BW39)</f>
        <v>0</v>
      </c>
      <c r="BY39" s="92"/>
      <c r="BZ39" s="91"/>
      <c r="CA39" s="93">
        <f t="shared" ref="CA39" si="348">SUM(BY39:BZ39)</f>
        <v>0</v>
      </c>
      <c r="CB39" s="92"/>
      <c r="CC39" s="91"/>
      <c r="CD39" s="93">
        <f t="shared" ref="CD39" si="349">SUM(CB39:CC39)</f>
        <v>0</v>
      </c>
      <c r="CE39" s="438">
        <f t="shared" si="317"/>
        <v>0</v>
      </c>
      <c r="CF39" s="175">
        <f t="shared" si="318"/>
        <v>0</v>
      </c>
      <c r="CG39" s="439">
        <f t="shared" si="319"/>
        <v>0</v>
      </c>
      <c r="CH39" s="91"/>
      <c r="CI39" s="91"/>
      <c r="CJ39" s="93">
        <f t="shared" ref="CJ39" si="350">SUM(CH39:CI39)</f>
        <v>0</v>
      </c>
      <c r="CK39" s="174"/>
      <c r="CL39" s="175"/>
      <c r="CM39" s="93">
        <f t="shared" si="280"/>
        <v>0</v>
      </c>
      <c r="CN39" s="174"/>
      <c r="CO39" s="175"/>
      <c r="CP39" s="93">
        <f t="shared" si="281"/>
        <v>0</v>
      </c>
      <c r="CQ39" s="174"/>
      <c r="CR39" s="175"/>
      <c r="CS39" s="93">
        <f t="shared" si="282"/>
        <v>0</v>
      </c>
      <c r="CT39" s="174"/>
      <c r="CU39" s="175"/>
      <c r="CV39" s="93">
        <f t="shared" si="283"/>
        <v>0</v>
      </c>
      <c r="CW39" s="174"/>
      <c r="CX39" s="175"/>
      <c r="CY39" s="93">
        <f t="shared" si="284"/>
        <v>0</v>
      </c>
      <c r="CZ39" s="174"/>
      <c r="DA39" s="175"/>
      <c r="DB39" s="93">
        <f t="shared" si="285"/>
        <v>0</v>
      </c>
      <c r="DC39" s="174"/>
      <c r="DD39" s="175"/>
      <c r="DE39" s="93">
        <f t="shared" si="286"/>
        <v>0</v>
      </c>
      <c r="DF39" s="174"/>
      <c r="DG39" s="175"/>
      <c r="DH39" s="93">
        <f t="shared" si="287"/>
        <v>0</v>
      </c>
      <c r="DI39" s="174"/>
      <c r="DJ39" s="175"/>
      <c r="DK39" s="93">
        <f t="shared" si="288"/>
        <v>0</v>
      </c>
      <c r="DL39" s="174"/>
      <c r="DM39" s="175"/>
      <c r="DN39" s="93">
        <f t="shared" si="289"/>
        <v>0</v>
      </c>
      <c r="DO39" s="174"/>
      <c r="DP39" s="175"/>
      <c r="DQ39" s="93">
        <f t="shared" si="290"/>
        <v>0</v>
      </c>
      <c r="DR39" s="438">
        <f t="shared" si="321"/>
        <v>0</v>
      </c>
      <c r="DS39" s="175">
        <f t="shared" si="322"/>
        <v>0</v>
      </c>
      <c r="DT39" s="439">
        <f t="shared" si="323"/>
        <v>0</v>
      </c>
    </row>
    <row r="40" spans="1:124" ht="14.25" customHeight="1">
      <c r="A40" s="23"/>
      <c r="B40" s="87"/>
      <c r="C40" s="88"/>
      <c r="D40" s="89"/>
      <c r="E40" s="433"/>
      <c r="F40" s="91"/>
      <c r="G40" s="184">
        <f>SUM(E40:F40)</f>
        <v>0</v>
      </c>
      <c r="H40" s="91"/>
      <c r="I40" s="91"/>
      <c r="J40" s="93">
        <f>SUM(H40:I40)</f>
        <v>0</v>
      </c>
      <c r="K40" s="91"/>
      <c r="L40" s="91"/>
      <c r="M40" s="93">
        <f>SUM(K40:L40)</f>
        <v>0</v>
      </c>
      <c r="N40" s="92"/>
      <c r="O40" s="91"/>
      <c r="P40" s="93">
        <f>SUM(N40:O40)</f>
        <v>0</v>
      </c>
      <c r="Q40" s="92"/>
      <c r="R40" s="91"/>
      <c r="S40" s="93">
        <f>SUM(Q40:R40)</f>
        <v>0</v>
      </c>
      <c r="T40" s="92"/>
      <c r="U40" s="91"/>
      <c r="V40" s="93">
        <f>SUM(T40:U40)</f>
        <v>0</v>
      </c>
      <c r="W40" s="92"/>
      <c r="X40" s="91"/>
      <c r="Y40" s="93">
        <f>SUM(W40:X40)</f>
        <v>0</v>
      </c>
      <c r="Z40" s="92"/>
      <c r="AA40" s="91"/>
      <c r="AB40" s="93">
        <f>SUM(Z40:AA40)</f>
        <v>0</v>
      </c>
      <c r="AC40" s="92"/>
      <c r="AD40" s="91"/>
      <c r="AE40" s="93">
        <f>SUM(AC40:AD40)</f>
        <v>0</v>
      </c>
      <c r="AF40" s="92"/>
      <c r="AG40" s="91"/>
      <c r="AH40" s="93">
        <f>SUM(AF40:AG40)</f>
        <v>0</v>
      </c>
      <c r="AI40" s="92"/>
      <c r="AJ40" s="91"/>
      <c r="AK40" s="93">
        <f>SUM(AI40:AJ40)</f>
        <v>0</v>
      </c>
      <c r="AL40" s="92"/>
      <c r="AM40" s="91"/>
      <c r="AN40" s="93">
        <f>SUM(AL40:AM40)</f>
        <v>0</v>
      </c>
      <c r="AO40" s="92"/>
      <c r="AP40" s="91"/>
      <c r="AQ40" s="93">
        <f>SUM(AO40:AP40)</f>
        <v>0</v>
      </c>
      <c r="AR40" s="433">
        <f t="shared" si="278"/>
        <v>0</v>
      </c>
      <c r="AS40" s="91">
        <f t="shared" si="279"/>
        <v>0</v>
      </c>
      <c r="AT40" s="184">
        <f>SUM(AR40:AS40)</f>
        <v>0</v>
      </c>
      <c r="AU40" s="92"/>
      <c r="AV40" s="91"/>
      <c r="AW40" s="93">
        <f>SUM(AU40:AV40)</f>
        <v>0</v>
      </c>
      <c r="AX40" s="92"/>
      <c r="AY40" s="91"/>
      <c r="AZ40" s="93">
        <f>SUM(AX40:AY40)</f>
        <v>0</v>
      </c>
      <c r="BA40" s="92"/>
      <c r="BB40" s="91"/>
      <c r="BC40" s="93">
        <f>SUM(BA40:BB40)</f>
        <v>0</v>
      </c>
      <c r="BD40" s="92"/>
      <c r="BE40" s="91"/>
      <c r="BF40" s="93">
        <f>SUM(BD40:BE40)</f>
        <v>0</v>
      </c>
      <c r="BG40" s="92"/>
      <c r="BH40" s="91"/>
      <c r="BI40" s="93">
        <f>SUM(BG40:BH40)</f>
        <v>0</v>
      </c>
      <c r="BJ40" s="92"/>
      <c r="BK40" s="91"/>
      <c r="BL40" s="93">
        <f>SUM(BJ40:BK40)</f>
        <v>0</v>
      </c>
      <c r="BM40" s="92"/>
      <c r="BN40" s="91"/>
      <c r="BO40" s="93">
        <f>SUM(BM40:BN40)</f>
        <v>0</v>
      </c>
      <c r="BP40" s="92"/>
      <c r="BQ40" s="91"/>
      <c r="BR40" s="93">
        <f>SUM(BP40:BQ40)</f>
        <v>0</v>
      </c>
      <c r="BS40" s="92"/>
      <c r="BT40" s="91"/>
      <c r="BU40" s="93">
        <f>SUM(BS40:BT40)</f>
        <v>0</v>
      </c>
      <c r="BV40" s="92"/>
      <c r="BW40" s="91"/>
      <c r="BX40" s="93">
        <f>SUM(BV40:BW40)</f>
        <v>0</v>
      </c>
      <c r="BY40" s="92"/>
      <c r="BZ40" s="91"/>
      <c r="CA40" s="93">
        <f>SUM(BY40:BZ40)</f>
        <v>0</v>
      </c>
      <c r="CB40" s="92"/>
      <c r="CC40" s="91"/>
      <c r="CD40" s="93">
        <f>SUM(CB40:CC40)</f>
        <v>0</v>
      </c>
      <c r="CE40" s="438">
        <f t="shared" si="317"/>
        <v>0</v>
      </c>
      <c r="CF40" s="175">
        <f t="shared" si="318"/>
        <v>0</v>
      </c>
      <c r="CG40" s="439">
        <f t="shared" si="319"/>
        <v>0</v>
      </c>
      <c r="CH40" s="91"/>
      <c r="CI40" s="91"/>
      <c r="CJ40" s="93">
        <f>SUM(CH40:CI40)</f>
        <v>0</v>
      </c>
      <c r="CK40" s="174"/>
      <c r="CL40" s="175"/>
      <c r="CM40" s="93">
        <f t="shared" si="280"/>
        <v>0</v>
      </c>
      <c r="CN40" s="174"/>
      <c r="CO40" s="175"/>
      <c r="CP40" s="93">
        <f t="shared" si="281"/>
        <v>0</v>
      </c>
      <c r="CQ40" s="174"/>
      <c r="CR40" s="175"/>
      <c r="CS40" s="93">
        <f t="shared" si="282"/>
        <v>0</v>
      </c>
      <c r="CT40" s="174"/>
      <c r="CU40" s="175"/>
      <c r="CV40" s="93">
        <f t="shared" si="283"/>
        <v>0</v>
      </c>
      <c r="CW40" s="174"/>
      <c r="CX40" s="175"/>
      <c r="CY40" s="93">
        <f t="shared" si="284"/>
        <v>0</v>
      </c>
      <c r="CZ40" s="174"/>
      <c r="DA40" s="175"/>
      <c r="DB40" s="93">
        <f t="shared" si="285"/>
        <v>0</v>
      </c>
      <c r="DC40" s="174"/>
      <c r="DD40" s="175"/>
      <c r="DE40" s="93">
        <f t="shared" si="286"/>
        <v>0</v>
      </c>
      <c r="DF40" s="174"/>
      <c r="DG40" s="175"/>
      <c r="DH40" s="93">
        <f t="shared" si="287"/>
        <v>0</v>
      </c>
      <c r="DI40" s="174"/>
      <c r="DJ40" s="175"/>
      <c r="DK40" s="93">
        <f t="shared" si="288"/>
        <v>0</v>
      </c>
      <c r="DL40" s="174"/>
      <c r="DM40" s="175"/>
      <c r="DN40" s="93">
        <f t="shared" si="289"/>
        <v>0</v>
      </c>
      <c r="DO40" s="174"/>
      <c r="DP40" s="175"/>
      <c r="DQ40" s="93">
        <f t="shared" si="290"/>
        <v>0</v>
      </c>
      <c r="DR40" s="438">
        <f t="shared" si="321"/>
        <v>0</v>
      </c>
      <c r="DS40" s="175">
        <f t="shared" si="322"/>
        <v>0</v>
      </c>
      <c r="DT40" s="439">
        <f t="shared" si="323"/>
        <v>0</v>
      </c>
    </row>
    <row r="41" spans="1:124" ht="14.25" customHeight="1">
      <c r="A41" s="23"/>
      <c r="B41" s="87"/>
      <c r="C41" s="88"/>
      <c r="D41" s="99"/>
      <c r="E41" s="433"/>
      <c r="F41" s="91"/>
      <c r="G41" s="434"/>
      <c r="H41" s="91"/>
      <c r="I41" s="91"/>
      <c r="J41" s="546"/>
      <c r="K41" s="91"/>
      <c r="L41" s="91"/>
      <c r="M41" s="546"/>
      <c r="N41" s="92"/>
      <c r="O41" s="91"/>
      <c r="P41" s="546"/>
      <c r="Q41" s="92"/>
      <c r="R41" s="91"/>
      <c r="S41" s="546"/>
      <c r="T41" s="92"/>
      <c r="U41" s="91"/>
      <c r="V41" s="546"/>
      <c r="W41" s="92"/>
      <c r="X41" s="91"/>
      <c r="Y41" s="546"/>
      <c r="Z41" s="92"/>
      <c r="AA41" s="91"/>
      <c r="AB41" s="546"/>
      <c r="AC41" s="92"/>
      <c r="AD41" s="91"/>
      <c r="AE41" s="546"/>
      <c r="AF41" s="92"/>
      <c r="AG41" s="91"/>
      <c r="AH41" s="546"/>
      <c r="AI41" s="92"/>
      <c r="AJ41" s="91"/>
      <c r="AK41" s="546"/>
      <c r="AL41" s="92"/>
      <c r="AM41" s="91"/>
      <c r="AN41" s="546"/>
      <c r="AO41" s="92"/>
      <c r="AP41" s="91"/>
      <c r="AQ41" s="546"/>
      <c r="AR41" s="433"/>
      <c r="AS41" s="91"/>
      <c r="AT41" s="434"/>
      <c r="AU41" s="92"/>
      <c r="AV41" s="91"/>
      <c r="AW41" s="546"/>
      <c r="AX41" s="92"/>
      <c r="AY41" s="91"/>
      <c r="AZ41" s="546"/>
      <c r="BA41" s="92"/>
      <c r="BB41" s="91"/>
      <c r="BC41" s="546"/>
      <c r="BD41" s="92"/>
      <c r="BE41" s="91"/>
      <c r="BF41" s="546"/>
      <c r="BG41" s="92"/>
      <c r="BH41" s="91"/>
      <c r="BI41" s="546"/>
      <c r="BJ41" s="92"/>
      <c r="BK41" s="91"/>
      <c r="BL41" s="546"/>
      <c r="BM41" s="92"/>
      <c r="BN41" s="91"/>
      <c r="BO41" s="546"/>
      <c r="BP41" s="92"/>
      <c r="BQ41" s="91"/>
      <c r="BR41" s="546"/>
      <c r="BS41" s="92"/>
      <c r="BT41" s="91"/>
      <c r="BU41" s="546"/>
      <c r="BV41" s="92"/>
      <c r="BW41" s="91"/>
      <c r="BX41" s="546"/>
      <c r="BY41" s="92"/>
      <c r="BZ41" s="91"/>
      <c r="CA41" s="546"/>
      <c r="CB41" s="92"/>
      <c r="CC41" s="91"/>
      <c r="CD41" s="546"/>
      <c r="CE41" s="438"/>
      <c r="CF41" s="175"/>
      <c r="CG41" s="448"/>
      <c r="CH41" s="91"/>
      <c r="CI41" s="91"/>
      <c r="CJ41" s="546"/>
      <c r="CK41" s="174"/>
      <c r="CL41" s="175"/>
      <c r="CM41" s="546"/>
      <c r="CN41" s="174"/>
      <c r="CO41" s="175"/>
      <c r="CP41" s="546"/>
      <c r="CQ41" s="174"/>
      <c r="CR41" s="175"/>
      <c r="CS41" s="546"/>
      <c r="CT41" s="174"/>
      <c r="CU41" s="175"/>
      <c r="CV41" s="546"/>
      <c r="CW41" s="174"/>
      <c r="CX41" s="175"/>
      <c r="CY41" s="546"/>
      <c r="CZ41" s="174"/>
      <c r="DA41" s="175"/>
      <c r="DB41" s="546"/>
      <c r="DC41" s="174"/>
      <c r="DD41" s="175"/>
      <c r="DE41" s="546"/>
      <c r="DF41" s="174"/>
      <c r="DG41" s="175"/>
      <c r="DH41" s="546"/>
      <c r="DI41" s="174"/>
      <c r="DJ41" s="175"/>
      <c r="DK41" s="546"/>
      <c r="DL41" s="174"/>
      <c r="DM41" s="175"/>
      <c r="DN41" s="546"/>
      <c r="DO41" s="174"/>
      <c r="DP41" s="175"/>
      <c r="DQ41" s="546"/>
      <c r="DR41" s="438"/>
      <c r="DS41" s="175"/>
      <c r="DT41" s="448"/>
    </row>
    <row r="42" spans="1:124" ht="14.25" customHeight="1">
      <c r="A42" s="23"/>
      <c r="B42" s="100"/>
      <c r="C42" s="101" t="s">
        <v>3</v>
      </c>
      <c r="D42" s="102" t="s">
        <v>64</v>
      </c>
      <c r="E42" s="435">
        <f t="shared" ref="E42:BP42" si="351">SUM(E43:E49)</f>
        <v>0</v>
      </c>
      <c r="F42" s="107">
        <f t="shared" si="351"/>
        <v>0</v>
      </c>
      <c r="G42" s="183">
        <f t="shared" si="351"/>
        <v>0</v>
      </c>
      <c r="H42" s="107">
        <f t="shared" si="351"/>
        <v>0</v>
      </c>
      <c r="I42" s="107">
        <f t="shared" si="351"/>
        <v>0</v>
      </c>
      <c r="J42" s="547">
        <f t="shared" si="351"/>
        <v>0</v>
      </c>
      <c r="K42" s="107">
        <f t="shared" si="351"/>
        <v>0</v>
      </c>
      <c r="L42" s="107">
        <f t="shared" si="351"/>
        <v>0</v>
      </c>
      <c r="M42" s="547">
        <f t="shared" si="351"/>
        <v>0</v>
      </c>
      <c r="N42" s="170">
        <f t="shared" si="351"/>
        <v>0</v>
      </c>
      <c r="O42" s="107">
        <f t="shared" si="351"/>
        <v>0</v>
      </c>
      <c r="P42" s="547">
        <f t="shared" si="351"/>
        <v>0</v>
      </c>
      <c r="Q42" s="170">
        <f t="shared" si="351"/>
        <v>0</v>
      </c>
      <c r="R42" s="107">
        <f t="shared" si="351"/>
        <v>0</v>
      </c>
      <c r="S42" s="547">
        <f t="shared" si="351"/>
        <v>0</v>
      </c>
      <c r="T42" s="170">
        <f t="shared" si="351"/>
        <v>0</v>
      </c>
      <c r="U42" s="107">
        <f t="shared" si="351"/>
        <v>0</v>
      </c>
      <c r="V42" s="547">
        <f t="shared" si="351"/>
        <v>0</v>
      </c>
      <c r="W42" s="170">
        <f t="shared" si="351"/>
        <v>0</v>
      </c>
      <c r="X42" s="107">
        <f t="shared" si="351"/>
        <v>0</v>
      </c>
      <c r="Y42" s="547">
        <f t="shared" si="351"/>
        <v>0</v>
      </c>
      <c r="Z42" s="170">
        <f t="shared" si="351"/>
        <v>0</v>
      </c>
      <c r="AA42" s="107">
        <f t="shared" si="351"/>
        <v>0</v>
      </c>
      <c r="AB42" s="547">
        <f t="shared" si="351"/>
        <v>0</v>
      </c>
      <c r="AC42" s="170">
        <f t="shared" si="351"/>
        <v>0</v>
      </c>
      <c r="AD42" s="107">
        <f t="shared" si="351"/>
        <v>0</v>
      </c>
      <c r="AE42" s="547">
        <f t="shared" si="351"/>
        <v>0</v>
      </c>
      <c r="AF42" s="170">
        <f t="shared" si="351"/>
        <v>0</v>
      </c>
      <c r="AG42" s="107">
        <f t="shared" si="351"/>
        <v>0</v>
      </c>
      <c r="AH42" s="547">
        <f t="shared" si="351"/>
        <v>0</v>
      </c>
      <c r="AI42" s="170">
        <f t="shared" si="351"/>
        <v>0</v>
      </c>
      <c r="AJ42" s="107">
        <f t="shared" si="351"/>
        <v>0</v>
      </c>
      <c r="AK42" s="547">
        <f t="shared" si="351"/>
        <v>0</v>
      </c>
      <c r="AL42" s="170">
        <f t="shared" si="351"/>
        <v>0</v>
      </c>
      <c r="AM42" s="107">
        <f t="shared" si="351"/>
        <v>0</v>
      </c>
      <c r="AN42" s="547">
        <f t="shared" si="351"/>
        <v>0</v>
      </c>
      <c r="AO42" s="170">
        <f t="shared" si="351"/>
        <v>0</v>
      </c>
      <c r="AP42" s="107">
        <f t="shared" si="351"/>
        <v>0</v>
      </c>
      <c r="AQ42" s="547">
        <f t="shared" si="351"/>
        <v>0</v>
      </c>
      <c r="AR42" s="435">
        <f t="shared" si="351"/>
        <v>0</v>
      </c>
      <c r="AS42" s="107">
        <f t="shared" si="351"/>
        <v>0</v>
      </c>
      <c r="AT42" s="183">
        <f t="shared" si="351"/>
        <v>0</v>
      </c>
      <c r="AU42" s="170">
        <f t="shared" si="351"/>
        <v>0</v>
      </c>
      <c r="AV42" s="107">
        <f t="shared" si="351"/>
        <v>0</v>
      </c>
      <c r="AW42" s="547">
        <f t="shared" si="351"/>
        <v>0</v>
      </c>
      <c r="AX42" s="170">
        <f t="shared" si="351"/>
        <v>0</v>
      </c>
      <c r="AY42" s="107">
        <f t="shared" si="351"/>
        <v>0</v>
      </c>
      <c r="AZ42" s="547">
        <f t="shared" si="351"/>
        <v>0</v>
      </c>
      <c r="BA42" s="170">
        <f t="shared" si="351"/>
        <v>0</v>
      </c>
      <c r="BB42" s="107">
        <f t="shared" si="351"/>
        <v>0</v>
      </c>
      <c r="BC42" s="547">
        <f t="shared" si="351"/>
        <v>0</v>
      </c>
      <c r="BD42" s="170">
        <f t="shared" si="351"/>
        <v>0</v>
      </c>
      <c r="BE42" s="107">
        <f t="shared" si="351"/>
        <v>0</v>
      </c>
      <c r="BF42" s="547">
        <f t="shared" si="351"/>
        <v>0</v>
      </c>
      <c r="BG42" s="170">
        <f t="shared" si="351"/>
        <v>0</v>
      </c>
      <c r="BH42" s="107">
        <f t="shared" si="351"/>
        <v>0</v>
      </c>
      <c r="BI42" s="547">
        <f t="shared" si="351"/>
        <v>0</v>
      </c>
      <c r="BJ42" s="170">
        <f t="shared" si="351"/>
        <v>0</v>
      </c>
      <c r="BK42" s="107">
        <f t="shared" si="351"/>
        <v>0</v>
      </c>
      <c r="BL42" s="547">
        <f t="shared" si="351"/>
        <v>0</v>
      </c>
      <c r="BM42" s="170">
        <f t="shared" si="351"/>
        <v>0</v>
      </c>
      <c r="BN42" s="107">
        <f t="shared" si="351"/>
        <v>0</v>
      </c>
      <c r="BO42" s="547">
        <f t="shared" si="351"/>
        <v>0</v>
      </c>
      <c r="BP42" s="170">
        <f t="shared" si="351"/>
        <v>0</v>
      </c>
      <c r="BQ42" s="107">
        <f t="shared" ref="BQ42:DT42" si="352">SUM(BQ43:BQ49)</f>
        <v>0</v>
      </c>
      <c r="BR42" s="547">
        <f t="shared" si="352"/>
        <v>0</v>
      </c>
      <c r="BS42" s="170">
        <f t="shared" si="352"/>
        <v>0</v>
      </c>
      <c r="BT42" s="107">
        <f t="shared" si="352"/>
        <v>0</v>
      </c>
      <c r="BU42" s="547">
        <f t="shared" si="352"/>
        <v>0</v>
      </c>
      <c r="BV42" s="170">
        <f t="shared" si="352"/>
        <v>0</v>
      </c>
      <c r="BW42" s="107">
        <f t="shared" si="352"/>
        <v>0</v>
      </c>
      <c r="BX42" s="547">
        <f t="shared" si="352"/>
        <v>0</v>
      </c>
      <c r="BY42" s="170">
        <f t="shared" si="352"/>
        <v>0</v>
      </c>
      <c r="BZ42" s="107">
        <f t="shared" si="352"/>
        <v>0</v>
      </c>
      <c r="CA42" s="547">
        <f t="shared" si="352"/>
        <v>0</v>
      </c>
      <c r="CB42" s="170">
        <f t="shared" si="352"/>
        <v>0</v>
      </c>
      <c r="CC42" s="107">
        <f t="shared" si="352"/>
        <v>0</v>
      </c>
      <c r="CD42" s="547">
        <f t="shared" si="352"/>
        <v>0</v>
      </c>
      <c r="CE42" s="435">
        <f t="shared" si="352"/>
        <v>0</v>
      </c>
      <c r="CF42" s="107">
        <f t="shared" si="352"/>
        <v>0</v>
      </c>
      <c r="CG42" s="183">
        <f t="shared" si="352"/>
        <v>0</v>
      </c>
      <c r="CH42" s="107">
        <f t="shared" si="352"/>
        <v>0</v>
      </c>
      <c r="CI42" s="107">
        <f t="shared" si="352"/>
        <v>0</v>
      </c>
      <c r="CJ42" s="547">
        <f t="shared" si="352"/>
        <v>0</v>
      </c>
      <c r="CK42" s="106">
        <f t="shared" si="352"/>
        <v>0</v>
      </c>
      <c r="CL42" s="107">
        <f t="shared" si="352"/>
        <v>0</v>
      </c>
      <c r="CM42" s="547">
        <f t="shared" si="352"/>
        <v>0</v>
      </c>
      <c r="CN42" s="106">
        <f t="shared" si="352"/>
        <v>0</v>
      </c>
      <c r="CO42" s="107">
        <f t="shared" si="352"/>
        <v>0</v>
      </c>
      <c r="CP42" s="547">
        <f t="shared" si="352"/>
        <v>0</v>
      </c>
      <c r="CQ42" s="106">
        <f t="shared" si="352"/>
        <v>0</v>
      </c>
      <c r="CR42" s="107">
        <f t="shared" si="352"/>
        <v>0</v>
      </c>
      <c r="CS42" s="547">
        <f t="shared" si="352"/>
        <v>0</v>
      </c>
      <c r="CT42" s="106">
        <f t="shared" si="352"/>
        <v>0</v>
      </c>
      <c r="CU42" s="107">
        <f t="shared" si="352"/>
        <v>0</v>
      </c>
      <c r="CV42" s="547">
        <f t="shared" si="352"/>
        <v>0</v>
      </c>
      <c r="CW42" s="106">
        <f t="shared" si="352"/>
        <v>0</v>
      </c>
      <c r="CX42" s="107">
        <f t="shared" si="352"/>
        <v>0</v>
      </c>
      <c r="CY42" s="547">
        <f t="shared" si="352"/>
        <v>0</v>
      </c>
      <c r="CZ42" s="106">
        <f t="shared" si="352"/>
        <v>0</v>
      </c>
      <c r="DA42" s="107">
        <f t="shared" si="352"/>
        <v>0</v>
      </c>
      <c r="DB42" s="547">
        <f t="shared" si="352"/>
        <v>0</v>
      </c>
      <c r="DC42" s="106">
        <f t="shared" si="352"/>
        <v>0</v>
      </c>
      <c r="DD42" s="107">
        <f t="shared" si="352"/>
        <v>0</v>
      </c>
      <c r="DE42" s="547">
        <f t="shared" si="352"/>
        <v>0</v>
      </c>
      <c r="DF42" s="106">
        <f t="shared" si="352"/>
        <v>0</v>
      </c>
      <c r="DG42" s="107">
        <f t="shared" si="352"/>
        <v>0</v>
      </c>
      <c r="DH42" s="547">
        <f t="shared" si="352"/>
        <v>0</v>
      </c>
      <c r="DI42" s="106">
        <f t="shared" si="352"/>
        <v>0</v>
      </c>
      <c r="DJ42" s="107">
        <f t="shared" si="352"/>
        <v>0</v>
      </c>
      <c r="DK42" s="547">
        <f t="shared" si="352"/>
        <v>0</v>
      </c>
      <c r="DL42" s="106">
        <f t="shared" si="352"/>
        <v>0</v>
      </c>
      <c r="DM42" s="107">
        <f t="shared" si="352"/>
        <v>0</v>
      </c>
      <c r="DN42" s="547">
        <f t="shared" si="352"/>
        <v>0</v>
      </c>
      <c r="DO42" s="106">
        <f t="shared" si="352"/>
        <v>0</v>
      </c>
      <c r="DP42" s="107">
        <f t="shared" si="352"/>
        <v>0</v>
      </c>
      <c r="DQ42" s="547">
        <f t="shared" si="352"/>
        <v>0</v>
      </c>
      <c r="DR42" s="435">
        <f t="shared" si="352"/>
        <v>0</v>
      </c>
      <c r="DS42" s="107">
        <f t="shared" si="352"/>
        <v>0</v>
      </c>
      <c r="DT42" s="183">
        <f t="shared" si="352"/>
        <v>0</v>
      </c>
    </row>
    <row r="43" spans="1:124" ht="14.25" customHeight="1">
      <c r="A43" s="23"/>
      <c r="B43" s="87"/>
      <c r="C43" s="88"/>
      <c r="D43" s="89"/>
      <c r="E43" s="433"/>
      <c r="F43" s="91"/>
      <c r="G43" s="184">
        <f>SUM(E43:F43)</f>
        <v>0</v>
      </c>
      <c r="H43" s="91"/>
      <c r="I43" s="91"/>
      <c r="J43" s="93">
        <f>SUM(H43:I43)</f>
        <v>0</v>
      </c>
      <c r="K43" s="91"/>
      <c r="L43" s="91"/>
      <c r="M43" s="93">
        <f>SUM(K43:L43)</f>
        <v>0</v>
      </c>
      <c r="N43" s="92"/>
      <c r="O43" s="91"/>
      <c r="P43" s="93">
        <f>SUM(N43:O43)</f>
        <v>0</v>
      </c>
      <c r="Q43" s="92"/>
      <c r="R43" s="91"/>
      <c r="S43" s="93">
        <f>SUM(Q43:R43)</f>
        <v>0</v>
      </c>
      <c r="T43" s="92"/>
      <c r="U43" s="91"/>
      <c r="V43" s="93">
        <f>SUM(T43:U43)</f>
        <v>0</v>
      </c>
      <c r="W43" s="92"/>
      <c r="X43" s="91"/>
      <c r="Y43" s="93">
        <f>SUM(W43:X43)</f>
        <v>0</v>
      </c>
      <c r="Z43" s="92"/>
      <c r="AA43" s="91"/>
      <c r="AB43" s="93">
        <f>SUM(Z43:AA43)</f>
        <v>0</v>
      </c>
      <c r="AC43" s="92"/>
      <c r="AD43" s="91"/>
      <c r="AE43" s="93">
        <f>SUM(AC43:AD43)</f>
        <v>0</v>
      </c>
      <c r="AF43" s="92"/>
      <c r="AG43" s="91"/>
      <c r="AH43" s="93">
        <f>SUM(AF43:AG43)</f>
        <v>0</v>
      </c>
      <c r="AI43" s="92"/>
      <c r="AJ43" s="91"/>
      <c r="AK43" s="93">
        <f>SUM(AI43:AJ43)</f>
        <v>0</v>
      </c>
      <c r="AL43" s="92"/>
      <c r="AM43" s="91"/>
      <c r="AN43" s="93">
        <f>SUM(AL43:AM43)</f>
        <v>0</v>
      </c>
      <c r="AO43" s="92"/>
      <c r="AP43" s="91"/>
      <c r="AQ43" s="93">
        <f>SUM(AO43:AP43)</f>
        <v>0</v>
      </c>
      <c r="AR43" s="433">
        <f t="shared" ref="AR43:AR48" si="353">AO43+AL43+AI43+AF43+AC43+Z43+W43+T43+Q43+N43+K43+H43</f>
        <v>0</v>
      </c>
      <c r="AS43" s="91">
        <f t="shared" ref="AS43:AS48" si="354">AP43+AM43+AJ43+AG43+AD43+AA43+X43+U43+R43+O43+L43+I43</f>
        <v>0</v>
      </c>
      <c r="AT43" s="184">
        <f>SUM(AR43:AS43)</f>
        <v>0</v>
      </c>
      <c r="AU43" s="92"/>
      <c r="AV43" s="91"/>
      <c r="AW43" s="93">
        <f>SUM(AU43:AV43)</f>
        <v>0</v>
      </c>
      <c r="AX43" s="92"/>
      <c r="AY43" s="91"/>
      <c r="AZ43" s="93">
        <f>SUM(AX43:AY43)</f>
        <v>0</v>
      </c>
      <c r="BA43" s="92"/>
      <c r="BB43" s="91"/>
      <c r="BC43" s="93">
        <f>SUM(BA43:BB43)</f>
        <v>0</v>
      </c>
      <c r="BD43" s="92"/>
      <c r="BE43" s="91"/>
      <c r="BF43" s="93">
        <f>SUM(BD43:BE43)</f>
        <v>0</v>
      </c>
      <c r="BG43" s="92"/>
      <c r="BH43" s="91"/>
      <c r="BI43" s="93">
        <f>SUM(BG43:BH43)</f>
        <v>0</v>
      </c>
      <c r="BJ43" s="92"/>
      <c r="BK43" s="91"/>
      <c r="BL43" s="93">
        <f>SUM(BJ43:BK43)</f>
        <v>0</v>
      </c>
      <c r="BM43" s="92"/>
      <c r="BN43" s="91"/>
      <c r="BO43" s="93">
        <f>SUM(BM43:BN43)</f>
        <v>0</v>
      </c>
      <c r="BP43" s="92"/>
      <c r="BQ43" s="91"/>
      <c r="BR43" s="93">
        <f>SUM(BP43:BQ43)</f>
        <v>0</v>
      </c>
      <c r="BS43" s="92"/>
      <c r="BT43" s="91"/>
      <c r="BU43" s="93">
        <f>SUM(BS43:BT43)</f>
        <v>0</v>
      </c>
      <c r="BV43" s="92"/>
      <c r="BW43" s="91"/>
      <c r="BX43" s="93">
        <f>SUM(BV43:BW43)</f>
        <v>0</v>
      </c>
      <c r="BY43" s="92"/>
      <c r="BZ43" s="91"/>
      <c r="CA43" s="93">
        <f>SUM(BY43:BZ43)</f>
        <v>0</v>
      </c>
      <c r="CB43" s="92"/>
      <c r="CC43" s="91"/>
      <c r="CD43" s="93">
        <f>SUM(CB43:CC43)</f>
        <v>0</v>
      </c>
      <c r="CE43" s="438">
        <f>CB43+BY43+BV43+BS43+BP43+BM43+BJ43+BG43+BD43+BA43+AX43+AU43</f>
        <v>0</v>
      </c>
      <c r="CF43" s="175">
        <f>CC43+BZ43+BW43+BT43+BQ43+BN43+BK43+BH43+BE43+BB43+AY43+AV43</f>
        <v>0</v>
      </c>
      <c r="CG43" s="439">
        <f>SUM(CE43:CF43)</f>
        <v>0</v>
      </c>
      <c r="CH43" s="91"/>
      <c r="CI43" s="91"/>
      <c r="CJ43" s="93">
        <f>SUM(CH43:CI43)</f>
        <v>0</v>
      </c>
      <c r="CK43" s="174"/>
      <c r="CL43" s="175"/>
      <c r="CM43" s="93">
        <f t="shared" ref="CM43:CM48" si="355">SUM(CK43:CL43)</f>
        <v>0</v>
      </c>
      <c r="CN43" s="174"/>
      <c r="CO43" s="175"/>
      <c r="CP43" s="93">
        <f t="shared" ref="CP43:CP48" si="356">SUM(CN43:CO43)</f>
        <v>0</v>
      </c>
      <c r="CQ43" s="174"/>
      <c r="CR43" s="175"/>
      <c r="CS43" s="93">
        <f t="shared" ref="CS43:CS48" si="357">SUM(CQ43:CR43)</f>
        <v>0</v>
      </c>
      <c r="CT43" s="174"/>
      <c r="CU43" s="175"/>
      <c r="CV43" s="93">
        <f t="shared" ref="CV43:CV48" si="358">SUM(CT43:CU43)</f>
        <v>0</v>
      </c>
      <c r="CW43" s="174"/>
      <c r="CX43" s="175"/>
      <c r="CY43" s="93">
        <f t="shared" ref="CY43:CY48" si="359">SUM(CW43:CX43)</f>
        <v>0</v>
      </c>
      <c r="CZ43" s="174"/>
      <c r="DA43" s="175"/>
      <c r="DB43" s="93">
        <f t="shared" ref="DB43:DB48" si="360">SUM(CZ43:DA43)</f>
        <v>0</v>
      </c>
      <c r="DC43" s="174"/>
      <c r="DD43" s="175"/>
      <c r="DE43" s="93">
        <f t="shared" ref="DE43:DE48" si="361">SUM(DC43:DD43)</f>
        <v>0</v>
      </c>
      <c r="DF43" s="174"/>
      <c r="DG43" s="175"/>
      <c r="DH43" s="93">
        <f t="shared" ref="DH43:DH48" si="362">SUM(DF43:DG43)</f>
        <v>0</v>
      </c>
      <c r="DI43" s="174"/>
      <c r="DJ43" s="175"/>
      <c r="DK43" s="93">
        <f t="shared" ref="DK43:DK48" si="363">SUM(DI43:DJ43)</f>
        <v>0</v>
      </c>
      <c r="DL43" s="174"/>
      <c r="DM43" s="175"/>
      <c r="DN43" s="93">
        <f t="shared" ref="DN43:DN48" si="364">SUM(DL43:DM43)</f>
        <v>0</v>
      </c>
      <c r="DO43" s="174"/>
      <c r="DP43" s="175"/>
      <c r="DQ43" s="93">
        <f t="shared" ref="DQ43:DQ48" si="365">SUM(DO43:DP43)</f>
        <v>0</v>
      </c>
      <c r="DR43" s="438">
        <f>DO43+DL43+DI43+DF43+DC43+CZ43+CW43+CT43+CQ43+CN43+CK43+CH43</f>
        <v>0</v>
      </c>
      <c r="DS43" s="175">
        <f>DP43+DM43+DJ43+DG43+DD43+DA43+CX43+CU43+CR43+CO43+CL43+CI43</f>
        <v>0</v>
      </c>
      <c r="DT43" s="439">
        <f>SUM(DR43:DS43)</f>
        <v>0</v>
      </c>
    </row>
    <row r="44" spans="1:124" ht="14.25" customHeight="1">
      <c r="A44" s="23"/>
      <c r="B44" s="87"/>
      <c r="C44" s="88"/>
      <c r="D44" s="89"/>
      <c r="E44" s="433"/>
      <c r="F44" s="91"/>
      <c r="G44" s="184">
        <f t="shared" ref="G44" si="366">SUM(E44:F44)</f>
        <v>0</v>
      </c>
      <c r="H44" s="91"/>
      <c r="I44" s="91"/>
      <c r="J44" s="93">
        <f t="shared" ref="J44" si="367">SUM(H44:I44)</f>
        <v>0</v>
      </c>
      <c r="K44" s="91"/>
      <c r="L44" s="91"/>
      <c r="M44" s="93">
        <f t="shared" ref="M44" si="368">SUM(K44:L44)</f>
        <v>0</v>
      </c>
      <c r="N44" s="92"/>
      <c r="O44" s="91"/>
      <c r="P44" s="93">
        <f t="shared" ref="P44" si="369">SUM(N44:O44)</f>
        <v>0</v>
      </c>
      <c r="Q44" s="92"/>
      <c r="R44" s="91"/>
      <c r="S44" s="93">
        <f t="shared" ref="S44" si="370">SUM(Q44:R44)</f>
        <v>0</v>
      </c>
      <c r="T44" s="92"/>
      <c r="U44" s="91"/>
      <c r="V44" s="93">
        <f t="shared" ref="V44" si="371">SUM(T44:U44)</f>
        <v>0</v>
      </c>
      <c r="W44" s="92"/>
      <c r="X44" s="91"/>
      <c r="Y44" s="93">
        <f t="shared" ref="Y44" si="372">SUM(W44:X44)</f>
        <v>0</v>
      </c>
      <c r="Z44" s="92"/>
      <c r="AA44" s="91"/>
      <c r="AB44" s="93">
        <f t="shared" ref="AB44" si="373">SUM(Z44:AA44)</f>
        <v>0</v>
      </c>
      <c r="AC44" s="92"/>
      <c r="AD44" s="91"/>
      <c r="AE44" s="93">
        <f t="shared" ref="AE44" si="374">SUM(AC44:AD44)</f>
        <v>0</v>
      </c>
      <c r="AF44" s="92"/>
      <c r="AG44" s="91"/>
      <c r="AH44" s="93">
        <f t="shared" ref="AH44" si="375">SUM(AF44:AG44)</f>
        <v>0</v>
      </c>
      <c r="AI44" s="92"/>
      <c r="AJ44" s="91"/>
      <c r="AK44" s="93">
        <f t="shared" ref="AK44" si="376">SUM(AI44:AJ44)</f>
        <v>0</v>
      </c>
      <c r="AL44" s="92"/>
      <c r="AM44" s="91"/>
      <c r="AN44" s="93">
        <f t="shared" ref="AN44" si="377">SUM(AL44:AM44)</f>
        <v>0</v>
      </c>
      <c r="AO44" s="92"/>
      <c r="AP44" s="91"/>
      <c r="AQ44" s="93">
        <f t="shared" ref="AQ44" si="378">SUM(AO44:AP44)</f>
        <v>0</v>
      </c>
      <c r="AR44" s="433">
        <f t="shared" si="353"/>
        <v>0</v>
      </c>
      <c r="AS44" s="91">
        <f t="shared" si="354"/>
        <v>0</v>
      </c>
      <c r="AT44" s="184">
        <f t="shared" ref="AT44" si="379">SUM(AR44:AS44)</f>
        <v>0</v>
      </c>
      <c r="AU44" s="92"/>
      <c r="AV44" s="91"/>
      <c r="AW44" s="93">
        <f t="shared" ref="AW44" si="380">SUM(AU44:AV44)</f>
        <v>0</v>
      </c>
      <c r="AX44" s="92"/>
      <c r="AY44" s="91"/>
      <c r="AZ44" s="93">
        <f t="shared" ref="AZ44" si="381">SUM(AX44:AY44)</f>
        <v>0</v>
      </c>
      <c r="BA44" s="92"/>
      <c r="BB44" s="91"/>
      <c r="BC44" s="93">
        <f t="shared" ref="BC44" si="382">SUM(BA44:BB44)</f>
        <v>0</v>
      </c>
      <c r="BD44" s="92"/>
      <c r="BE44" s="91"/>
      <c r="BF44" s="93">
        <f t="shared" ref="BF44" si="383">SUM(BD44:BE44)</f>
        <v>0</v>
      </c>
      <c r="BG44" s="92"/>
      <c r="BH44" s="91"/>
      <c r="BI44" s="93">
        <f t="shared" ref="BI44" si="384">SUM(BG44:BH44)</f>
        <v>0</v>
      </c>
      <c r="BJ44" s="92"/>
      <c r="BK44" s="91"/>
      <c r="BL44" s="93">
        <f t="shared" ref="BL44" si="385">SUM(BJ44:BK44)</f>
        <v>0</v>
      </c>
      <c r="BM44" s="92"/>
      <c r="BN44" s="91"/>
      <c r="BO44" s="93">
        <f t="shared" ref="BO44" si="386">SUM(BM44:BN44)</f>
        <v>0</v>
      </c>
      <c r="BP44" s="92"/>
      <c r="BQ44" s="91"/>
      <c r="BR44" s="93">
        <f t="shared" ref="BR44" si="387">SUM(BP44:BQ44)</f>
        <v>0</v>
      </c>
      <c r="BS44" s="92"/>
      <c r="BT44" s="91"/>
      <c r="BU44" s="93">
        <f t="shared" ref="BU44" si="388">SUM(BS44:BT44)</f>
        <v>0</v>
      </c>
      <c r="BV44" s="92"/>
      <c r="BW44" s="91"/>
      <c r="BX44" s="93">
        <f t="shared" ref="BX44" si="389">SUM(BV44:BW44)</f>
        <v>0</v>
      </c>
      <c r="BY44" s="92"/>
      <c r="BZ44" s="91"/>
      <c r="CA44" s="93">
        <f t="shared" ref="CA44" si="390">SUM(BY44:BZ44)</f>
        <v>0</v>
      </c>
      <c r="CB44" s="92"/>
      <c r="CC44" s="91"/>
      <c r="CD44" s="93">
        <f t="shared" ref="CD44" si="391">SUM(CB44:CC44)</f>
        <v>0</v>
      </c>
      <c r="CE44" s="438">
        <f t="shared" ref="CE44:CE48" si="392">CB44+BY44+BV44+BS44+BP44+BM44+BJ44+BG44+BD44+BA44+AX44+AU44</f>
        <v>0</v>
      </c>
      <c r="CF44" s="175">
        <f t="shared" ref="CF44:CF48" si="393">CC44+BZ44+BW44+BT44+BQ44+BN44+BK44+BH44+BE44+BB44+AY44+AV44</f>
        <v>0</v>
      </c>
      <c r="CG44" s="439">
        <f t="shared" ref="CG44:CG48" si="394">SUM(CE44:CF44)</f>
        <v>0</v>
      </c>
      <c r="CH44" s="91"/>
      <c r="CI44" s="91"/>
      <c r="CJ44" s="93">
        <f t="shared" ref="CJ44" si="395">SUM(CH44:CI44)</f>
        <v>0</v>
      </c>
      <c r="CK44" s="174"/>
      <c r="CL44" s="175"/>
      <c r="CM44" s="93">
        <f t="shared" si="355"/>
        <v>0</v>
      </c>
      <c r="CN44" s="174"/>
      <c r="CO44" s="175"/>
      <c r="CP44" s="93">
        <f t="shared" si="356"/>
        <v>0</v>
      </c>
      <c r="CQ44" s="174"/>
      <c r="CR44" s="175"/>
      <c r="CS44" s="93">
        <f t="shared" si="357"/>
        <v>0</v>
      </c>
      <c r="CT44" s="174"/>
      <c r="CU44" s="175"/>
      <c r="CV44" s="93">
        <f t="shared" si="358"/>
        <v>0</v>
      </c>
      <c r="CW44" s="174"/>
      <c r="CX44" s="175"/>
      <c r="CY44" s="93">
        <f t="shared" si="359"/>
        <v>0</v>
      </c>
      <c r="CZ44" s="174"/>
      <c r="DA44" s="175"/>
      <c r="DB44" s="93">
        <f t="shared" si="360"/>
        <v>0</v>
      </c>
      <c r="DC44" s="174"/>
      <c r="DD44" s="175"/>
      <c r="DE44" s="93">
        <f t="shared" si="361"/>
        <v>0</v>
      </c>
      <c r="DF44" s="174"/>
      <c r="DG44" s="175"/>
      <c r="DH44" s="93">
        <f t="shared" si="362"/>
        <v>0</v>
      </c>
      <c r="DI44" s="174"/>
      <c r="DJ44" s="175"/>
      <c r="DK44" s="93">
        <f t="shared" si="363"/>
        <v>0</v>
      </c>
      <c r="DL44" s="174"/>
      <c r="DM44" s="175"/>
      <c r="DN44" s="93">
        <f t="shared" si="364"/>
        <v>0</v>
      </c>
      <c r="DO44" s="174"/>
      <c r="DP44" s="175"/>
      <c r="DQ44" s="93">
        <f t="shared" si="365"/>
        <v>0</v>
      </c>
      <c r="DR44" s="438">
        <f t="shared" ref="DR44:DR48" si="396">DO44+DL44+DI44+DF44+DC44+CZ44+CW44+CT44+CQ44+CN44+CK44+CH44</f>
        <v>0</v>
      </c>
      <c r="DS44" s="175">
        <f t="shared" ref="DS44:DS48" si="397">DP44+DM44+DJ44+DG44+DD44+DA44+CX44+CU44+CR44+CO44+CL44+CI44</f>
        <v>0</v>
      </c>
      <c r="DT44" s="439">
        <f t="shared" ref="DT44:DT48" si="398">SUM(DR44:DS44)</f>
        <v>0</v>
      </c>
    </row>
    <row r="45" spans="1:124" ht="14.25" customHeight="1">
      <c r="A45" s="23"/>
      <c r="B45" s="87"/>
      <c r="C45" s="88"/>
      <c r="D45" s="89"/>
      <c r="E45" s="433"/>
      <c r="F45" s="91"/>
      <c r="G45" s="184">
        <f>SUM(E45:F45)</f>
        <v>0</v>
      </c>
      <c r="H45" s="91"/>
      <c r="I45" s="91"/>
      <c r="J45" s="93">
        <f>SUM(H45:I45)</f>
        <v>0</v>
      </c>
      <c r="K45" s="91"/>
      <c r="L45" s="91"/>
      <c r="M45" s="93">
        <f>SUM(K45:L45)</f>
        <v>0</v>
      </c>
      <c r="N45" s="92"/>
      <c r="O45" s="91"/>
      <c r="P45" s="93">
        <f>SUM(N45:O45)</f>
        <v>0</v>
      </c>
      <c r="Q45" s="92"/>
      <c r="R45" s="91"/>
      <c r="S45" s="93">
        <f>SUM(Q45:R45)</f>
        <v>0</v>
      </c>
      <c r="T45" s="92"/>
      <c r="U45" s="91"/>
      <c r="V45" s="93">
        <f>SUM(T45:U45)</f>
        <v>0</v>
      </c>
      <c r="W45" s="92"/>
      <c r="X45" s="91"/>
      <c r="Y45" s="93">
        <f>SUM(W45:X45)</f>
        <v>0</v>
      </c>
      <c r="Z45" s="92"/>
      <c r="AA45" s="91"/>
      <c r="AB45" s="93">
        <f>SUM(Z45:AA45)</f>
        <v>0</v>
      </c>
      <c r="AC45" s="92"/>
      <c r="AD45" s="91"/>
      <c r="AE45" s="93">
        <f>SUM(AC45:AD45)</f>
        <v>0</v>
      </c>
      <c r="AF45" s="92"/>
      <c r="AG45" s="91"/>
      <c r="AH45" s="93">
        <f>SUM(AF45:AG45)</f>
        <v>0</v>
      </c>
      <c r="AI45" s="92"/>
      <c r="AJ45" s="91"/>
      <c r="AK45" s="93">
        <f>SUM(AI45:AJ45)</f>
        <v>0</v>
      </c>
      <c r="AL45" s="92"/>
      <c r="AM45" s="91"/>
      <c r="AN45" s="93">
        <f>SUM(AL45:AM45)</f>
        <v>0</v>
      </c>
      <c r="AO45" s="92"/>
      <c r="AP45" s="91"/>
      <c r="AQ45" s="93">
        <f>SUM(AO45:AP45)</f>
        <v>0</v>
      </c>
      <c r="AR45" s="433">
        <f t="shared" si="353"/>
        <v>0</v>
      </c>
      <c r="AS45" s="91">
        <f t="shared" si="354"/>
        <v>0</v>
      </c>
      <c r="AT45" s="184">
        <f>SUM(AR45:AS45)</f>
        <v>0</v>
      </c>
      <c r="AU45" s="92"/>
      <c r="AV45" s="91"/>
      <c r="AW45" s="93">
        <f>SUM(AU45:AV45)</f>
        <v>0</v>
      </c>
      <c r="AX45" s="92"/>
      <c r="AY45" s="91"/>
      <c r="AZ45" s="93">
        <f>SUM(AX45:AY45)</f>
        <v>0</v>
      </c>
      <c r="BA45" s="92"/>
      <c r="BB45" s="91"/>
      <c r="BC45" s="93">
        <f>SUM(BA45:BB45)</f>
        <v>0</v>
      </c>
      <c r="BD45" s="92"/>
      <c r="BE45" s="91"/>
      <c r="BF45" s="93">
        <f>SUM(BD45:BE45)</f>
        <v>0</v>
      </c>
      <c r="BG45" s="92"/>
      <c r="BH45" s="91"/>
      <c r="BI45" s="93">
        <f>SUM(BG45:BH45)</f>
        <v>0</v>
      </c>
      <c r="BJ45" s="92"/>
      <c r="BK45" s="91"/>
      <c r="BL45" s="93">
        <f>SUM(BJ45:BK45)</f>
        <v>0</v>
      </c>
      <c r="BM45" s="92"/>
      <c r="BN45" s="91"/>
      <c r="BO45" s="93">
        <f>SUM(BM45:BN45)</f>
        <v>0</v>
      </c>
      <c r="BP45" s="92"/>
      <c r="BQ45" s="91"/>
      <c r="BR45" s="93">
        <f>SUM(BP45:BQ45)</f>
        <v>0</v>
      </c>
      <c r="BS45" s="92"/>
      <c r="BT45" s="91"/>
      <c r="BU45" s="93">
        <f>SUM(BS45:BT45)</f>
        <v>0</v>
      </c>
      <c r="BV45" s="92"/>
      <c r="BW45" s="91"/>
      <c r="BX45" s="93">
        <f>SUM(BV45:BW45)</f>
        <v>0</v>
      </c>
      <c r="BY45" s="92"/>
      <c r="BZ45" s="91"/>
      <c r="CA45" s="93">
        <f>SUM(BY45:BZ45)</f>
        <v>0</v>
      </c>
      <c r="CB45" s="92"/>
      <c r="CC45" s="91"/>
      <c r="CD45" s="93">
        <f>SUM(CB45:CC45)</f>
        <v>0</v>
      </c>
      <c r="CE45" s="438">
        <f t="shared" si="392"/>
        <v>0</v>
      </c>
      <c r="CF45" s="175">
        <f t="shared" si="393"/>
        <v>0</v>
      </c>
      <c r="CG45" s="439">
        <f t="shared" si="394"/>
        <v>0</v>
      </c>
      <c r="CH45" s="91"/>
      <c r="CI45" s="91"/>
      <c r="CJ45" s="93">
        <f>SUM(CH45:CI45)</f>
        <v>0</v>
      </c>
      <c r="CK45" s="174"/>
      <c r="CL45" s="175"/>
      <c r="CM45" s="93">
        <f t="shared" si="355"/>
        <v>0</v>
      </c>
      <c r="CN45" s="174"/>
      <c r="CO45" s="175"/>
      <c r="CP45" s="93">
        <f t="shared" si="356"/>
        <v>0</v>
      </c>
      <c r="CQ45" s="174"/>
      <c r="CR45" s="175"/>
      <c r="CS45" s="93">
        <f t="shared" si="357"/>
        <v>0</v>
      </c>
      <c r="CT45" s="174"/>
      <c r="CU45" s="175"/>
      <c r="CV45" s="93">
        <f t="shared" si="358"/>
        <v>0</v>
      </c>
      <c r="CW45" s="174"/>
      <c r="CX45" s="175"/>
      <c r="CY45" s="93">
        <f t="shared" si="359"/>
        <v>0</v>
      </c>
      <c r="CZ45" s="174"/>
      <c r="DA45" s="175"/>
      <c r="DB45" s="93">
        <f t="shared" si="360"/>
        <v>0</v>
      </c>
      <c r="DC45" s="174"/>
      <c r="DD45" s="175"/>
      <c r="DE45" s="93">
        <f t="shared" si="361"/>
        <v>0</v>
      </c>
      <c r="DF45" s="174"/>
      <c r="DG45" s="175"/>
      <c r="DH45" s="93">
        <f t="shared" si="362"/>
        <v>0</v>
      </c>
      <c r="DI45" s="174"/>
      <c r="DJ45" s="175"/>
      <c r="DK45" s="93">
        <f t="shared" si="363"/>
        <v>0</v>
      </c>
      <c r="DL45" s="174"/>
      <c r="DM45" s="175"/>
      <c r="DN45" s="93">
        <f t="shared" si="364"/>
        <v>0</v>
      </c>
      <c r="DO45" s="174"/>
      <c r="DP45" s="175"/>
      <c r="DQ45" s="93">
        <f t="shared" si="365"/>
        <v>0</v>
      </c>
      <c r="DR45" s="438">
        <f t="shared" si="396"/>
        <v>0</v>
      </c>
      <c r="DS45" s="175">
        <f t="shared" si="397"/>
        <v>0</v>
      </c>
      <c r="DT45" s="439">
        <f t="shared" si="398"/>
        <v>0</v>
      </c>
    </row>
    <row r="46" spans="1:124" ht="14.25" customHeight="1">
      <c r="A46" s="23"/>
      <c r="B46" s="87"/>
      <c r="C46" s="88"/>
      <c r="D46" s="89"/>
      <c r="E46" s="433"/>
      <c r="F46" s="91"/>
      <c r="G46" s="184">
        <f>SUM(E46:F46)</f>
        <v>0</v>
      </c>
      <c r="H46" s="91"/>
      <c r="I46" s="91"/>
      <c r="J46" s="93">
        <f>SUM(H46:I46)</f>
        <v>0</v>
      </c>
      <c r="K46" s="91"/>
      <c r="L46" s="91"/>
      <c r="M46" s="93">
        <f>SUM(K46:L46)</f>
        <v>0</v>
      </c>
      <c r="N46" s="92"/>
      <c r="O46" s="91"/>
      <c r="P46" s="93">
        <f>SUM(N46:O46)</f>
        <v>0</v>
      </c>
      <c r="Q46" s="92"/>
      <c r="R46" s="91"/>
      <c r="S46" s="93">
        <f>SUM(Q46:R46)</f>
        <v>0</v>
      </c>
      <c r="T46" s="92"/>
      <c r="U46" s="91"/>
      <c r="V46" s="93">
        <f>SUM(T46:U46)</f>
        <v>0</v>
      </c>
      <c r="W46" s="92"/>
      <c r="X46" s="91"/>
      <c r="Y46" s="93">
        <f>SUM(W46:X46)</f>
        <v>0</v>
      </c>
      <c r="Z46" s="92"/>
      <c r="AA46" s="91"/>
      <c r="AB46" s="93">
        <f>SUM(Z46:AA46)</f>
        <v>0</v>
      </c>
      <c r="AC46" s="92"/>
      <c r="AD46" s="91"/>
      <c r="AE46" s="93">
        <f>SUM(AC46:AD46)</f>
        <v>0</v>
      </c>
      <c r="AF46" s="92"/>
      <c r="AG46" s="91"/>
      <c r="AH46" s="93">
        <f>SUM(AF46:AG46)</f>
        <v>0</v>
      </c>
      <c r="AI46" s="92"/>
      <c r="AJ46" s="91"/>
      <c r="AK46" s="93">
        <f>SUM(AI46:AJ46)</f>
        <v>0</v>
      </c>
      <c r="AL46" s="92"/>
      <c r="AM46" s="91"/>
      <c r="AN46" s="93">
        <f>SUM(AL46:AM46)</f>
        <v>0</v>
      </c>
      <c r="AO46" s="92"/>
      <c r="AP46" s="91"/>
      <c r="AQ46" s="93">
        <f>SUM(AO46:AP46)</f>
        <v>0</v>
      </c>
      <c r="AR46" s="433">
        <f t="shared" si="353"/>
        <v>0</v>
      </c>
      <c r="AS46" s="91">
        <f t="shared" si="354"/>
        <v>0</v>
      </c>
      <c r="AT46" s="184">
        <f>SUM(AR46:AS46)</f>
        <v>0</v>
      </c>
      <c r="AU46" s="92"/>
      <c r="AV46" s="91"/>
      <c r="AW46" s="93">
        <f>SUM(AU46:AV46)</f>
        <v>0</v>
      </c>
      <c r="AX46" s="92"/>
      <c r="AY46" s="91"/>
      <c r="AZ46" s="93">
        <f>SUM(AX46:AY46)</f>
        <v>0</v>
      </c>
      <c r="BA46" s="92"/>
      <c r="BB46" s="91"/>
      <c r="BC46" s="93">
        <f>SUM(BA46:BB46)</f>
        <v>0</v>
      </c>
      <c r="BD46" s="92"/>
      <c r="BE46" s="91"/>
      <c r="BF46" s="93">
        <f>SUM(BD46:BE46)</f>
        <v>0</v>
      </c>
      <c r="BG46" s="92"/>
      <c r="BH46" s="91"/>
      <c r="BI46" s="93">
        <f>SUM(BG46:BH46)</f>
        <v>0</v>
      </c>
      <c r="BJ46" s="92"/>
      <c r="BK46" s="91"/>
      <c r="BL46" s="93">
        <f>SUM(BJ46:BK46)</f>
        <v>0</v>
      </c>
      <c r="BM46" s="92"/>
      <c r="BN46" s="91"/>
      <c r="BO46" s="93">
        <f>SUM(BM46:BN46)</f>
        <v>0</v>
      </c>
      <c r="BP46" s="92"/>
      <c r="BQ46" s="91"/>
      <c r="BR46" s="93">
        <f>SUM(BP46:BQ46)</f>
        <v>0</v>
      </c>
      <c r="BS46" s="92"/>
      <c r="BT46" s="91"/>
      <c r="BU46" s="93">
        <f>SUM(BS46:BT46)</f>
        <v>0</v>
      </c>
      <c r="BV46" s="92"/>
      <c r="BW46" s="91"/>
      <c r="BX46" s="93">
        <f>SUM(BV46:BW46)</f>
        <v>0</v>
      </c>
      <c r="BY46" s="92"/>
      <c r="BZ46" s="91"/>
      <c r="CA46" s="93">
        <f>SUM(BY46:BZ46)</f>
        <v>0</v>
      </c>
      <c r="CB46" s="92"/>
      <c r="CC46" s="91"/>
      <c r="CD46" s="93">
        <f>SUM(CB46:CC46)</f>
        <v>0</v>
      </c>
      <c r="CE46" s="438">
        <f t="shared" si="392"/>
        <v>0</v>
      </c>
      <c r="CF46" s="175">
        <f t="shared" si="393"/>
        <v>0</v>
      </c>
      <c r="CG46" s="439">
        <f t="shared" si="394"/>
        <v>0</v>
      </c>
      <c r="CH46" s="91"/>
      <c r="CI46" s="91"/>
      <c r="CJ46" s="93">
        <f>SUM(CH46:CI46)</f>
        <v>0</v>
      </c>
      <c r="CK46" s="174"/>
      <c r="CL46" s="175"/>
      <c r="CM46" s="93">
        <f t="shared" si="355"/>
        <v>0</v>
      </c>
      <c r="CN46" s="174"/>
      <c r="CO46" s="175"/>
      <c r="CP46" s="93">
        <f t="shared" si="356"/>
        <v>0</v>
      </c>
      <c r="CQ46" s="174"/>
      <c r="CR46" s="175"/>
      <c r="CS46" s="93">
        <f t="shared" si="357"/>
        <v>0</v>
      </c>
      <c r="CT46" s="174"/>
      <c r="CU46" s="175"/>
      <c r="CV46" s="93">
        <f t="shared" si="358"/>
        <v>0</v>
      </c>
      <c r="CW46" s="174"/>
      <c r="CX46" s="175"/>
      <c r="CY46" s="93">
        <f t="shared" si="359"/>
        <v>0</v>
      </c>
      <c r="CZ46" s="174"/>
      <c r="DA46" s="175"/>
      <c r="DB46" s="93">
        <f t="shared" si="360"/>
        <v>0</v>
      </c>
      <c r="DC46" s="174"/>
      <c r="DD46" s="175"/>
      <c r="DE46" s="93">
        <f t="shared" si="361"/>
        <v>0</v>
      </c>
      <c r="DF46" s="174"/>
      <c r="DG46" s="175"/>
      <c r="DH46" s="93">
        <f t="shared" si="362"/>
        <v>0</v>
      </c>
      <c r="DI46" s="174"/>
      <c r="DJ46" s="175"/>
      <c r="DK46" s="93">
        <f t="shared" si="363"/>
        <v>0</v>
      </c>
      <c r="DL46" s="174"/>
      <c r="DM46" s="175"/>
      <c r="DN46" s="93">
        <f t="shared" si="364"/>
        <v>0</v>
      </c>
      <c r="DO46" s="174"/>
      <c r="DP46" s="175"/>
      <c r="DQ46" s="93">
        <f t="shared" si="365"/>
        <v>0</v>
      </c>
      <c r="DR46" s="438">
        <f t="shared" si="396"/>
        <v>0</v>
      </c>
      <c r="DS46" s="175">
        <f t="shared" si="397"/>
        <v>0</v>
      </c>
      <c r="DT46" s="439">
        <f t="shared" si="398"/>
        <v>0</v>
      </c>
    </row>
    <row r="47" spans="1:124" ht="14.25" customHeight="1">
      <c r="A47" s="23"/>
      <c r="B47" s="87"/>
      <c r="C47" s="88"/>
      <c r="D47" s="89"/>
      <c r="E47" s="433"/>
      <c r="F47" s="91"/>
      <c r="G47" s="184">
        <f t="shared" ref="G47" si="399">SUM(E47:F47)</f>
        <v>0</v>
      </c>
      <c r="H47" s="91"/>
      <c r="I47" s="91"/>
      <c r="J47" s="93">
        <f t="shared" ref="J47" si="400">SUM(H47:I47)</f>
        <v>0</v>
      </c>
      <c r="K47" s="91"/>
      <c r="L47" s="91"/>
      <c r="M47" s="93">
        <f t="shared" ref="M47" si="401">SUM(K47:L47)</f>
        <v>0</v>
      </c>
      <c r="N47" s="92"/>
      <c r="O47" s="91"/>
      <c r="P47" s="93">
        <f t="shared" ref="P47" si="402">SUM(N47:O47)</f>
        <v>0</v>
      </c>
      <c r="Q47" s="92"/>
      <c r="R47" s="91"/>
      <c r="S47" s="93">
        <f t="shared" ref="S47" si="403">SUM(Q47:R47)</f>
        <v>0</v>
      </c>
      <c r="T47" s="92"/>
      <c r="U47" s="91"/>
      <c r="V47" s="93">
        <f t="shared" ref="V47" si="404">SUM(T47:U47)</f>
        <v>0</v>
      </c>
      <c r="W47" s="92"/>
      <c r="X47" s="91"/>
      <c r="Y47" s="93">
        <f t="shared" ref="Y47" si="405">SUM(W47:X47)</f>
        <v>0</v>
      </c>
      <c r="Z47" s="92"/>
      <c r="AA47" s="91"/>
      <c r="AB47" s="93">
        <f t="shared" ref="AB47" si="406">SUM(Z47:AA47)</f>
        <v>0</v>
      </c>
      <c r="AC47" s="92"/>
      <c r="AD47" s="91"/>
      <c r="AE47" s="93">
        <f t="shared" ref="AE47" si="407">SUM(AC47:AD47)</f>
        <v>0</v>
      </c>
      <c r="AF47" s="92"/>
      <c r="AG47" s="91"/>
      <c r="AH47" s="93">
        <f t="shared" ref="AH47" si="408">SUM(AF47:AG47)</f>
        <v>0</v>
      </c>
      <c r="AI47" s="92"/>
      <c r="AJ47" s="91"/>
      <c r="AK47" s="93">
        <f t="shared" ref="AK47" si="409">SUM(AI47:AJ47)</f>
        <v>0</v>
      </c>
      <c r="AL47" s="92"/>
      <c r="AM47" s="91"/>
      <c r="AN47" s="93">
        <f t="shared" ref="AN47" si="410">SUM(AL47:AM47)</f>
        <v>0</v>
      </c>
      <c r="AO47" s="92"/>
      <c r="AP47" s="91"/>
      <c r="AQ47" s="93">
        <f t="shared" ref="AQ47" si="411">SUM(AO47:AP47)</f>
        <v>0</v>
      </c>
      <c r="AR47" s="433">
        <f t="shared" si="353"/>
        <v>0</v>
      </c>
      <c r="AS47" s="91">
        <f t="shared" si="354"/>
        <v>0</v>
      </c>
      <c r="AT47" s="184">
        <f t="shared" ref="AT47" si="412">SUM(AR47:AS47)</f>
        <v>0</v>
      </c>
      <c r="AU47" s="92"/>
      <c r="AV47" s="91"/>
      <c r="AW47" s="93">
        <f t="shared" ref="AW47" si="413">SUM(AU47:AV47)</f>
        <v>0</v>
      </c>
      <c r="AX47" s="92"/>
      <c r="AY47" s="91"/>
      <c r="AZ47" s="93">
        <f t="shared" ref="AZ47" si="414">SUM(AX47:AY47)</f>
        <v>0</v>
      </c>
      <c r="BA47" s="92"/>
      <c r="BB47" s="91"/>
      <c r="BC47" s="93">
        <f t="shared" ref="BC47" si="415">SUM(BA47:BB47)</f>
        <v>0</v>
      </c>
      <c r="BD47" s="92"/>
      <c r="BE47" s="91"/>
      <c r="BF47" s="93">
        <f t="shared" ref="BF47" si="416">SUM(BD47:BE47)</f>
        <v>0</v>
      </c>
      <c r="BG47" s="92"/>
      <c r="BH47" s="91"/>
      <c r="BI47" s="93">
        <f t="shared" ref="BI47" si="417">SUM(BG47:BH47)</f>
        <v>0</v>
      </c>
      <c r="BJ47" s="92"/>
      <c r="BK47" s="91"/>
      <c r="BL47" s="93">
        <f t="shared" ref="BL47" si="418">SUM(BJ47:BK47)</f>
        <v>0</v>
      </c>
      <c r="BM47" s="92"/>
      <c r="BN47" s="91"/>
      <c r="BO47" s="93">
        <f t="shared" ref="BO47" si="419">SUM(BM47:BN47)</f>
        <v>0</v>
      </c>
      <c r="BP47" s="92"/>
      <c r="BQ47" s="91"/>
      <c r="BR47" s="93">
        <f t="shared" ref="BR47" si="420">SUM(BP47:BQ47)</f>
        <v>0</v>
      </c>
      <c r="BS47" s="92"/>
      <c r="BT47" s="91"/>
      <c r="BU47" s="93">
        <f t="shared" ref="BU47" si="421">SUM(BS47:BT47)</f>
        <v>0</v>
      </c>
      <c r="BV47" s="92"/>
      <c r="BW47" s="91"/>
      <c r="BX47" s="93">
        <f t="shared" ref="BX47" si="422">SUM(BV47:BW47)</f>
        <v>0</v>
      </c>
      <c r="BY47" s="92"/>
      <c r="BZ47" s="91"/>
      <c r="CA47" s="93">
        <f t="shared" ref="CA47" si="423">SUM(BY47:BZ47)</f>
        <v>0</v>
      </c>
      <c r="CB47" s="92"/>
      <c r="CC47" s="91"/>
      <c r="CD47" s="93">
        <f t="shared" ref="CD47" si="424">SUM(CB47:CC47)</f>
        <v>0</v>
      </c>
      <c r="CE47" s="438">
        <f t="shared" si="392"/>
        <v>0</v>
      </c>
      <c r="CF47" s="175">
        <f t="shared" si="393"/>
        <v>0</v>
      </c>
      <c r="CG47" s="439">
        <f t="shared" si="394"/>
        <v>0</v>
      </c>
      <c r="CH47" s="91"/>
      <c r="CI47" s="91"/>
      <c r="CJ47" s="93">
        <f t="shared" ref="CJ47" si="425">SUM(CH47:CI47)</f>
        <v>0</v>
      </c>
      <c r="CK47" s="174"/>
      <c r="CL47" s="175"/>
      <c r="CM47" s="93">
        <f t="shared" si="355"/>
        <v>0</v>
      </c>
      <c r="CN47" s="174"/>
      <c r="CO47" s="175"/>
      <c r="CP47" s="93">
        <f t="shared" si="356"/>
        <v>0</v>
      </c>
      <c r="CQ47" s="174"/>
      <c r="CR47" s="175"/>
      <c r="CS47" s="93">
        <f t="shared" si="357"/>
        <v>0</v>
      </c>
      <c r="CT47" s="174"/>
      <c r="CU47" s="175"/>
      <c r="CV47" s="93">
        <f t="shared" si="358"/>
        <v>0</v>
      </c>
      <c r="CW47" s="174"/>
      <c r="CX47" s="175"/>
      <c r="CY47" s="93">
        <f t="shared" si="359"/>
        <v>0</v>
      </c>
      <c r="CZ47" s="174"/>
      <c r="DA47" s="175"/>
      <c r="DB47" s="93">
        <f t="shared" si="360"/>
        <v>0</v>
      </c>
      <c r="DC47" s="174"/>
      <c r="DD47" s="175"/>
      <c r="DE47" s="93">
        <f t="shared" si="361"/>
        <v>0</v>
      </c>
      <c r="DF47" s="174"/>
      <c r="DG47" s="175"/>
      <c r="DH47" s="93">
        <f t="shared" si="362"/>
        <v>0</v>
      </c>
      <c r="DI47" s="174"/>
      <c r="DJ47" s="175"/>
      <c r="DK47" s="93">
        <f t="shared" si="363"/>
        <v>0</v>
      </c>
      <c r="DL47" s="174"/>
      <c r="DM47" s="175"/>
      <c r="DN47" s="93">
        <f t="shared" si="364"/>
        <v>0</v>
      </c>
      <c r="DO47" s="174"/>
      <c r="DP47" s="175"/>
      <c r="DQ47" s="93">
        <f t="shared" si="365"/>
        <v>0</v>
      </c>
      <c r="DR47" s="438">
        <f t="shared" si="396"/>
        <v>0</v>
      </c>
      <c r="DS47" s="175">
        <f t="shared" si="397"/>
        <v>0</v>
      </c>
      <c r="DT47" s="439">
        <f t="shared" si="398"/>
        <v>0</v>
      </c>
    </row>
    <row r="48" spans="1:124" ht="14.25" customHeight="1">
      <c r="A48" s="23"/>
      <c r="B48" s="87"/>
      <c r="C48" s="88"/>
      <c r="D48" s="89"/>
      <c r="E48" s="433"/>
      <c r="F48" s="91"/>
      <c r="G48" s="184">
        <f>SUM(E48:F48)</f>
        <v>0</v>
      </c>
      <c r="H48" s="91"/>
      <c r="I48" s="91"/>
      <c r="J48" s="93">
        <f>SUM(H48:I48)</f>
        <v>0</v>
      </c>
      <c r="K48" s="91"/>
      <c r="L48" s="91"/>
      <c r="M48" s="93">
        <f>SUM(K48:L48)</f>
        <v>0</v>
      </c>
      <c r="N48" s="92"/>
      <c r="O48" s="91"/>
      <c r="P48" s="93">
        <f>SUM(N48:O48)</f>
        <v>0</v>
      </c>
      <c r="Q48" s="92"/>
      <c r="R48" s="91"/>
      <c r="S48" s="93">
        <f>SUM(Q48:R48)</f>
        <v>0</v>
      </c>
      <c r="T48" s="92"/>
      <c r="U48" s="91"/>
      <c r="V48" s="93">
        <f>SUM(T48:U48)</f>
        <v>0</v>
      </c>
      <c r="W48" s="92"/>
      <c r="X48" s="91"/>
      <c r="Y48" s="93">
        <f>SUM(W48:X48)</f>
        <v>0</v>
      </c>
      <c r="Z48" s="92"/>
      <c r="AA48" s="91"/>
      <c r="AB48" s="93">
        <f>SUM(Z48:AA48)</f>
        <v>0</v>
      </c>
      <c r="AC48" s="92"/>
      <c r="AD48" s="91"/>
      <c r="AE48" s="93">
        <f>SUM(AC48:AD48)</f>
        <v>0</v>
      </c>
      <c r="AF48" s="92"/>
      <c r="AG48" s="91"/>
      <c r="AH48" s="93">
        <f>SUM(AF48:AG48)</f>
        <v>0</v>
      </c>
      <c r="AI48" s="92"/>
      <c r="AJ48" s="91"/>
      <c r="AK48" s="93">
        <f>SUM(AI48:AJ48)</f>
        <v>0</v>
      </c>
      <c r="AL48" s="92"/>
      <c r="AM48" s="91"/>
      <c r="AN48" s="93">
        <f>SUM(AL48:AM48)</f>
        <v>0</v>
      </c>
      <c r="AO48" s="92"/>
      <c r="AP48" s="91"/>
      <c r="AQ48" s="93">
        <f>SUM(AO48:AP48)</f>
        <v>0</v>
      </c>
      <c r="AR48" s="433">
        <f t="shared" si="353"/>
        <v>0</v>
      </c>
      <c r="AS48" s="91">
        <f t="shared" si="354"/>
        <v>0</v>
      </c>
      <c r="AT48" s="184">
        <f>SUM(AR48:AS48)</f>
        <v>0</v>
      </c>
      <c r="AU48" s="92"/>
      <c r="AV48" s="91"/>
      <c r="AW48" s="93">
        <f>SUM(AU48:AV48)</f>
        <v>0</v>
      </c>
      <c r="AX48" s="92"/>
      <c r="AY48" s="91"/>
      <c r="AZ48" s="93">
        <f>SUM(AX48:AY48)</f>
        <v>0</v>
      </c>
      <c r="BA48" s="92"/>
      <c r="BB48" s="91"/>
      <c r="BC48" s="93">
        <f>SUM(BA48:BB48)</f>
        <v>0</v>
      </c>
      <c r="BD48" s="92"/>
      <c r="BE48" s="91"/>
      <c r="BF48" s="93">
        <f>SUM(BD48:BE48)</f>
        <v>0</v>
      </c>
      <c r="BG48" s="92"/>
      <c r="BH48" s="91"/>
      <c r="BI48" s="93">
        <f>SUM(BG48:BH48)</f>
        <v>0</v>
      </c>
      <c r="BJ48" s="92"/>
      <c r="BK48" s="91"/>
      <c r="BL48" s="93">
        <f>SUM(BJ48:BK48)</f>
        <v>0</v>
      </c>
      <c r="BM48" s="92"/>
      <c r="BN48" s="91"/>
      <c r="BO48" s="93">
        <f>SUM(BM48:BN48)</f>
        <v>0</v>
      </c>
      <c r="BP48" s="92"/>
      <c r="BQ48" s="91"/>
      <c r="BR48" s="93">
        <f>SUM(BP48:BQ48)</f>
        <v>0</v>
      </c>
      <c r="BS48" s="92"/>
      <c r="BT48" s="91"/>
      <c r="BU48" s="93">
        <f>SUM(BS48:BT48)</f>
        <v>0</v>
      </c>
      <c r="BV48" s="92"/>
      <c r="BW48" s="91"/>
      <c r="BX48" s="93">
        <f>SUM(BV48:BW48)</f>
        <v>0</v>
      </c>
      <c r="BY48" s="92"/>
      <c r="BZ48" s="91"/>
      <c r="CA48" s="93">
        <f>SUM(BY48:BZ48)</f>
        <v>0</v>
      </c>
      <c r="CB48" s="92"/>
      <c r="CC48" s="91"/>
      <c r="CD48" s="93">
        <f>SUM(CB48:CC48)</f>
        <v>0</v>
      </c>
      <c r="CE48" s="438">
        <f t="shared" si="392"/>
        <v>0</v>
      </c>
      <c r="CF48" s="175">
        <f t="shared" si="393"/>
        <v>0</v>
      </c>
      <c r="CG48" s="439">
        <f t="shared" si="394"/>
        <v>0</v>
      </c>
      <c r="CH48" s="91"/>
      <c r="CI48" s="91"/>
      <c r="CJ48" s="93">
        <f>SUM(CH48:CI48)</f>
        <v>0</v>
      </c>
      <c r="CK48" s="174"/>
      <c r="CL48" s="175"/>
      <c r="CM48" s="93">
        <f t="shared" si="355"/>
        <v>0</v>
      </c>
      <c r="CN48" s="174"/>
      <c r="CO48" s="175"/>
      <c r="CP48" s="93">
        <f t="shared" si="356"/>
        <v>0</v>
      </c>
      <c r="CQ48" s="174"/>
      <c r="CR48" s="175"/>
      <c r="CS48" s="93">
        <f t="shared" si="357"/>
        <v>0</v>
      </c>
      <c r="CT48" s="174"/>
      <c r="CU48" s="175"/>
      <c r="CV48" s="93">
        <f t="shared" si="358"/>
        <v>0</v>
      </c>
      <c r="CW48" s="174"/>
      <c r="CX48" s="175"/>
      <c r="CY48" s="93">
        <f t="shared" si="359"/>
        <v>0</v>
      </c>
      <c r="CZ48" s="174"/>
      <c r="DA48" s="175"/>
      <c r="DB48" s="93">
        <f t="shared" si="360"/>
        <v>0</v>
      </c>
      <c r="DC48" s="174"/>
      <c r="DD48" s="175"/>
      <c r="DE48" s="93">
        <f t="shared" si="361"/>
        <v>0</v>
      </c>
      <c r="DF48" s="174"/>
      <c r="DG48" s="175"/>
      <c r="DH48" s="93">
        <f t="shared" si="362"/>
        <v>0</v>
      </c>
      <c r="DI48" s="174"/>
      <c r="DJ48" s="175"/>
      <c r="DK48" s="93">
        <f t="shared" si="363"/>
        <v>0</v>
      </c>
      <c r="DL48" s="174"/>
      <c r="DM48" s="175"/>
      <c r="DN48" s="93">
        <f t="shared" si="364"/>
        <v>0</v>
      </c>
      <c r="DO48" s="174"/>
      <c r="DP48" s="175"/>
      <c r="DQ48" s="93">
        <f t="shared" si="365"/>
        <v>0</v>
      </c>
      <c r="DR48" s="438">
        <f t="shared" si="396"/>
        <v>0</v>
      </c>
      <c r="DS48" s="175">
        <f t="shared" si="397"/>
        <v>0</v>
      </c>
      <c r="DT48" s="439">
        <f t="shared" si="398"/>
        <v>0</v>
      </c>
    </row>
    <row r="49" spans="1:124" ht="14.25" customHeight="1">
      <c r="A49" s="23"/>
      <c r="B49" s="87"/>
      <c r="C49" s="88"/>
      <c r="D49" s="89"/>
      <c r="E49" s="433"/>
      <c r="F49" s="91"/>
      <c r="G49" s="184"/>
      <c r="H49" s="91"/>
      <c r="I49" s="91"/>
      <c r="J49" s="93"/>
      <c r="K49" s="91"/>
      <c r="L49" s="91"/>
      <c r="M49" s="93"/>
      <c r="N49" s="92"/>
      <c r="O49" s="91"/>
      <c r="P49" s="93"/>
      <c r="Q49" s="92"/>
      <c r="R49" s="91"/>
      <c r="S49" s="93"/>
      <c r="T49" s="92"/>
      <c r="U49" s="91"/>
      <c r="V49" s="93"/>
      <c r="W49" s="92"/>
      <c r="X49" s="91"/>
      <c r="Y49" s="93"/>
      <c r="Z49" s="92"/>
      <c r="AA49" s="91"/>
      <c r="AB49" s="93"/>
      <c r="AC49" s="92"/>
      <c r="AD49" s="91"/>
      <c r="AE49" s="93"/>
      <c r="AF49" s="92"/>
      <c r="AG49" s="91"/>
      <c r="AH49" s="93"/>
      <c r="AI49" s="92"/>
      <c r="AJ49" s="91"/>
      <c r="AK49" s="93"/>
      <c r="AL49" s="92"/>
      <c r="AM49" s="91"/>
      <c r="AN49" s="93"/>
      <c r="AO49" s="92"/>
      <c r="AP49" s="91"/>
      <c r="AQ49" s="93"/>
      <c r="AR49" s="433"/>
      <c r="AS49" s="91"/>
      <c r="AT49" s="184"/>
      <c r="AU49" s="92"/>
      <c r="AV49" s="91"/>
      <c r="AW49" s="93"/>
      <c r="AX49" s="92"/>
      <c r="AY49" s="91"/>
      <c r="AZ49" s="93"/>
      <c r="BA49" s="92"/>
      <c r="BB49" s="91"/>
      <c r="BC49" s="93"/>
      <c r="BD49" s="92"/>
      <c r="BE49" s="91"/>
      <c r="BF49" s="93"/>
      <c r="BG49" s="92"/>
      <c r="BH49" s="91"/>
      <c r="BI49" s="93"/>
      <c r="BJ49" s="92"/>
      <c r="BK49" s="91"/>
      <c r="BL49" s="93"/>
      <c r="BM49" s="92"/>
      <c r="BN49" s="91"/>
      <c r="BO49" s="93"/>
      <c r="BP49" s="92"/>
      <c r="BQ49" s="91"/>
      <c r="BR49" s="93"/>
      <c r="BS49" s="92"/>
      <c r="BT49" s="91"/>
      <c r="BU49" s="93"/>
      <c r="BV49" s="92"/>
      <c r="BW49" s="91"/>
      <c r="BX49" s="93"/>
      <c r="BY49" s="92"/>
      <c r="BZ49" s="91"/>
      <c r="CA49" s="93"/>
      <c r="CB49" s="92"/>
      <c r="CC49" s="91"/>
      <c r="CD49" s="93"/>
      <c r="CE49" s="438"/>
      <c r="CF49" s="175"/>
      <c r="CG49" s="439"/>
      <c r="CH49" s="91"/>
      <c r="CI49" s="91"/>
      <c r="CJ49" s="93"/>
      <c r="CK49" s="174"/>
      <c r="CL49" s="175"/>
      <c r="CM49" s="93"/>
      <c r="CN49" s="174"/>
      <c r="CO49" s="175"/>
      <c r="CP49" s="93"/>
      <c r="CQ49" s="174"/>
      <c r="CR49" s="175"/>
      <c r="CS49" s="93"/>
      <c r="CT49" s="174"/>
      <c r="CU49" s="175"/>
      <c r="CV49" s="93"/>
      <c r="CW49" s="174"/>
      <c r="CX49" s="175"/>
      <c r="CY49" s="93"/>
      <c r="CZ49" s="174"/>
      <c r="DA49" s="175"/>
      <c r="DB49" s="93"/>
      <c r="DC49" s="174"/>
      <c r="DD49" s="175"/>
      <c r="DE49" s="93"/>
      <c r="DF49" s="174"/>
      <c r="DG49" s="175"/>
      <c r="DH49" s="93"/>
      <c r="DI49" s="174"/>
      <c r="DJ49" s="175"/>
      <c r="DK49" s="93"/>
      <c r="DL49" s="174"/>
      <c r="DM49" s="175"/>
      <c r="DN49" s="93"/>
      <c r="DO49" s="174"/>
      <c r="DP49" s="175"/>
      <c r="DQ49" s="93"/>
      <c r="DR49" s="438"/>
      <c r="DS49" s="175"/>
      <c r="DT49" s="439"/>
    </row>
    <row r="50" spans="1:124" ht="14.25" customHeight="1">
      <c r="A50" s="23"/>
      <c r="B50" s="100"/>
      <c r="C50" s="101" t="s">
        <v>4</v>
      </c>
      <c r="D50" s="102" t="s">
        <v>65</v>
      </c>
      <c r="E50" s="435"/>
      <c r="F50" s="107">
        <v>0</v>
      </c>
      <c r="G50" s="183">
        <f>E50+F50</f>
        <v>0</v>
      </c>
      <c r="H50" s="107"/>
      <c r="I50" s="107">
        <v>0</v>
      </c>
      <c r="J50" s="547">
        <f>H50+I50</f>
        <v>0</v>
      </c>
      <c r="K50" s="107"/>
      <c r="L50" s="107">
        <v>0</v>
      </c>
      <c r="M50" s="547">
        <f>K50+L50</f>
        <v>0</v>
      </c>
      <c r="N50" s="170"/>
      <c r="O50" s="107">
        <v>0</v>
      </c>
      <c r="P50" s="547">
        <f>N50+O50</f>
        <v>0</v>
      </c>
      <c r="Q50" s="170"/>
      <c r="R50" s="107">
        <v>0</v>
      </c>
      <c r="S50" s="547">
        <f>Q50+R50</f>
        <v>0</v>
      </c>
      <c r="T50" s="170"/>
      <c r="U50" s="107">
        <v>0</v>
      </c>
      <c r="V50" s="547">
        <f>T50+U50</f>
        <v>0</v>
      </c>
      <c r="W50" s="170"/>
      <c r="X50" s="107">
        <v>0</v>
      </c>
      <c r="Y50" s="547">
        <f>W50+X50</f>
        <v>0</v>
      </c>
      <c r="Z50" s="170"/>
      <c r="AA50" s="107">
        <v>0</v>
      </c>
      <c r="AB50" s="547">
        <f>Z50+AA50</f>
        <v>0</v>
      </c>
      <c r="AC50" s="170"/>
      <c r="AD50" s="107">
        <v>0</v>
      </c>
      <c r="AE50" s="547">
        <f>AC50+AD50</f>
        <v>0</v>
      </c>
      <c r="AF50" s="170"/>
      <c r="AG50" s="107">
        <v>0</v>
      </c>
      <c r="AH50" s="547">
        <f>AF50+AG50</f>
        <v>0</v>
      </c>
      <c r="AI50" s="170"/>
      <c r="AJ50" s="107">
        <v>0</v>
      </c>
      <c r="AK50" s="547">
        <f>AI50+AJ50</f>
        <v>0</v>
      </c>
      <c r="AL50" s="170"/>
      <c r="AM50" s="107">
        <v>0</v>
      </c>
      <c r="AN50" s="547">
        <f>AL50+AM50</f>
        <v>0</v>
      </c>
      <c r="AO50" s="170"/>
      <c r="AP50" s="107">
        <v>0</v>
      </c>
      <c r="AQ50" s="547">
        <f>AO50+AP50</f>
        <v>0</v>
      </c>
      <c r="AR50" s="435">
        <f>AO50+AL50+AI50+AF50+AC50+Z50+W50+T50+Q50+N50+K50+H50</f>
        <v>0</v>
      </c>
      <c r="AS50" s="107">
        <f>AP50+AM50+AJ50+AG50+AD50+AA50+X50+U50+R50+O50+L50+I50</f>
        <v>0</v>
      </c>
      <c r="AT50" s="183">
        <f>AR50+AS50</f>
        <v>0</v>
      </c>
      <c r="AU50" s="170"/>
      <c r="AV50" s="107">
        <v>0</v>
      </c>
      <c r="AW50" s="547">
        <f>AU50+AV50</f>
        <v>0</v>
      </c>
      <c r="AX50" s="170"/>
      <c r="AY50" s="107">
        <v>0</v>
      </c>
      <c r="AZ50" s="547">
        <f>AX50+AY50</f>
        <v>0</v>
      </c>
      <c r="BA50" s="170"/>
      <c r="BB50" s="107">
        <v>0</v>
      </c>
      <c r="BC50" s="547">
        <f>BA50+BB50</f>
        <v>0</v>
      </c>
      <c r="BD50" s="170"/>
      <c r="BE50" s="107">
        <v>0</v>
      </c>
      <c r="BF50" s="547">
        <f>BD50+BE50</f>
        <v>0</v>
      </c>
      <c r="BG50" s="170"/>
      <c r="BH50" s="107">
        <v>0</v>
      </c>
      <c r="BI50" s="547">
        <f>BG50+BH50</f>
        <v>0</v>
      </c>
      <c r="BJ50" s="170"/>
      <c r="BK50" s="107">
        <v>0</v>
      </c>
      <c r="BL50" s="547">
        <f>BJ50+BK50</f>
        <v>0</v>
      </c>
      <c r="BM50" s="170"/>
      <c r="BN50" s="107">
        <v>0</v>
      </c>
      <c r="BO50" s="547">
        <f>BM50+BN50</f>
        <v>0</v>
      </c>
      <c r="BP50" s="170"/>
      <c r="BQ50" s="107">
        <v>0</v>
      </c>
      <c r="BR50" s="547">
        <f>BP50+BQ50</f>
        <v>0</v>
      </c>
      <c r="BS50" s="170"/>
      <c r="BT50" s="107">
        <v>0</v>
      </c>
      <c r="BU50" s="547">
        <f>BS50+BT50</f>
        <v>0</v>
      </c>
      <c r="BV50" s="170"/>
      <c r="BW50" s="107">
        <v>0</v>
      </c>
      <c r="BX50" s="547">
        <f>BV50+BW50</f>
        <v>0</v>
      </c>
      <c r="BY50" s="170"/>
      <c r="BZ50" s="107">
        <v>0</v>
      </c>
      <c r="CA50" s="547">
        <f>BY50+BZ50</f>
        <v>0</v>
      </c>
      <c r="CB50" s="170"/>
      <c r="CC50" s="107">
        <v>0</v>
      </c>
      <c r="CD50" s="547">
        <f>CB50+CC50</f>
        <v>0</v>
      </c>
      <c r="CE50" s="449">
        <f t="shared" ref="CE50" si="426">CB50+BY50+BV50+BS50+BP50+BM50+BJ50+BG50+BD50+BA50+AX50+AU50</f>
        <v>0</v>
      </c>
      <c r="CF50" s="181">
        <f t="shared" ref="CF50" si="427">CC50+BZ50+BW50+BT50+BQ50+BN50+BK50+BH50+BE50+BB50+AY50+AV50</f>
        <v>0</v>
      </c>
      <c r="CG50" s="450">
        <f t="shared" ref="CG50" si="428">SUM(CE50:CF50)</f>
        <v>0</v>
      </c>
      <c r="CH50" s="107"/>
      <c r="CI50" s="107">
        <v>0</v>
      </c>
      <c r="CJ50" s="547">
        <f>CH50+CI50</f>
        <v>0</v>
      </c>
      <c r="CK50" s="180"/>
      <c r="CL50" s="181"/>
      <c r="CM50" s="547">
        <f>SUM(CK50:CL50)</f>
        <v>0</v>
      </c>
      <c r="CN50" s="180"/>
      <c r="CO50" s="181"/>
      <c r="CP50" s="547">
        <f>SUM(CN50:CO50)</f>
        <v>0</v>
      </c>
      <c r="CQ50" s="180"/>
      <c r="CR50" s="181"/>
      <c r="CS50" s="547">
        <f>SUM(CQ50:CR50)</f>
        <v>0</v>
      </c>
      <c r="CT50" s="180"/>
      <c r="CU50" s="181"/>
      <c r="CV50" s="547">
        <f>SUM(CT50:CU50)</f>
        <v>0</v>
      </c>
      <c r="CW50" s="180"/>
      <c r="CX50" s="181"/>
      <c r="CY50" s="547">
        <f>SUM(CW50:CX50)</f>
        <v>0</v>
      </c>
      <c r="CZ50" s="180"/>
      <c r="DA50" s="181"/>
      <c r="DB50" s="547">
        <f>SUM(CZ50:DA50)</f>
        <v>0</v>
      </c>
      <c r="DC50" s="180"/>
      <c r="DD50" s="181"/>
      <c r="DE50" s="547">
        <f>SUM(DC50:DD50)</f>
        <v>0</v>
      </c>
      <c r="DF50" s="180"/>
      <c r="DG50" s="181"/>
      <c r="DH50" s="547">
        <f>SUM(DF50:DG50)</f>
        <v>0</v>
      </c>
      <c r="DI50" s="180"/>
      <c r="DJ50" s="181"/>
      <c r="DK50" s="547">
        <f>SUM(DI50:DJ50)</f>
        <v>0</v>
      </c>
      <c r="DL50" s="180"/>
      <c r="DM50" s="181"/>
      <c r="DN50" s="547">
        <f>SUM(DL50:DM50)</f>
        <v>0</v>
      </c>
      <c r="DO50" s="180"/>
      <c r="DP50" s="181"/>
      <c r="DQ50" s="547">
        <f>SUM(DO50:DP50)</f>
        <v>0</v>
      </c>
      <c r="DR50" s="449">
        <f t="shared" ref="DR50" si="429">DO50+DL50+DI50+DF50+DC50+CZ50+CW50+CT50+CQ50+CN50+CK50+CH50</f>
        <v>0</v>
      </c>
      <c r="DS50" s="181">
        <f t="shared" ref="DS50" si="430">DP50+DM50+DJ50+DG50+DD50+DA50+CX50+CU50+CR50+CO50+CL50+CI50</f>
        <v>0</v>
      </c>
      <c r="DT50" s="450">
        <f t="shared" ref="DT50" si="431">SUM(DR50:DS50)</f>
        <v>0</v>
      </c>
    </row>
    <row r="51" spans="1:124" ht="14.25" customHeight="1">
      <c r="A51" s="23"/>
      <c r="B51" s="87"/>
      <c r="C51" s="88"/>
      <c r="D51" s="99"/>
      <c r="E51" s="433"/>
      <c r="F51" s="91"/>
      <c r="G51" s="434"/>
      <c r="H51" s="91"/>
      <c r="I51" s="91"/>
      <c r="J51" s="546"/>
      <c r="K51" s="91"/>
      <c r="L51" s="91"/>
      <c r="M51" s="546"/>
      <c r="N51" s="92"/>
      <c r="O51" s="91"/>
      <c r="P51" s="546"/>
      <c r="Q51" s="92"/>
      <c r="R51" s="91"/>
      <c r="S51" s="546"/>
      <c r="T51" s="92"/>
      <c r="U51" s="91"/>
      <c r="V51" s="546"/>
      <c r="W51" s="92"/>
      <c r="X51" s="91"/>
      <c r="Y51" s="546"/>
      <c r="Z51" s="92"/>
      <c r="AA51" s="91"/>
      <c r="AB51" s="546"/>
      <c r="AC51" s="92"/>
      <c r="AD51" s="91"/>
      <c r="AE51" s="546"/>
      <c r="AF51" s="92"/>
      <c r="AG51" s="91"/>
      <c r="AH51" s="546"/>
      <c r="AI51" s="92"/>
      <c r="AJ51" s="91"/>
      <c r="AK51" s="546"/>
      <c r="AL51" s="92"/>
      <c r="AM51" s="91"/>
      <c r="AN51" s="546"/>
      <c r="AO51" s="92"/>
      <c r="AP51" s="91"/>
      <c r="AQ51" s="546"/>
      <c r="AR51" s="433"/>
      <c r="AS51" s="91"/>
      <c r="AT51" s="434"/>
      <c r="AU51" s="92"/>
      <c r="AV51" s="91"/>
      <c r="AW51" s="546"/>
      <c r="AX51" s="92"/>
      <c r="AY51" s="91"/>
      <c r="AZ51" s="546"/>
      <c r="BA51" s="92"/>
      <c r="BB51" s="91"/>
      <c r="BC51" s="546"/>
      <c r="BD51" s="92"/>
      <c r="BE51" s="91"/>
      <c r="BF51" s="546"/>
      <c r="BG51" s="92"/>
      <c r="BH51" s="91"/>
      <c r="BI51" s="546"/>
      <c r="BJ51" s="92"/>
      <c r="BK51" s="91"/>
      <c r="BL51" s="546"/>
      <c r="BM51" s="92"/>
      <c r="BN51" s="91"/>
      <c r="BO51" s="546"/>
      <c r="BP51" s="92"/>
      <c r="BQ51" s="91"/>
      <c r="BR51" s="546"/>
      <c r="BS51" s="92"/>
      <c r="BT51" s="91"/>
      <c r="BU51" s="546"/>
      <c r="BV51" s="92"/>
      <c r="BW51" s="91"/>
      <c r="BX51" s="546"/>
      <c r="BY51" s="92"/>
      <c r="BZ51" s="91"/>
      <c r="CA51" s="546"/>
      <c r="CB51" s="92"/>
      <c r="CC51" s="91"/>
      <c r="CD51" s="546"/>
      <c r="CE51" s="433"/>
      <c r="CF51" s="91"/>
      <c r="CG51" s="434"/>
      <c r="CH51" s="91"/>
      <c r="CI51" s="91"/>
      <c r="CJ51" s="546"/>
      <c r="CK51" s="90"/>
      <c r="CL51" s="91"/>
      <c r="CM51" s="546"/>
      <c r="CN51" s="90"/>
      <c r="CO51" s="91"/>
      <c r="CP51" s="546"/>
      <c r="CQ51" s="90"/>
      <c r="CR51" s="91"/>
      <c r="CS51" s="546"/>
      <c r="CT51" s="90"/>
      <c r="CU51" s="91"/>
      <c r="CV51" s="546"/>
      <c r="CW51" s="90"/>
      <c r="CX51" s="91"/>
      <c r="CY51" s="546"/>
      <c r="CZ51" s="90"/>
      <c r="DA51" s="91"/>
      <c r="DB51" s="546"/>
      <c r="DC51" s="90"/>
      <c r="DD51" s="91"/>
      <c r="DE51" s="546"/>
      <c r="DF51" s="90"/>
      <c r="DG51" s="91"/>
      <c r="DH51" s="546"/>
      <c r="DI51" s="90"/>
      <c r="DJ51" s="91"/>
      <c r="DK51" s="546"/>
      <c r="DL51" s="90"/>
      <c r="DM51" s="91"/>
      <c r="DN51" s="546"/>
      <c r="DO51" s="90"/>
      <c r="DP51" s="91"/>
      <c r="DQ51" s="546"/>
      <c r="DR51" s="433"/>
      <c r="DS51" s="91"/>
      <c r="DT51" s="434"/>
    </row>
    <row r="52" spans="1:124" ht="14.25" customHeight="1">
      <c r="A52" s="23"/>
      <c r="B52" s="103"/>
      <c r="C52" s="104" t="s">
        <v>5</v>
      </c>
      <c r="D52" s="105" t="s">
        <v>69</v>
      </c>
      <c r="E52" s="436" t="str">
        <f t="shared" ref="E52:BP52" si="432">IFERROR(E34/E50,"-")</f>
        <v>-</v>
      </c>
      <c r="F52" s="172" t="str">
        <f t="shared" si="432"/>
        <v>-</v>
      </c>
      <c r="G52" s="437" t="str">
        <f t="shared" si="432"/>
        <v>-</v>
      </c>
      <c r="H52" s="172" t="str">
        <f t="shared" si="432"/>
        <v>-</v>
      </c>
      <c r="I52" s="172" t="str">
        <f t="shared" si="432"/>
        <v>-</v>
      </c>
      <c r="J52" s="548" t="str">
        <f t="shared" si="432"/>
        <v>-</v>
      </c>
      <c r="K52" s="172" t="str">
        <f t="shared" si="432"/>
        <v>-</v>
      </c>
      <c r="L52" s="172" t="str">
        <f t="shared" si="432"/>
        <v>-</v>
      </c>
      <c r="M52" s="548" t="str">
        <f t="shared" si="432"/>
        <v>-</v>
      </c>
      <c r="N52" s="173" t="str">
        <f t="shared" si="432"/>
        <v>-</v>
      </c>
      <c r="O52" s="172" t="str">
        <f t="shared" si="432"/>
        <v>-</v>
      </c>
      <c r="P52" s="548" t="str">
        <f t="shared" si="432"/>
        <v>-</v>
      </c>
      <c r="Q52" s="173" t="str">
        <f t="shared" si="432"/>
        <v>-</v>
      </c>
      <c r="R52" s="172" t="str">
        <f t="shared" si="432"/>
        <v>-</v>
      </c>
      <c r="S52" s="548" t="str">
        <f t="shared" si="432"/>
        <v>-</v>
      </c>
      <c r="T52" s="173" t="str">
        <f t="shared" si="432"/>
        <v>-</v>
      </c>
      <c r="U52" s="172" t="str">
        <f t="shared" si="432"/>
        <v>-</v>
      </c>
      <c r="V52" s="548" t="str">
        <f t="shared" si="432"/>
        <v>-</v>
      </c>
      <c r="W52" s="173" t="str">
        <f t="shared" si="432"/>
        <v>-</v>
      </c>
      <c r="X52" s="172" t="str">
        <f t="shared" si="432"/>
        <v>-</v>
      </c>
      <c r="Y52" s="548" t="str">
        <f t="shared" si="432"/>
        <v>-</v>
      </c>
      <c r="Z52" s="173" t="str">
        <f t="shared" si="432"/>
        <v>-</v>
      </c>
      <c r="AA52" s="172" t="str">
        <f t="shared" si="432"/>
        <v>-</v>
      </c>
      <c r="AB52" s="548" t="str">
        <f t="shared" si="432"/>
        <v>-</v>
      </c>
      <c r="AC52" s="173" t="str">
        <f t="shared" si="432"/>
        <v>-</v>
      </c>
      <c r="AD52" s="172" t="str">
        <f t="shared" si="432"/>
        <v>-</v>
      </c>
      <c r="AE52" s="548" t="str">
        <f t="shared" si="432"/>
        <v>-</v>
      </c>
      <c r="AF52" s="173" t="str">
        <f t="shared" si="432"/>
        <v>-</v>
      </c>
      <c r="AG52" s="172" t="str">
        <f t="shared" si="432"/>
        <v>-</v>
      </c>
      <c r="AH52" s="548" t="str">
        <f t="shared" si="432"/>
        <v>-</v>
      </c>
      <c r="AI52" s="173" t="str">
        <f t="shared" si="432"/>
        <v>-</v>
      </c>
      <c r="AJ52" s="172" t="str">
        <f t="shared" si="432"/>
        <v>-</v>
      </c>
      <c r="AK52" s="548" t="str">
        <f t="shared" si="432"/>
        <v>-</v>
      </c>
      <c r="AL52" s="173" t="str">
        <f t="shared" si="432"/>
        <v>-</v>
      </c>
      <c r="AM52" s="172" t="str">
        <f t="shared" si="432"/>
        <v>-</v>
      </c>
      <c r="AN52" s="548" t="str">
        <f t="shared" si="432"/>
        <v>-</v>
      </c>
      <c r="AO52" s="173" t="str">
        <f t="shared" si="432"/>
        <v>-</v>
      </c>
      <c r="AP52" s="172" t="str">
        <f t="shared" si="432"/>
        <v>-</v>
      </c>
      <c r="AQ52" s="548" t="str">
        <f t="shared" si="432"/>
        <v>-</v>
      </c>
      <c r="AR52" s="436" t="str">
        <f t="shared" si="432"/>
        <v>-</v>
      </c>
      <c r="AS52" s="172" t="str">
        <f t="shared" si="432"/>
        <v>-</v>
      </c>
      <c r="AT52" s="437" t="str">
        <f t="shared" si="432"/>
        <v>-</v>
      </c>
      <c r="AU52" s="173" t="str">
        <f t="shared" si="432"/>
        <v>-</v>
      </c>
      <c r="AV52" s="172" t="str">
        <f t="shared" si="432"/>
        <v>-</v>
      </c>
      <c r="AW52" s="548" t="str">
        <f t="shared" si="432"/>
        <v>-</v>
      </c>
      <c r="AX52" s="173" t="str">
        <f t="shared" si="432"/>
        <v>-</v>
      </c>
      <c r="AY52" s="172" t="str">
        <f t="shared" si="432"/>
        <v>-</v>
      </c>
      <c r="AZ52" s="548" t="str">
        <f t="shared" si="432"/>
        <v>-</v>
      </c>
      <c r="BA52" s="173" t="str">
        <f t="shared" si="432"/>
        <v>-</v>
      </c>
      <c r="BB52" s="172" t="str">
        <f t="shared" si="432"/>
        <v>-</v>
      </c>
      <c r="BC52" s="548" t="str">
        <f t="shared" si="432"/>
        <v>-</v>
      </c>
      <c r="BD52" s="173" t="str">
        <f t="shared" si="432"/>
        <v>-</v>
      </c>
      <c r="BE52" s="172" t="str">
        <f t="shared" si="432"/>
        <v>-</v>
      </c>
      <c r="BF52" s="548" t="str">
        <f t="shared" si="432"/>
        <v>-</v>
      </c>
      <c r="BG52" s="173" t="str">
        <f t="shared" si="432"/>
        <v>-</v>
      </c>
      <c r="BH52" s="172" t="str">
        <f t="shared" si="432"/>
        <v>-</v>
      </c>
      <c r="BI52" s="548" t="str">
        <f t="shared" si="432"/>
        <v>-</v>
      </c>
      <c r="BJ52" s="173" t="str">
        <f t="shared" si="432"/>
        <v>-</v>
      </c>
      <c r="BK52" s="172" t="str">
        <f t="shared" si="432"/>
        <v>-</v>
      </c>
      <c r="BL52" s="548" t="str">
        <f t="shared" si="432"/>
        <v>-</v>
      </c>
      <c r="BM52" s="173" t="str">
        <f t="shared" si="432"/>
        <v>-</v>
      </c>
      <c r="BN52" s="172" t="str">
        <f t="shared" si="432"/>
        <v>-</v>
      </c>
      <c r="BO52" s="548" t="str">
        <f t="shared" si="432"/>
        <v>-</v>
      </c>
      <c r="BP52" s="173" t="str">
        <f t="shared" si="432"/>
        <v>-</v>
      </c>
      <c r="BQ52" s="172" t="str">
        <f t="shared" ref="BQ52:DT52" si="433">IFERROR(BQ34/BQ50,"-")</f>
        <v>-</v>
      </c>
      <c r="BR52" s="548" t="str">
        <f t="shared" si="433"/>
        <v>-</v>
      </c>
      <c r="BS52" s="173" t="str">
        <f t="shared" si="433"/>
        <v>-</v>
      </c>
      <c r="BT52" s="172" t="str">
        <f t="shared" si="433"/>
        <v>-</v>
      </c>
      <c r="BU52" s="548" t="str">
        <f t="shared" si="433"/>
        <v>-</v>
      </c>
      <c r="BV52" s="173" t="str">
        <f t="shared" si="433"/>
        <v>-</v>
      </c>
      <c r="BW52" s="172" t="str">
        <f t="shared" si="433"/>
        <v>-</v>
      </c>
      <c r="BX52" s="548" t="str">
        <f t="shared" si="433"/>
        <v>-</v>
      </c>
      <c r="BY52" s="173" t="str">
        <f t="shared" si="433"/>
        <v>-</v>
      </c>
      <c r="BZ52" s="172" t="str">
        <f t="shared" si="433"/>
        <v>-</v>
      </c>
      <c r="CA52" s="548" t="str">
        <f t="shared" si="433"/>
        <v>-</v>
      </c>
      <c r="CB52" s="173" t="str">
        <f t="shared" si="433"/>
        <v>-</v>
      </c>
      <c r="CC52" s="172" t="str">
        <f t="shared" si="433"/>
        <v>-</v>
      </c>
      <c r="CD52" s="548" t="str">
        <f t="shared" si="433"/>
        <v>-</v>
      </c>
      <c r="CE52" s="436" t="str">
        <f t="shared" si="433"/>
        <v>-</v>
      </c>
      <c r="CF52" s="172" t="str">
        <f t="shared" si="433"/>
        <v>-</v>
      </c>
      <c r="CG52" s="437" t="str">
        <f t="shared" si="433"/>
        <v>-</v>
      </c>
      <c r="CH52" s="172" t="str">
        <f t="shared" si="433"/>
        <v>-</v>
      </c>
      <c r="CI52" s="172" t="str">
        <f t="shared" si="433"/>
        <v>-</v>
      </c>
      <c r="CJ52" s="548" t="str">
        <f t="shared" si="433"/>
        <v>-</v>
      </c>
      <c r="CK52" s="171" t="str">
        <f t="shared" si="433"/>
        <v>-</v>
      </c>
      <c r="CL52" s="172" t="str">
        <f t="shared" si="433"/>
        <v>-</v>
      </c>
      <c r="CM52" s="548" t="str">
        <f t="shared" si="433"/>
        <v>-</v>
      </c>
      <c r="CN52" s="171" t="str">
        <f t="shared" si="433"/>
        <v>-</v>
      </c>
      <c r="CO52" s="172" t="str">
        <f t="shared" si="433"/>
        <v>-</v>
      </c>
      <c r="CP52" s="548" t="str">
        <f t="shared" si="433"/>
        <v>-</v>
      </c>
      <c r="CQ52" s="171" t="str">
        <f t="shared" si="433"/>
        <v>-</v>
      </c>
      <c r="CR52" s="172" t="str">
        <f t="shared" si="433"/>
        <v>-</v>
      </c>
      <c r="CS52" s="548" t="str">
        <f t="shared" si="433"/>
        <v>-</v>
      </c>
      <c r="CT52" s="171" t="str">
        <f t="shared" si="433"/>
        <v>-</v>
      </c>
      <c r="CU52" s="172" t="str">
        <f t="shared" si="433"/>
        <v>-</v>
      </c>
      <c r="CV52" s="548" t="str">
        <f t="shared" si="433"/>
        <v>-</v>
      </c>
      <c r="CW52" s="171" t="str">
        <f t="shared" si="433"/>
        <v>-</v>
      </c>
      <c r="CX52" s="172" t="str">
        <f t="shared" si="433"/>
        <v>-</v>
      </c>
      <c r="CY52" s="548" t="str">
        <f t="shared" si="433"/>
        <v>-</v>
      </c>
      <c r="CZ52" s="171" t="str">
        <f t="shared" si="433"/>
        <v>-</v>
      </c>
      <c r="DA52" s="172" t="str">
        <f t="shared" si="433"/>
        <v>-</v>
      </c>
      <c r="DB52" s="548" t="str">
        <f t="shared" si="433"/>
        <v>-</v>
      </c>
      <c r="DC52" s="171" t="str">
        <f t="shared" si="433"/>
        <v>-</v>
      </c>
      <c r="DD52" s="172" t="str">
        <f t="shared" si="433"/>
        <v>-</v>
      </c>
      <c r="DE52" s="548" t="str">
        <f t="shared" si="433"/>
        <v>-</v>
      </c>
      <c r="DF52" s="171" t="str">
        <f t="shared" si="433"/>
        <v>-</v>
      </c>
      <c r="DG52" s="172" t="str">
        <f t="shared" si="433"/>
        <v>-</v>
      </c>
      <c r="DH52" s="548" t="str">
        <f t="shared" si="433"/>
        <v>-</v>
      </c>
      <c r="DI52" s="171" t="str">
        <f t="shared" si="433"/>
        <v>-</v>
      </c>
      <c r="DJ52" s="172" t="str">
        <f t="shared" si="433"/>
        <v>-</v>
      </c>
      <c r="DK52" s="548" t="str">
        <f t="shared" si="433"/>
        <v>-</v>
      </c>
      <c r="DL52" s="171" t="str">
        <f t="shared" si="433"/>
        <v>-</v>
      </c>
      <c r="DM52" s="172" t="str">
        <f t="shared" si="433"/>
        <v>-</v>
      </c>
      <c r="DN52" s="548" t="str">
        <f t="shared" si="433"/>
        <v>-</v>
      </c>
      <c r="DO52" s="171" t="str">
        <f t="shared" si="433"/>
        <v>-</v>
      </c>
      <c r="DP52" s="172" t="str">
        <f t="shared" si="433"/>
        <v>-</v>
      </c>
      <c r="DQ52" s="548" t="str">
        <f t="shared" si="433"/>
        <v>-</v>
      </c>
      <c r="DR52" s="436" t="str">
        <f t="shared" si="433"/>
        <v>-</v>
      </c>
      <c r="DS52" s="172" t="str">
        <f t="shared" si="433"/>
        <v>-</v>
      </c>
      <c r="DT52" s="437" t="str">
        <f t="shared" si="433"/>
        <v>-</v>
      </c>
    </row>
    <row r="53" spans="1:124" ht="14.25" customHeight="1">
      <c r="A53" s="23"/>
      <c r="B53" s="87"/>
      <c r="C53" s="88"/>
      <c r="D53" s="99"/>
      <c r="E53" s="433"/>
      <c r="F53" s="91"/>
      <c r="G53" s="434"/>
      <c r="H53" s="91"/>
      <c r="I53" s="91"/>
      <c r="J53" s="546"/>
      <c r="K53" s="91"/>
      <c r="L53" s="91"/>
      <c r="M53" s="546"/>
      <c r="N53" s="92"/>
      <c r="O53" s="91"/>
      <c r="P53" s="546"/>
      <c r="Q53" s="92"/>
      <c r="R53" s="91"/>
      <c r="S53" s="546"/>
      <c r="T53" s="92"/>
      <c r="U53" s="91"/>
      <c r="V53" s="546"/>
      <c r="W53" s="92"/>
      <c r="X53" s="91"/>
      <c r="Y53" s="546"/>
      <c r="Z53" s="92"/>
      <c r="AA53" s="91"/>
      <c r="AB53" s="546"/>
      <c r="AC53" s="92"/>
      <c r="AD53" s="91"/>
      <c r="AE53" s="546"/>
      <c r="AF53" s="92"/>
      <c r="AG53" s="91"/>
      <c r="AH53" s="546"/>
      <c r="AI53" s="92"/>
      <c r="AJ53" s="91"/>
      <c r="AK53" s="546"/>
      <c r="AL53" s="92"/>
      <c r="AM53" s="91"/>
      <c r="AN53" s="546"/>
      <c r="AO53" s="92"/>
      <c r="AP53" s="91"/>
      <c r="AQ53" s="546"/>
      <c r="AR53" s="433"/>
      <c r="AS53" s="91"/>
      <c r="AT53" s="434"/>
      <c r="AU53" s="92"/>
      <c r="AV53" s="91"/>
      <c r="AW53" s="546"/>
      <c r="AX53" s="92"/>
      <c r="AY53" s="91"/>
      <c r="AZ53" s="546"/>
      <c r="BA53" s="92"/>
      <c r="BB53" s="91"/>
      <c r="BC53" s="546"/>
      <c r="BD53" s="92"/>
      <c r="BE53" s="91"/>
      <c r="BF53" s="546"/>
      <c r="BG53" s="92"/>
      <c r="BH53" s="91"/>
      <c r="BI53" s="546"/>
      <c r="BJ53" s="92"/>
      <c r="BK53" s="91"/>
      <c r="BL53" s="546"/>
      <c r="BM53" s="92"/>
      <c r="BN53" s="91"/>
      <c r="BO53" s="546"/>
      <c r="BP53" s="92"/>
      <c r="BQ53" s="91"/>
      <c r="BR53" s="546"/>
      <c r="BS53" s="92"/>
      <c r="BT53" s="91"/>
      <c r="BU53" s="546"/>
      <c r="BV53" s="92"/>
      <c r="BW53" s="91"/>
      <c r="BX53" s="546"/>
      <c r="BY53" s="92"/>
      <c r="BZ53" s="91"/>
      <c r="CA53" s="546"/>
      <c r="CB53" s="92"/>
      <c r="CC53" s="91"/>
      <c r="CD53" s="546"/>
      <c r="CE53" s="433"/>
      <c r="CF53" s="91"/>
      <c r="CG53" s="434"/>
      <c r="CH53" s="91"/>
      <c r="CI53" s="91"/>
      <c r="CJ53" s="546"/>
      <c r="CK53" s="90"/>
      <c r="CL53" s="91"/>
      <c r="CM53" s="546"/>
      <c r="CN53" s="90"/>
      <c r="CO53" s="91"/>
      <c r="CP53" s="546"/>
      <c r="CQ53" s="90"/>
      <c r="CR53" s="91"/>
      <c r="CS53" s="546"/>
      <c r="CT53" s="90"/>
      <c r="CU53" s="91"/>
      <c r="CV53" s="546"/>
      <c r="CW53" s="90"/>
      <c r="CX53" s="91"/>
      <c r="CY53" s="546"/>
      <c r="CZ53" s="90"/>
      <c r="DA53" s="91"/>
      <c r="DB53" s="546"/>
      <c r="DC53" s="90"/>
      <c r="DD53" s="91"/>
      <c r="DE53" s="546"/>
      <c r="DF53" s="90"/>
      <c r="DG53" s="91"/>
      <c r="DH53" s="546"/>
      <c r="DI53" s="90"/>
      <c r="DJ53" s="91"/>
      <c r="DK53" s="546"/>
      <c r="DL53" s="90"/>
      <c r="DM53" s="91"/>
      <c r="DN53" s="546"/>
      <c r="DO53" s="90"/>
      <c r="DP53" s="91"/>
      <c r="DQ53" s="546"/>
      <c r="DR53" s="433"/>
      <c r="DS53" s="91"/>
      <c r="DT53" s="434"/>
    </row>
    <row r="54" spans="1:124" ht="14.25" customHeight="1">
      <c r="A54" s="23"/>
      <c r="B54" s="103"/>
      <c r="C54" s="104" t="s">
        <v>6</v>
      </c>
      <c r="D54" s="105" t="s">
        <v>66</v>
      </c>
      <c r="E54" s="436" t="str">
        <f t="shared" ref="E54:BP54" si="434">IFERROR(E34/E42,"-")</f>
        <v>-</v>
      </c>
      <c r="F54" s="172" t="str">
        <f t="shared" si="434"/>
        <v>-</v>
      </c>
      <c r="G54" s="437" t="str">
        <f t="shared" si="434"/>
        <v>-</v>
      </c>
      <c r="H54" s="172" t="str">
        <f t="shared" si="434"/>
        <v>-</v>
      </c>
      <c r="I54" s="172" t="str">
        <f t="shared" si="434"/>
        <v>-</v>
      </c>
      <c r="J54" s="548" t="str">
        <f t="shared" si="434"/>
        <v>-</v>
      </c>
      <c r="K54" s="172" t="str">
        <f t="shared" si="434"/>
        <v>-</v>
      </c>
      <c r="L54" s="172" t="str">
        <f t="shared" si="434"/>
        <v>-</v>
      </c>
      <c r="M54" s="548" t="str">
        <f t="shared" si="434"/>
        <v>-</v>
      </c>
      <c r="N54" s="173" t="str">
        <f t="shared" si="434"/>
        <v>-</v>
      </c>
      <c r="O54" s="172" t="str">
        <f t="shared" si="434"/>
        <v>-</v>
      </c>
      <c r="P54" s="548" t="str">
        <f t="shared" si="434"/>
        <v>-</v>
      </c>
      <c r="Q54" s="173" t="str">
        <f t="shared" si="434"/>
        <v>-</v>
      </c>
      <c r="R54" s="172" t="str">
        <f t="shared" si="434"/>
        <v>-</v>
      </c>
      <c r="S54" s="548" t="str">
        <f t="shared" si="434"/>
        <v>-</v>
      </c>
      <c r="T54" s="173" t="str">
        <f t="shared" si="434"/>
        <v>-</v>
      </c>
      <c r="U54" s="172" t="str">
        <f t="shared" si="434"/>
        <v>-</v>
      </c>
      <c r="V54" s="548" t="str">
        <f t="shared" si="434"/>
        <v>-</v>
      </c>
      <c r="W54" s="173" t="str">
        <f t="shared" si="434"/>
        <v>-</v>
      </c>
      <c r="X54" s="172" t="str">
        <f t="shared" si="434"/>
        <v>-</v>
      </c>
      <c r="Y54" s="548" t="str">
        <f t="shared" si="434"/>
        <v>-</v>
      </c>
      <c r="Z54" s="173" t="str">
        <f t="shared" si="434"/>
        <v>-</v>
      </c>
      <c r="AA54" s="172" t="str">
        <f t="shared" si="434"/>
        <v>-</v>
      </c>
      <c r="AB54" s="548" t="str">
        <f t="shared" si="434"/>
        <v>-</v>
      </c>
      <c r="AC54" s="173" t="str">
        <f t="shared" si="434"/>
        <v>-</v>
      </c>
      <c r="AD54" s="172" t="str">
        <f t="shared" si="434"/>
        <v>-</v>
      </c>
      <c r="AE54" s="548" t="str">
        <f t="shared" si="434"/>
        <v>-</v>
      </c>
      <c r="AF54" s="173" t="str">
        <f t="shared" si="434"/>
        <v>-</v>
      </c>
      <c r="AG54" s="172" t="str">
        <f t="shared" si="434"/>
        <v>-</v>
      </c>
      <c r="AH54" s="548" t="str">
        <f t="shared" si="434"/>
        <v>-</v>
      </c>
      <c r="AI54" s="173" t="str">
        <f t="shared" si="434"/>
        <v>-</v>
      </c>
      <c r="AJ54" s="172" t="str">
        <f t="shared" si="434"/>
        <v>-</v>
      </c>
      <c r="AK54" s="548" t="str">
        <f t="shared" si="434"/>
        <v>-</v>
      </c>
      <c r="AL54" s="173" t="str">
        <f t="shared" si="434"/>
        <v>-</v>
      </c>
      <c r="AM54" s="172" t="str">
        <f t="shared" si="434"/>
        <v>-</v>
      </c>
      <c r="AN54" s="548" t="str">
        <f t="shared" si="434"/>
        <v>-</v>
      </c>
      <c r="AO54" s="173" t="str">
        <f t="shared" si="434"/>
        <v>-</v>
      </c>
      <c r="AP54" s="172" t="str">
        <f t="shared" si="434"/>
        <v>-</v>
      </c>
      <c r="AQ54" s="548" t="str">
        <f t="shared" si="434"/>
        <v>-</v>
      </c>
      <c r="AR54" s="436" t="str">
        <f t="shared" si="434"/>
        <v>-</v>
      </c>
      <c r="AS54" s="172" t="str">
        <f t="shared" si="434"/>
        <v>-</v>
      </c>
      <c r="AT54" s="437" t="str">
        <f t="shared" si="434"/>
        <v>-</v>
      </c>
      <c r="AU54" s="173" t="str">
        <f t="shared" si="434"/>
        <v>-</v>
      </c>
      <c r="AV54" s="172" t="str">
        <f t="shared" si="434"/>
        <v>-</v>
      </c>
      <c r="AW54" s="548" t="str">
        <f t="shared" si="434"/>
        <v>-</v>
      </c>
      <c r="AX54" s="173" t="str">
        <f t="shared" si="434"/>
        <v>-</v>
      </c>
      <c r="AY54" s="172" t="str">
        <f t="shared" si="434"/>
        <v>-</v>
      </c>
      <c r="AZ54" s="548" t="str">
        <f t="shared" si="434"/>
        <v>-</v>
      </c>
      <c r="BA54" s="173" t="str">
        <f t="shared" si="434"/>
        <v>-</v>
      </c>
      <c r="BB54" s="172" t="str">
        <f t="shared" si="434"/>
        <v>-</v>
      </c>
      <c r="BC54" s="548" t="str">
        <f t="shared" si="434"/>
        <v>-</v>
      </c>
      <c r="BD54" s="173" t="str">
        <f t="shared" si="434"/>
        <v>-</v>
      </c>
      <c r="BE54" s="172" t="str">
        <f t="shared" si="434"/>
        <v>-</v>
      </c>
      <c r="BF54" s="548" t="str">
        <f t="shared" si="434"/>
        <v>-</v>
      </c>
      <c r="BG54" s="173" t="str">
        <f t="shared" si="434"/>
        <v>-</v>
      </c>
      <c r="BH54" s="172" t="str">
        <f t="shared" si="434"/>
        <v>-</v>
      </c>
      <c r="BI54" s="548" t="str">
        <f t="shared" si="434"/>
        <v>-</v>
      </c>
      <c r="BJ54" s="173" t="str">
        <f t="shared" si="434"/>
        <v>-</v>
      </c>
      <c r="BK54" s="172" t="str">
        <f t="shared" si="434"/>
        <v>-</v>
      </c>
      <c r="BL54" s="548" t="str">
        <f t="shared" si="434"/>
        <v>-</v>
      </c>
      <c r="BM54" s="173" t="str">
        <f t="shared" si="434"/>
        <v>-</v>
      </c>
      <c r="BN54" s="172" t="str">
        <f t="shared" si="434"/>
        <v>-</v>
      </c>
      <c r="BO54" s="548" t="str">
        <f t="shared" si="434"/>
        <v>-</v>
      </c>
      <c r="BP54" s="173" t="str">
        <f t="shared" si="434"/>
        <v>-</v>
      </c>
      <c r="BQ54" s="172" t="str">
        <f t="shared" ref="BQ54:DT54" si="435">IFERROR(BQ34/BQ42,"-")</f>
        <v>-</v>
      </c>
      <c r="BR54" s="548" t="str">
        <f t="shared" si="435"/>
        <v>-</v>
      </c>
      <c r="BS54" s="173" t="str">
        <f t="shared" si="435"/>
        <v>-</v>
      </c>
      <c r="BT54" s="172" t="str">
        <f t="shared" si="435"/>
        <v>-</v>
      </c>
      <c r="BU54" s="548" t="str">
        <f t="shared" si="435"/>
        <v>-</v>
      </c>
      <c r="BV54" s="173" t="str">
        <f t="shared" si="435"/>
        <v>-</v>
      </c>
      <c r="BW54" s="172" t="str">
        <f t="shared" si="435"/>
        <v>-</v>
      </c>
      <c r="BX54" s="548" t="str">
        <f t="shared" si="435"/>
        <v>-</v>
      </c>
      <c r="BY54" s="173" t="str">
        <f t="shared" si="435"/>
        <v>-</v>
      </c>
      <c r="BZ54" s="172" t="str">
        <f t="shared" si="435"/>
        <v>-</v>
      </c>
      <c r="CA54" s="548" t="str">
        <f t="shared" si="435"/>
        <v>-</v>
      </c>
      <c r="CB54" s="173" t="str">
        <f t="shared" si="435"/>
        <v>-</v>
      </c>
      <c r="CC54" s="172" t="str">
        <f t="shared" si="435"/>
        <v>-</v>
      </c>
      <c r="CD54" s="548" t="str">
        <f t="shared" si="435"/>
        <v>-</v>
      </c>
      <c r="CE54" s="436" t="str">
        <f t="shared" si="435"/>
        <v>-</v>
      </c>
      <c r="CF54" s="172" t="str">
        <f t="shared" si="435"/>
        <v>-</v>
      </c>
      <c r="CG54" s="437" t="str">
        <f t="shared" si="435"/>
        <v>-</v>
      </c>
      <c r="CH54" s="172" t="str">
        <f t="shared" si="435"/>
        <v>-</v>
      </c>
      <c r="CI54" s="172" t="str">
        <f t="shared" si="435"/>
        <v>-</v>
      </c>
      <c r="CJ54" s="548" t="str">
        <f t="shared" si="435"/>
        <v>-</v>
      </c>
      <c r="CK54" s="171" t="str">
        <f t="shared" si="435"/>
        <v>-</v>
      </c>
      <c r="CL54" s="172" t="str">
        <f t="shared" si="435"/>
        <v>-</v>
      </c>
      <c r="CM54" s="548" t="str">
        <f t="shared" si="435"/>
        <v>-</v>
      </c>
      <c r="CN54" s="171" t="str">
        <f t="shared" si="435"/>
        <v>-</v>
      </c>
      <c r="CO54" s="172" t="str">
        <f t="shared" si="435"/>
        <v>-</v>
      </c>
      <c r="CP54" s="548" t="str">
        <f t="shared" si="435"/>
        <v>-</v>
      </c>
      <c r="CQ54" s="171" t="str">
        <f t="shared" si="435"/>
        <v>-</v>
      </c>
      <c r="CR54" s="172" t="str">
        <f t="shared" si="435"/>
        <v>-</v>
      </c>
      <c r="CS54" s="548" t="str">
        <f t="shared" si="435"/>
        <v>-</v>
      </c>
      <c r="CT54" s="171" t="str">
        <f t="shared" si="435"/>
        <v>-</v>
      </c>
      <c r="CU54" s="172" t="str">
        <f t="shared" si="435"/>
        <v>-</v>
      </c>
      <c r="CV54" s="548" t="str">
        <f t="shared" si="435"/>
        <v>-</v>
      </c>
      <c r="CW54" s="171" t="str">
        <f t="shared" si="435"/>
        <v>-</v>
      </c>
      <c r="CX54" s="172" t="str">
        <f t="shared" si="435"/>
        <v>-</v>
      </c>
      <c r="CY54" s="548" t="str">
        <f t="shared" si="435"/>
        <v>-</v>
      </c>
      <c r="CZ54" s="171" t="str">
        <f t="shared" si="435"/>
        <v>-</v>
      </c>
      <c r="DA54" s="172" t="str">
        <f t="shared" si="435"/>
        <v>-</v>
      </c>
      <c r="DB54" s="548" t="str">
        <f t="shared" si="435"/>
        <v>-</v>
      </c>
      <c r="DC54" s="171" t="str">
        <f t="shared" si="435"/>
        <v>-</v>
      </c>
      <c r="DD54" s="172" t="str">
        <f t="shared" si="435"/>
        <v>-</v>
      </c>
      <c r="DE54" s="548" t="str">
        <f t="shared" si="435"/>
        <v>-</v>
      </c>
      <c r="DF54" s="171" t="str">
        <f t="shared" si="435"/>
        <v>-</v>
      </c>
      <c r="DG54" s="172" t="str">
        <f t="shared" si="435"/>
        <v>-</v>
      </c>
      <c r="DH54" s="548" t="str">
        <f t="shared" si="435"/>
        <v>-</v>
      </c>
      <c r="DI54" s="171" t="str">
        <f t="shared" si="435"/>
        <v>-</v>
      </c>
      <c r="DJ54" s="172" t="str">
        <f t="shared" si="435"/>
        <v>-</v>
      </c>
      <c r="DK54" s="548" t="str">
        <f t="shared" si="435"/>
        <v>-</v>
      </c>
      <c r="DL54" s="171" t="str">
        <f t="shared" si="435"/>
        <v>-</v>
      </c>
      <c r="DM54" s="172" t="str">
        <f t="shared" si="435"/>
        <v>-</v>
      </c>
      <c r="DN54" s="548" t="str">
        <f t="shared" si="435"/>
        <v>-</v>
      </c>
      <c r="DO54" s="171" t="str">
        <f t="shared" si="435"/>
        <v>-</v>
      </c>
      <c r="DP54" s="172" t="str">
        <f t="shared" si="435"/>
        <v>-</v>
      </c>
      <c r="DQ54" s="548" t="str">
        <f t="shared" si="435"/>
        <v>-</v>
      </c>
      <c r="DR54" s="436" t="str">
        <f t="shared" si="435"/>
        <v>-</v>
      </c>
      <c r="DS54" s="172" t="str">
        <f t="shared" si="435"/>
        <v>-</v>
      </c>
      <c r="DT54" s="437" t="str">
        <f t="shared" si="435"/>
        <v>-</v>
      </c>
    </row>
    <row r="55" spans="1:124" ht="14.25" customHeight="1">
      <c r="A55" s="23"/>
      <c r="B55" s="87"/>
      <c r="C55" s="88"/>
      <c r="D55" s="89"/>
      <c r="E55" s="433" t="str">
        <f t="shared" ref="E55:BP55" si="436">IFERROR(E35/E43,"-")</f>
        <v>-</v>
      </c>
      <c r="F55" s="91" t="str">
        <f t="shared" si="436"/>
        <v>-</v>
      </c>
      <c r="G55" s="184" t="str">
        <f t="shared" si="436"/>
        <v>-</v>
      </c>
      <c r="H55" s="91" t="str">
        <f t="shared" si="436"/>
        <v>-</v>
      </c>
      <c r="I55" s="91" t="str">
        <f t="shared" si="436"/>
        <v>-</v>
      </c>
      <c r="J55" s="93" t="str">
        <f t="shared" si="436"/>
        <v>-</v>
      </c>
      <c r="K55" s="91" t="str">
        <f t="shared" si="436"/>
        <v>-</v>
      </c>
      <c r="L55" s="91" t="str">
        <f t="shared" si="436"/>
        <v>-</v>
      </c>
      <c r="M55" s="93" t="str">
        <f t="shared" si="436"/>
        <v>-</v>
      </c>
      <c r="N55" s="92" t="str">
        <f t="shared" si="436"/>
        <v>-</v>
      </c>
      <c r="O55" s="91" t="str">
        <f t="shared" si="436"/>
        <v>-</v>
      </c>
      <c r="P55" s="93" t="str">
        <f t="shared" si="436"/>
        <v>-</v>
      </c>
      <c r="Q55" s="92" t="str">
        <f t="shared" si="436"/>
        <v>-</v>
      </c>
      <c r="R55" s="91" t="str">
        <f t="shared" si="436"/>
        <v>-</v>
      </c>
      <c r="S55" s="93" t="str">
        <f t="shared" si="436"/>
        <v>-</v>
      </c>
      <c r="T55" s="92" t="str">
        <f t="shared" si="436"/>
        <v>-</v>
      </c>
      <c r="U55" s="91" t="str">
        <f t="shared" si="436"/>
        <v>-</v>
      </c>
      <c r="V55" s="93" t="str">
        <f t="shared" si="436"/>
        <v>-</v>
      </c>
      <c r="W55" s="92" t="str">
        <f t="shared" si="436"/>
        <v>-</v>
      </c>
      <c r="X55" s="91" t="str">
        <f t="shared" si="436"/>
        <v>-</v>
      </c>
      <c r="Y55" s="93" t="str">
        <f t="shared" si="436"/>
        <v>-</v>
      </c>
      <c r="Z55" s="92" t="str">
        <f t="shared" si="436"/>
        <v>-</v>
      </c>
      <c r="AA55" s="91" t="str">
        <f t="shared" si="436"/>
        <v>-</v>
      </c>
      <c r="AB55" s="93" t="str">
        <f t="shared" si="436"/>
        <v>-</v>
      </c>
      <c r="AC55" s="92" t="str">
        <f t="shared" si="436"/>
        <v>-</v>
      </c>
      <c r="AD55" s="91" t="str">
        <f t="shared" si="436"/>
        <v>-</v>
      </c>
      <c r="AE55" s="93" t="str">
        <f t="shared" si="436"/>
        <v>-</v>
      </c>
      <c r="AF55" s="92" t="str">
        <f t="shared" si="436"/>
        <v>-</v>
      </c>
      <c r="AG55" s="91" t="str">
        <f t="shared" si="436"/>
        <v>-</v>
      </c>
      <c r="AH55" s="93" t="str">
        <f t="shared" si="436"/>
        <v>-</v>
      </c>
      <c r="AI55" s="92" t="str">
        <f t="shared" si="436"/>
        <v>-</v>
      </c>
      <c r="AJ55" s="91" t="str">
        <f t="shared" si="436"/>
        <v>-</v>
      </c>
      <c r="AK55" s="93" t="str">
        <f t="shared" si="436"/>
        <v>-</v>
      </c>
      <c r="AL55" s="92" t="str">
        <f t="shared" si="436"/>
        <v>-</v>
      </c>
      <c r="AM55" s="91" t="str">
        <f t="shared" si="436"/>
        <v>-</v>
      </c>
      <c r="AN55" s="93" t="str">
        <f t="shared" si="436"/>
        <v>-</v>
      </c>
      <c r="AO55" s="92" t="str">
        <f t="shared" si="436"/>
        <v>-</v>
      </c>
      <c r="AP55" s="91" t="str">
        <f t="shared" si="436"/>
        <v>-</v>
      </c>
      <c r="AQ55" s="93" t="str">
        <f t="shared" si="436"/>
        <v>-</v>
      </c>
      <c r="AR55" s="433" t="str">
        <f t="shared" si="436"/>
        <v>-</v>
      </c>
      <c r="AS55" s="91" t="str">
        <f t="shared" si="436"/>
        <v>-</v>
      </c>
      <c r="AT55" s="184" t="str">
        <f t="shared" si="436"/>
        <v>-</v>
      </c>
      <c r="AU55" s="92" t="str">
        <f t="shared" si="436"/>
        <v>-</v>
      </c>
      <c r="AV55" s="91" t="str">
        <f t="shared" si="436"/>
        <v>-</v>
      </c>
      <c r="AW55" s="93" t="str">
        <f t="shared" si="436"/>
        <v>-</v>
      </c>
      <c r="AX55" s="92" t="str">
        <f t="shared" si="436"/>
        <v>-</v>
      </c>
      <c r="AY55" s="91" t="str">
        <f t="shared" si="436"/>
        <v>-</v>
      </c>
      <c r="AZ55" s="93" t="str">
        <f t="shared" si="436"/>
        <v>-</v>
      </c>
      <c r="BA55" s="92" t="str">
        <f t="shared" si="436"/>
        <v>-</v>
      </c>
      <c r="BB55" s="91" t="str">
        <f t="shared" si="436"/>
        <v>-</v>
      </c>
      <c r="BC55" s="93" t="str">
        <f t="shared" si="436"/>
        <v>-</v>
      </c>
      <c r="BD55" s="92" t="str">
        <f t="shared" si="436"/>
        <v>-</v>
      </c>
      <c r="BE55" s="91" t="str">
        <f t="shared" si="436"/>
        <v>-</v>
      </c>
      <c r="BF55" s="93" t="str">
        <f t="shared" si="436"/>
        <v>-</v>
      </c>
      <c r="BG55" s="92" t="str">
        <f t="shared" si="436"/>
        <v>-</v>
      </c>
      <c r="BH55" s="91" t="str">
        <f t="shared" si="436"/>
        <v>-</v>
      </c>
      <c r="BI55" s="93" t="str">
        <f t="shared" si="436"/>
        <v>-</v>
      </c>
      <c r="BJ55" s="92" t="str">
        <f t="shared" si="436"/>
        <v>-</v>
      </c>
      <c r="BK55" s="91" t="str">
        <f t="shared" si="436"/>
        <v>-</v>
      </c>
      <c r="BL55" s="93" t="str">
        <f t="shared" si="436"/>
        <v>-</v>
      </c>
      <c r="BM55" s="92" t="str">
        <f t="shared" si="436"/>
        <v>-</v>
      </c>
      <c r="BN55" s="91" t="str">
        <f t="shared" si="436"/>
        <v>-</v>
      </c>
      <c r="BO55" s="93" t="str">
        <f t="shared" si="436"/>
        <v>-</v>
      </c>
      <c r="BP55" s="92" t="str">
        <f t="shared" si="436"/>
        <v>-</v>
      </c>
      <c r="BQ55" s="91" t="str">
        <f t="shared" ref="BQ55:DT55" si="437">IFERROR(BQ35/BQ43,"-")</f>
        <v>-</v>
      </c>
      <c r="BR55" s="93" t="str">
        <f t="shared" si="437"/>
        <v>-</v>
      </c>
      <c r="BS55" s="92" t="str">
        <f t="shared" si="437"/>
        <v>-</v>
      </c>
      <c r="BT55" s="91" t="str">
        <f t="shared" si="437"/>
        <v>-</v>
      </c>
      <c r="BU55" s="93" t="str">
        <f t="shared" si="437"/>
        <v>-</v>
      </c>
      <c r="BV55" s="92" t="str">
        <f t="shared" si="437"/>
        <v>-</v>
      </c>
      <c r="BW55" s="91" t="str">
        <f t="shared" si="437"/>
        <v>-</v>
      </c>
      <c r="BX55" s="93" t="str">
        <f t="shared" si="437"/>
        <v>-</v>
      </c>
      <c r="BY55" s="92" t="str">
        <f t="shared" si="437"/>
        <v>-</v>
      </c>
      <c r="BZ55" s="91" t="str">
        <f t="shared" si="437"/>
        <v>-</v>
      </c>
      <c r="CA55" s="93" t="str">
        <f t="shared" si="437"/>
        <v>-</v>
      </c>
      <c r="CB55" s="92" t="str">
        <f t="shared" si="437"/>
        <v>-</v>
      </c>
      <c r="CC55" s="91" t="str">
        <f t="shared" si="437"/>
        <v>-</v>
      </c>
      <c r="CD55" s="93" t="str">
        <f t="shared" si="437"/>
        <v>-</v>
      </c>
      <c r="CE55" s="433" t="str">
        <f t="shared" si="437"/>
        <v>-</v>
      </c>
      <c r="CF55" s="91" t="str">
        <f t="shared" si="437"/>
        <v>-</v>
      </c>
      <c r="CG55" s="184" t="str">
        <f t="shared" si="437"/>
        <v>-</v>
      </c>
      <c r="CH55" s="91" t="str">
        <f t="shared" si="437"/>
        <v>-</v>
      </c>
      <c r="CI55" s="91" t="str">
        <f t="shared" si="437"/>
        <v>-</v>
      </c>
      <c r="CJ55" s="93" t="str">
        <f t="shared" si="437"/>
        <v>-</v>
      </c>
      <c r="CK55" s="90" t="str">
        <f t="shared" si="437"/>
        <v>-</v>
      </c>
      <c r="CL55" s="91" t="str">
        <f t="shared" si="437"/>
        <v>-</v>
      </c>
      <c r="CM55" s="93" t="str">
        <f t="shared" si="437"/>
        <v>-</v>
      </c>
      <c r="CN55" s="90" t="str">
        <f t="shared" si="437"/>
        <v>-</v>
      </c>
      <c r="CO55" s="91" t="str">
        <f t="shared" si="437"/>
        <v>-</v>
      </c>
      <c r="CP55" s="93" t="str">
        <f t="shared" si="437"/>
        <v>-</v>
      </c>
      <c r="CQ55" s="90" t="str">
        <f t="shared" si="437"/>
        <v>-</v>
      </c>
      <c r="CR55" s="91" t="str">
        <f t="shared" si="437"/>
        <v>-</v>
      </c>
      <c r="CS55" s="93" t="str">
        <f t="shared" si="437"/>
        <v>-</v>
      </c>
      <c r="CT55" s="90" t="str">
        <f t="shared" si="437"/>
        <v>-</v>
      </c>
      <c r="CU55" s="91" t="str">
        <f t="shared" si="437"/>
        <v>-</v>
      </c>
      <c r="CV55" s="93" t="str">
        <f t="shared" si="437"/>
        <v>-</v>
      </c>
      <c r="CW55" s="90" t="str">
        <f t="shared" si="437"/>
        <v>-</v>
      </c>
      <c r="CX55" s="91" t="str">
        <f t="shared" si="437"/>
        <v>-</v>
      </c>
      <c r="CY55" s="93" t="str">
        <f t="shared" si="437"/>
        <v>-</v>
      </c>
      <c r="CZ55" s="90" t="str">
        <f t="shared" si="437"/>
        <v>-</v>
      </c>
      <c r="DA55" s="91" t="str">
        <f t="shared" si="437"/>
        <v>-</v>
      </c>
      <c r="DB55" s="93" t="str">
        <f t="shared" si="437"/>
        <v>-</v>
      </c>
      <c r="DC55" s="90" t="str">
        <f t="shared" si="437"/>
        <v>-</v>
      </c>
      <c r="DD55" s="91" t="str">
        <f t="shared" si="437"/>
        <v>-</v>
      </c>
      <c r="DE55" s="93" t="str">
        <f t="shared" si="437"/>
        <v>-</v>
      </c>
      <c r="DF55" s="90" t="str">
        <f t="shared" si="437"/>
        <v>-</v>
      </c>
      <c r="DG55" s="91" t="str">
        <f t="shared" si="437"/>
        <v>-</v>
      </c>
      <c r="DH55" s="93" t="str">
        <f t="shared" si="437"/>
        <v>-</v>
      </c>
      <c r="DI55" s="90" t="str">
        <f t="shared" si="437"/>
        <v>-</v>
      </c>
      <c r="DJ55" s="91" t="str">
        <f t="shared" si="437"/>
        <v>-</v>
      </c>
      <c r="DK55" s="93" t="str">
        <f t="shared" si="437"/>
        <v>-</v>
      </c>
      <c r="DL55" s="90" t="str">
        <f t="shared" si="437"/>
        <v>-</v>
      </c>
      <c r="DM55" s="91" t="str">
        <f t="shared" si="437"/>
        <v>-</v>
      </c>
      <c r="DN55" s="93" t="str">
        <f t="shared" si="437"/>
        <v>-</v>
      </c>
      <c r="DO55" s="90" t="str">
        <f t="shared" si="437"/>
        <v>-</v>
      </c>
      <c r="DP55" s="91" t="str">
        <f t="shared" si="437"/>
        <v>-</v>
      </c>
      <c r="DQ55" s="93" t="str">
        <f t="shared" si="437"/>
        <v>-</v>
      </c>
      <c r="DR55" s="433" t="str">
        <f t="shared" si="437"/>
        <v>-</v>
      </c>
      <c r="DS55" s="91" t="str">
        <f t="shared" si="437"/>
        <v>-</v>
      </c>
      <c r="DT55" s="184" t="str">
        <f t="shared" si="437"/>
        <v>-</v>
      </c>
    </row>
    <row r="56" spans="1:124" ht="14.25" customHeight="1">
      <c r="A56" s="23"/>
      <c r="B56" s="87"/>
      <c r="C56" s="88"/>
      <c r="D56" s="89"/>
      <c r="E56" s="433" t="str">
        <f t="shared" ref="E56:BP56" si="438">IFERROR(E36/E44,"-")</f>
        <v>-</v>
      </c>
      <c r="F56" s="91" t="str">
        <f t="shared" si="438"/>
        <v>-</v>
      </c>
      <c r="G56" s="184" t="str">
        <f t="shared" si="438"/>
        <v>-</v>
      </c>
      <c r="H56" s="91" t="str">
        <f t="shared" si="438"/>
        <v>-</v>
      </c>
      <c r="I56" s="91" t="str">
        <f t="shared" si="438"/>
        <v>-</v>
      </c>
      <c r="J56" s="93" t="str">
        <f t="shared" si="438"/>
        <v>-</v>
      </c>
      <c r="K56" s="91" t="str">
        <f t="shared" si="438"/>
        <v>-</v>
      </c>
      <c r="L56" s="91" t="str">
        <f t="shared" si="438"/>
        <v>-</v>
      </c>
      <c r="M56" s="93" t="str">
        <f t="shared" si="438"/>
        <v>-</v>
      </c>
      <c r="N56" s="92" t="str">
        <f t="shared" si="438"/>
        <v>-</v>
      </c>
      <c r="O56" s="91" t="str">
        <f t="shared" si="438"/>
        <v>-</v>
      </c>
      <c r="P56" s="93" t="str">
        <f t="shared" si="438"/>
        <v>-</v>
      </c>
      <c r="Q56" s="92" t="str">
        <f t="shared" si="438"/>
        <v>-</v>
      </c>
      <c r="R56" s="91" t="str">
        <f t="shared" si="438"/>
        <v>-</v>
      </c>
      <c r="S56" s="93" t="str">
        <f t="shared" si="438"/>
        <v>-</v>
      </c>
      <c r="T56" s="92" t="str">
        <f t="shared" si="438"/>
        <v>-</v>
      </c>
      <c r="U56" s="91" t="str">
        <f t="shared" si="438"/>
        <v>-</v>
      </c>
      <c r="V56" s="93" t="str">
        <f t="shared" si="438"/>
        <v>-</v>
      </c>
      <c r="W56" s="92" t="str">
        <f t="shared" si="438"/>
        <v>-</v>
      </c>
      <c r="X56" s="91" t="str">
        <f t="shared" si="438"/>
        <v>-</v>
      </c>
      <c r="Y56" s="93" t="str">
        <f t="shared" si="438"/>
        <v>-</v>
      </c>
      <c r="Z56" s="92" t="str">
        <f t="shared" si="438"/>
        <v>-</v>
      </c>
      <c r="AA56" s="91" t="str">
        <f t="shared" si="438"/>
        <v>-</v>
      </c>
      <c r="AB56" s="93" t="str">
        <f t="shared" si="438"/>
        <v>-</v>
      </c>
      <c r="AC56" s="92" t="str">
        <f t="shared" si="438"/>
        <v>-</v>
      </c>
      <c r="AD56" s="91" t="str">
        <f t="shared" si="438"/>
        <v>-</v>
      </c>
      <c r="AE56" s="93" t="str">
        <f t="shared" si="438"/>
        <v>-</v>
      </c>
      <c r="AF56" s="92" t="str">
        <f t="shared" si="438"/>
        <v>-</v>
      </c>
      <c r="AG56" s="91" t="str">
        <f t="shared" si="438"/>
        <v>-</v>
      </c>
      <c r="AH56" s="93" t="str">
        <f t="shared" si="438"/>
        <v>-</v>
      </c>
      <c r="AI56" s="92" t="str">
        <f t="shared" si="438"/>
        <v>-</v>
      </c>
      <c r="AJ56" s="91" t="str">
        <f t="shared" si="438"/>
        <v>-</v>
      </c>
      <c r="AK56" s="93" t="str">
        <f t="shared" si="438"/>
        <v>-</v>
      </c>
      <c r="AL56" s="92" t="str">
        <f t="shared" si="438"/>
        <v>-</v>
      </c>
      <c r="AM56" s="91" t="str">
        <f t="shared" si="438"/>
        <v>-</v>
      </c>
      <c r="AN56" s="93" t="str">
        <f t="shared" si="438"/>
        <v>-</v>
      </c>
      <c r="AO56" s="92" t="str">
        <f t="shared" si="438"/>
        <v>-</v>
      </c>
      <c r="AP56" s="91" t="str">
        <f t="shared" si="438"/>
        <v>-</v>
      </c>
      <c r="AQ56" s="93" t="str">
        <f t="shared" si="438"/>
        <v>-</v>
      </c>
      <c r="AR56" s="433" t="str">
        <f t="shared" si="438"/>
        <v>-</v>
      </c>
      <c r="AS56" s="91" t="str">
        <f t="shared" si="438"/>
        <v>-</v>
      </c>
      <c r="AT56" s="184" t="str">
        <f t="shared" si="438"/>
        <v>-</v>
      </c>
      <c r="AU56" s="92" t="str">
        <f t="shared" si="438"/>
        <v>-</v>
      </c>
      <c r="AV56" s="91" t="str">
        <f t="shared" si="438"/>
        <v>-</v>
      </c>
      <c r="AW56" s="93" t="str">
        <f t="shared" si="438"/>
        <v>-</v>
      </c>
      <c r="AX56" s="92" t="str">
        <f t="shared" si="438"/>
        <v>-</v>
      </c>
      <c r="AY56" s="91" t="str">
        <f t="shared" si="438"/>
        <v>-</v>
      </c>
      <c r="AZ56" s="93" t="str">
        <f t="shared" si="438"/>
        <v>-</v>
      </c>
      <c r="BA56" s="92" t="str">
        <f t="shared" si="438"/>
        <v>-</v>
      </c>
      <c r="BB56" s="91" t="str">
        <f t="shared" si="438"/>
        <v>-</v>
      </c>
      <c r="BC56" s="93" t="str">
        <f t="shared" si="438"/>
        <v>-</v>
      </c>
      <c r="BD56" s="92" t="str">
        <f t="shared" si="438"/>
        <v>-</v>
      </c>
      <c r="BE56" s="91" t="str">
        <f t="shared" si="438"/>
        <v>-</v>
      </c>
      <c r="BF56" s="93" t="str">
        <f t="shared" si="438"/>
        <v>-</v>
      </c>
      <c r="BG56" s="92" t="str">
        <f t="shared" si="438"/>
        <v>-</v>
      </c>
      <c r="BH56" s="91" t="str">
        <f t="shared" si="438"/>
        <v>-</v>
      </c>
      <c r="BI56" s="93" t="str">
        <f t="shared" si="438"/>
        <v>-</v>
      </c>
      <c r="BJ56" s="92" t="str">
        <f t="shared" si="438"/>
        <v>-</v>
      </c>
      <c r="BK56" s="91" t="str">
        <f t="shared" si="438"/>
        <v>-</v>
      </c>
      <c r="BL56" s="93" t="str">
        <f t="shared" si="438"/>
        <v>-</v>
      </c>
      <c r="BM56" s="92" t="str">
        <f t="shared" si="438"/>
        <v>-</v>
      </c>
      <c r="BN56" s="91" t="str">
        <f t="shared" si="438"/>
        <v>-</v>
      </c>
      <c r="BO56" s="93" t="str">
        <f t="shared" si="438"/>
        <v>-</v>
      </c>
      <c r="BP56" s="92" t="str">
        <f t="shared" si="438"/>
        <v>-</v>
      </c>
      <c r="BQ56" s="91" t="str">
        <f t="shared" ref="BQ56:DT56" si="439">IFERROR(BQ36/BQ44,"-")</f>
        <v>-</v>
      </c>
      <c r="BR56" s="93" t="str">
        <f t="shared" si="439"/>
        <v>-</v>
      </c>
      <c r="BS56" s="92" t="str">
        <f t="shared" si="439"/>
        <v>-</v>
      </c>
      <c r="BT56" s="91" t="str">
        <f t="shared" si="439"/>
        <v>-</v>
      </c>
      <c r="BU56" s="93" t="str">
        <f t="shared" si="439"/>
        <v>-</v>
      </c>
      <c r="BV56" s="92" t="str">
        <f t="shared" si="439"/>
        <v>-</v>
      </c>
      <c r="BW56" s="91" t="str">
        <f t="shared" si="439"/>
        <v>-</v>
      </c>
      <c r="BX56" s="93" t="str">
        <f t="shared" si="439"/>
        <v>-</v>
      </c>
      <c r="BY56" s="92" t="str">
        <f t="shared" si="439"/>
        <v>-</v>
      </c>
      <c r="BZ56" s="91" t="str">
        <f t="shared" si="439"/>
        <v>-</v>
      </c>
      <c r="CA56" s="93" t="str">
        <f t="shared" si="439"/>
        <v>-</v>
      </c>
      <c r="CB56" s="92" t="str">
        <f t="shared" si="439"/>
        <v>-</v>
      </c>
      <c r="CC56" s="91" t="str">
        <f t="shared" si="439"/>
        <v>-</v>
      </c>
      <c r="CD56" s="93" t="str">
        <f t="shared" si="439"/>
        <v>-</v>
      </c>
      <c r="CE56" s="433" t="str">
        <f t="shared" si="439"/>
        <v>-</v>
      </c>
      <c r="CF56" s="91" t="str">
        <f t="shared" si="439"/>
        <v>-</v>
      </c>
      <c r="CG56" s="184" t="str">
        <f t="shared" si="439"/>
        <v>-</v>
      </c>
      <c r="CH56" s="91" t="str">
        <f t="shared" si="439"/>
        <v>-</v>
      </c>
      <c r="CI56" s="91" t="str">
        <f t="shared" si="439"/>
        <v>-</v>
      </c>
      <c r="CJ56" s="93" t="str">
        <f t="shared" si="439"/>
        <v>-</v>
      </c>
      <c r="CK56" s="90" t="str">
        <f t="shared" si="439"/>
        <v>-</v>
      </c>
      <c r="CL56" s="91" t="str">
        <f t="shared" si="439"/>
        <v>-</v>
      </c>
      <c r="CM56" s="93" t="str">
        <f t="shared" si="439"/>
        <v>-</v>
      </c>
      <c r="CN56" s="90" t="str">
        <f t="shared" si="439"/>
        <v>-</v>
      </c>
      <c r="CO56" s="91" t="str">
        <f t="shared" si="439"/>
        <v>-</v>
      </c>
      <c r="CP56" s="93" t="str">
        <f t="shared" si="439"/>
        <v>-</v>
      </c>
      <c r="CQ56" s="90" t="str">
        <f t="shared" si="439"/>
        <v>-</v>
      </c>
      <c r="CR56" s="91" t="str">
        <f t="shared" si="439"/>
        <v>-</v>
      </c>
      <c r="CS56" s="93" t="str">
        <f t="shared" si="439"/>
        <v>-</v>
      </c>
      <c r="CT56" s="90" t="str">
        <f t="shared" si="439"/>
        <v>-</v>
      </c>
      <c r="CU56" s="91" t="str">
        <f t="shared" si="439"/>
        <v>-</v>
      </c>
      <c r="CV56" s="93" t="str">
        <f t="shared" si="439"/>
        <v>-</v>
      </c>
      <c r="CW56" s="90" t="str">
        <f t="shared" si="439"/>
        <v>-</v>
      </c>
      <c r="CX56" s="91" t="str">
        <f t="shared" si="439"/>
        <v>-</v>
      </c>
      <c r="CY56" s="93" t="str">
        <f t="shared" si="439"/>
        <v>-</v>
      </c>
      <c r="CZ56" s="90" t="str">
        <f t="shared" si="439"/>
        <v>-</v>
      </c>
      <c r="DA56" s="91" t="str">
        <f t="shared" si="439"/>
        <v>-</v>
      </c>
      <c r="DB56" s="93" t="str">
        <f t="shared" si="439"/>
        <v>-</v>
      </c>
      <c r="DC56" s="90" t="str">
        <f t="shared" si="439"/>
        <v>-</v>
      </c>
      <c r="DD56" s="91" t="str">
        <f t="shared" si="439"/>
        <v>-</v>
      </c>
      <c r="DE56" s="93" t="str">
        <f t="shared" si="439"/>
        <v>-</v>
      </c>
      <c r="DF56" s="90" t="str">
        <f t="shared" si="439"/>
        <v>-</v>
      </c>
      <c r="DG56" s="91" t="str">
        <f t="shared" si="439"/>
        <v>-</v>
      </c>
      <c r="DH56" s="93" t="str">
        <f t="shared" si="439"/>
        <v>-</v>
      </c>
      <c r="DI56" s="90" t="str">
        <f t="shared" si="439"/>
        <v>-</v>
      </c>
      <c r="DJ56" s="91" t="str">
        <f t="shared" si="439"/>
        <v>-</v>
      </c>
      <c r="DK56" s="93" t="str">
        <f t="shared" si="439"/>
        <v>-</v>
      </c>
      <c r="DL56" s="90" t="str">
        <f t="shared" si="439"/>
        <v>-</v>
      </c>
      <c r="DM56" s="91" t="str">
        <f t="shared" si="439"/>
        <v>-</v>
      </c>
      <c r="DN56" s="93" t="str">
        <f t="shared" si="439"/>
        <v>-</v>
      </c>
      <c r="DO56" s="90" t="str">
        <f t="shared" si="439"/>
        <v>-</v>
      </c>
      <c r="DP56" s="91" t="str">
        <f t="shared" si="439"/>
        <v>-</v>
      </c>
      <c r="DQ56" s="93" t="str">
        <f t="shared" si="439"/>
        <v>-</v>
      </c>
      <c r="DR56" s="433" t="str">
        <f t="shared" si="439"/>
        <v>-</v>
      </c>
      <c r="DS56" s="91" t="str">
        <f t="shared" si="439"/>
        <v>-</v>
      </c>
      <c r="DT56" s="184" t="str">
        <f t="shared" si="439"/>
        <v>-</v>
      </c>
    </row>
    <row r="57" spans="1:124" ht="14.25" customHeight="1">
      <c r="A57" s="23"/>
      <c r="B57" s="87"/>
      <c r="C57" s="88"/>
      <c r="D57" s="89"/>
      <c r="E57" s="433" t="str">
        <f t="shared" ref="E57:BP57" si="440">IFERROR(E37/E45,"-")</f>
        <v>-</v>
      </c>
      <c r="F57" s="91" t="str">
        <f t="shared" si="440"/>
        <v>-</v>
      </c>
      <c r="G57" s="184" t="str">
        <f t="shared" si="440"/>
        <v>-</v>
      </c>
      <c r="H57" s="91" t="str">
        <f t="shared" si="440"/>
        <v>-</v>
      </c>
      <c r="I57" s="91" t="str">
        <f t="shared" si="440"/>
        <v>-</v>
      </c>
      <c r="J57" s="93" t="str">
        <f t="shared" si="440"/>
        <v>-</v>
      </c>
      <c r="K57" s="91" t="str">
        <f t="shared" si="440"/>
        <v>-</v>
      </c>
      <c r="L57" s="91" t="str">
        <f t="shared" si="440"/>
        <v>-</v>
      </c>
      <c r="M57" s="93" t="str">
        <f t="shared" si="440"/>
        <v>-</v>
      </c>
      <c r="N57" s="92" t="str">
        <f t="shared" si="440"/>
        <v>-</v>
      </c>
      <c r="O57" s="91" t="str">
        <f t="shared" si="440"/>
        <v>-</v>
      </c>
      <c r="P57" s="93" t="str">
        <f t="shared" si="440"/>
        <v>-</v>
      </c>
      <c r="Q57" s="92" t="str">
        <f t="shared" si="440"/>
        <v>-</v>
      </c>
      <c r="R57" s="91" t="str">
        <f t="shared" si="440"/>
        <v>-</v>
      </c>
      <c r="S57" s="93" t="str">
        <f t="shared" si="440"/>
        <v>-</v>
      </c>
      <c r="T57" s="92" t="str">
        <f t="shared" si="440"/>
        <v>-</v>
      </c>
      <c r="U57" s="91" t="str">
        <f t="shared" si="440"/>
        <v>-</v>
      </c>
      <c r="V57" s="93" t="str">
        <f t="shared" si="440"/>
        <v>-</v>
      </c>
      <c r="W57" s="92" t="str">
        <f t="shared" si="440"/>
        <v>-</v>
      </c>
      <c r="X57" s="91" t="str">
        <f t="shared" si="440"/>
        <v>-</v>
      </c>
      <c r="Y57" s="93" t="str">
        <f t="shared" si="440"/>
        <v>-</v>
      </c>
      <c r="Z57" s="92" t="str">
        <f t="shared" si="440"/>
        <v>-</v>
      </c>
      <c r="AA57" s="91" t="str">
        <f t="shared" si="440"/>
        <v>-</v>
      </c>
      <c r="AB57" s="93" t="str">
        <f t="shared" si="440"/>
        <v>-</v>
      </c>
      <c r="AC57" s="92" t="str">
        <f t="shared" si="440"/>
        <v>-</v>
      </c>
      <c r="AD57" s="91" t="str">
        <f t="shared" si="440"/>
        <v>-</v>
      </c>
      <c r="AE57" s="93" t="str">
        <f t="shared" si="440"/>
        <v>-</v>
      </c>
      <c r="AF57" s="92" t="str">
        <f t="shared" si="440"/>
        <v>-</v>
      </c>
      <c r="AG57" s="91" t="str">
        <f t="shared" si="440"/>
        <v>-</v>
      </c>
      <c r="AH57" s="93" t="str">
        <f t="shared" si="440"/>
        <v>-</v>
      </c>
      <c r="AI57" s="92" t="str">
        <f t="shared" si="440"/>
        <v>-</v>
      </c>
      <c r="AJ57" s="91" t="str">
        <f t="shared" si="440"/>
        <v>-</v>
      </c>
      <c r="AK57" s="93" t="str">
        <f t="shared" si="440"/>
        <v>-</v>
      </c>
      <c r="AL57" s="92" t="str">
        <f t="shared" si="440"/>
        <v>-</v>
      </c>
      <c r="AM57" s="91" t="str">
        <f t="shared" si="440"/>
        <v>-</v>
      </c>
      <c r="AN57" s="93" t="str">
        <f t="shared" si="440"/>
        <v>-</v>
      </c>
      <c r="AO57" s="92" t="str">
        <f t="shared" si="440"/>
        <v>-</v>
      </c>
      <c r="AP57" s="91" t="str">
        <f t="shared" si="440"/>
        <v>-</v>
      </c>
      <c r="AQ57" s="93" t="str">
        <f t="shared" si="440"/>
        <v>-</v>
      </c>
      <c r="AR57" s="433" t="str">
        <f t="shared" si="440"/>
        <v>-</v>
      </c>
      <c r="AS57" s="91" t="str">
        <f t="shared" si="440"/>
        <v>-</v>
      </c>
      <c r="AT57" s="184" t="str">
        <f t="shared" si="440"/>
        <v>-</v>
      </c>
      <c r="AU57" s="92" t="str">
        <f t="shared" si="440"/>
        <v>-</v>
      </c>
      <c r="AV57" s="91" t="str">
        <f t="shared" si="440"/>
        <v>-</v>
      </c>
      <c r="AW57" s="93" t="str">
        <f t="shared" si="440"/>
        <v>-</v>
      </c>
      <c r="AX57" s="92" t="str">
        <f t="shared" si="440"/>
        <v>-</v>
      </c>
      <c r="AY57" s="91" t="str">
        <f t="shared" si="440"/>
        <v>-</v>
      </c>
      <c r="AZ57" s="93" t="str">
        <f t="shared" si="440"/>
        <v>-</v>
      </c>
      <c r="BA57" s="92" t="str">
        <f t="shared" si="440"/>
        <v>-</v>
      </c>
      <c r="BB57" s="91" t="str">
        <f t="shared" si="440"/>
        <v>-</v>
      </c>
      <c r="BC57" s="93" t="str">
        <f t="shared" si="440"/>
        <v>-</v>
      </c>
      <c r="BD57" s="92" t="str">
        <f t="shared" si="440"/>
        <v>-</v>
      </c>
      <c r="BE57" s="91" t="str">
        <f t="shared" si="440"/>
        <v>-</v>
      </c>
      <c r="BF57" s="93" t="str">
        <f t="shared" si="440"/>
        <v>-</v>
      </c>
      <c r="BG57" s="92" t="str">
        <f t="shared" si="440"/>
        <v>-</v>
      </c>
      <c r="BH57" s="91" t="str">
        <f t="shared" si="440"/>
        <v>-</v>
      </c>
      <c r="BI57" s="93" t="str">
        <f t="shared" si="440"/>
        <v>-</v>
      </c>
      <c r="BJ57" s="92" t="str">
        <f t="shared" si="440"/>
        <v>-</v>
      </c>
      <c r="BK57" s="91" t="str">
        <f t="shared" si="440"/>
        <v>-</v>
      </c>
      <c r="BL57" s="93" t="str">
        <f t="shared" si="440"/>
        <v>-</v>
      </c>
      <c r="BM57" s="92" t="str">
        <f t="shared" si="440"/>
        <v>-</v>
      </c>
      <c r="BN57" s="91" t="str">
        <f t="shared" si="440"/>
        <v>-</v>
      </c>
      <c r="BO57" s="93" t="str">
        <f t="shared" si="440"/>
        <v>-</v>
      </c>
      <c r="BP57" s="92" t="str">
        <f t="shared" si="440"/>
        <v>-</v>
      </c>
      <c r="BQ57" s="91" t="str">
        <f t="shared" ref="BQ57:DT57" si="441">IFERROR(BQ37/BQ45,"-")</f>
        <v>-</v>
      </c>
      <c r="BR57" s="93" t="str">
        <f t="shared" si="441"/>
        <v>-</v>
      </c>
      <c r="BS57" s="92" t="str">
        <f t="shared" si="441"/>
        <v>-</v>
      </c>
      <c r="BT57" s="91" t="str">
        <f t="shared" si="441"/>
        <v>-</v>
      </c>
      <c r="BU57" s="93" t="str">
        <f t="shared" si="441"/>
        <v>-</v>
      </c>
      <c r="BV57" s="92" t="str">
        <f t="shared" si="441"/>
        <v>-</v>
      </c>
      <c r="BW57" s="91" t="str">
        <f t="shared" si="441"/>
        <v>-</v>
      </c>
      <c r="BX57" s="93" t="str">
        <f t="shared" si="441"/>
        <v>-</v>
      </c>
      <c r="BY57" s="92" t="str">
        <f t="shared" si="441"/>
        <v>-</v>
      </c>
      <c r="BZ57" s="91" t="str">
        <f t="shared" si="441"/>
        <v>-</v>
      </c>
      <c r="CA57" s="93" t="str">
        <f t="shared" si="441"/>
        <v>-</v>
      </c>
      <c r="CB57" s="92" t="str">
        <f t="shared" si="441"/>
        <v>-</v>
      </c>
      <c r="CC57" s="91" t="str">
        <f t="shared" si="441"/>
        <v>-</v>
      </c>
      <c r="CD57" s="93" t="str">
        <f t="shared" si="441"/>
        <v>-</v>
      </c>
      <c r="CE57" s="433" t="str">
        <f t="shared" si="441"/>
        <v>-</v>
      </c>
      <c r="CF57" s="91" t="str">
        <f t="shared" si="441"/>
        <v>-</v>
      </c>
      <c r="CG57" s="184" t="str">
        <f t="shared" si="441"/>
        <v>-</v>
      </c>
      <c r="CH57" s="91" t="str">
        <f t="shared" si="441"/>
        <v>-</v>
      </c>
      <c r="CI57" s="91" t="str">
        <f t="shared" si="441"/>
        <v>-</v>
      </c>
      <c r="CJ57" s="93" t="str">
        <f t="shared" si="441"/>
        <v>-</v>
      </c>
      <c r="CK57" s="90" t="str">
        <f t="shared" si="441"/>
        <v>-</v>
      </c>
      <c r="CL57" s="91" t="str">
        <f t="shared" si="441"/>
        <v>-</v>
      </c>
      <c r="CM57" s="93" t="str">
        <f t="shared" si="441"/>
        <v>-</v>
      </c>
      <c r="CN57" s="90" t="str">
        <f t="shared" si="441"/>
        <v>-</v>
      </c>
      <c r="CO57" s="91" t="str">
        <f t="shared" si="441"/>
        <v>-</v>
      </c>
      <c r="CP57" s="93" t="str">
        <f t="shared" si="441"/>
        <v>-</v>
      </c>
      <c r="CQ57" s="90" t="str">
        <f t="shared" si="441"/>
        <v>-</v>
      </c>
      <c r="CR57" s="91" t="str">
        <f t="shared" si="441"/>
        <v>-</v>
      </c>
      <c r="CS57" s="93" t="str">
        <f t="shared" si="441"/>
        <v>-</v>
      </c>
      <c r="CT57" s="90" t="str">
        <f t="shared" si="441"/>
        <v>-</v>
      </c>
      <c r="CU57" s="91" t="str">
        <f t="shared" si="441"/>
        <v>-</v>
      </c>
      <c r="CV57" s="93" t="str">
        <f t="shared" si="441"/>
        <v>-</v>
      </c>
      <c r="CW57" s="90" t="str">
        <f t="shared" si="441"/>
        <v>-</v>
      </c>
      <c r="CX57" s="91" t="str">
        <f t="shared" si="441"/>
        <v>-</v>
      </c>
      <c r="CY57" s="93" t="str">
        <f t="shared" si="441"/>
        <v>-</v>
      </c>
      <c r="CZ57" s="90" t="str">
        <f t="shared" si="441"/>
        <v>-</v>
      </c>
      <c r="DA57" s="91" t="str">
        <f t="shared" si="441"/>
        <v>-</v>
      </c>
      <c r="DB57" s="93" t="str">
        <f t="shared" si="441"/>
        <v>-</v>
      </c>
      <c r="DC57" s="90" t="str">
        <f t="shared" si="441"/>
        <v>-</v>
      </c>
      <c r="DD57" s="91" t="str">
        <f t="shared" si="441"/>
        <v>-</v>
      </c>
      <c r="DE57" s="93" t="str">
        <f t="shared" si="441"/>
        <v>-</v>
      </c>
      <c r="DF57" s="90" t="str">
        <f t="shared" si="441"/>
        <v>-</v>
      </c>
      <c r="DG57" s="91" t="str">
        <f t="shared" si="441"/>
        <v>-</v>
      </c>
      <c r="DH57" s="93" t="str">
        <f t="shared" si="441"/>
        <v>-</v>
      </c>
      <c r="DI57" s="90" t="str">
        <f t="shared" si="441"/>
        <v>-</v>
      </c>
      <c r="DJ57" s="91" t="str">
        <f t="shared" si="441"/>
        <v>-</v>
      </c>
      <c r="DK57" s="93" t="str">
        <f t="shared" si="441"/>
        <v>-</v>
      </c>
      <c r="DL57" s="90" t="str">
        <f t="shared" si="441"/>
        <v>-</v>
      </c>
      <c r="DM57" s="91" t="str">
        <f t="shared" si="441"/>
        <v>-</v>
      </c>
      <c r="DN57" s="93" t="str">
        <f t="shared" si="441"/>
        <v>-</v>
      </c>
      <c r="DO57" s="90" t="str">
        <f t="shared" si="441"/>
        <v>-</v>
      </c>
      <c r="DP57" s="91" t="str">
        <f t="shared" si="441"/>
        <v>-</v>
      </c>
      <c r="DQ57" s="93" t="str">
        <f t="shared" si="441"/>
        <v>-</v>
      </c>
      <c r="DR57" s="433" t="str">
        <f t="shared" si="441"/>
        <v>-</v>
      </c>
      <c r="DS57" s="91" t="str">
        <f t="shared" si="441"/>
        <v>-</v>
      </c>
      <c r="DT57" s="184" t="str">
        <f t="shared" si="441"/>
        <v>-</v>
      </c>
    </row>
    <row r="58" spans="1:124" ht="14.25" customHeight="1">
      <c r="A58" s="23"/>
      <c r="B58" s="87"/>
      <c r="C58" s="88"/>
      <c r="D58" s="89"/>
      <c r="E58" s="433" t="str">
        <f t="shared" ref="E58:BP58" si="442">IFERROR(E38/E46,"-")</f>
        <v>-</v>
      </c>
      <c r="F58" s="91" t="str">
        <f t="shared" si="442"/>
        <v>-</v>
      </c>
      <c r="G58" s="184" t="str">
        <f t="shared" si="442"/>
        <v>-</v>
      </c>
      <c r="H58" s="91" t="str">
        <f t="shared" si="442"/>
        <v>-</v>
      </c>
      <c r="I58" s="91" t="str">
        <f t="shared" si="442"/>
        <v>-</v>
      </c>
      <c r="J58" s="93" t="str">
        <f t="shared" si="442"/>
        <v>-</v>
      </c>
      <c r="K58" s="91" t="str">
        <f t="shared" si="442"/>
        <v>-</v>
      </c>
      <c r="L58" s="91" t="str">
        <f t="shared" si="442"/>
        <v>-</v>
      </c>
      <c r="M58" s="93" t="str">
        <f t="shared" si="442"/>
        <v>-</v>
      </c>
      <c r="N58" s="92" t="str">
        <f t="shared" si="442"/>
        <v>-</v>
      </c>
      <c r="O58" s="91" t="str">
        <f t="shared" si="442"/>
        <v>-</v>
      </c>
      <c r="P58" s="93" t="str">
        <f t="shared" si="442"/>
        <v>-</v>
      </c>
      <c r="Q58" s="92" t="str">
        <f t="shared" si="442"/>
        <v>-</v>
      </c>
      <c r="R58" s="91" t="str">
        <f t="shared" si="442"/>
        <v>-</v>
      </c>
      <c r="S58" s="93" t="str">
        <f t="shared" si="442"/>
        <v>-</v>
      </c>
      <c r="T58" s="92" t="str">
        <f t="shared" si="442"/>
        <v>-</v>
      </c>
      <c r="U58" s="91" t="str">
        <f t="shared" si="442"/>
        <v>-</v>
      </c>
      <c r="V58" s="93" t="str">
        <f t="shared" si="442"/>
        <v>-</v>
      </c>
      <c r="W58" s="92" t="str">
        <f t="shared" si="442"/>
        <v>-</v>
      </c>
      <c r="X58" s="91" t="str">
        <f t="shared" si="442"/>
        <v>-</v>
      </c>
      <c r="Y58" s="93" t="str">
        <f t="shared" si="442"/>
        <v>-</v>
      </c>
      <c r="Z58" s="92" t="str">
        <f t="shared" si="442"/>
        <v>-</v>
      </c>
      <c r="AA58" s="91" t="str">
        <f t="shared" si="442"/>
        <v>-</v>
      </c>
      <c r="AB58" s="93" t="str">
        <f t="shared" si="442"/>
        <v>-</v>
      </c>
      <c r="AC58" s="92" t="str">
        <f t="shared" si="442"/>
        <v>-</v>
      </c>
      <c r="AD58" s="91" t="str">
        <f t="shared" si="442"/>
        <v>-</v>
      </c>
      <c r="AE58" s="93" t="str">
        <f t="shared" si="442"/>
        <v>-</v>
      </c>
      <c r="AF58" s="92" t="str">
        <f t="shared" si="442"/>
        <v>-</v>
      </c>
      <c r="AG58" s="91" t="str">
        <f t="shared" si="442"/>
        <v>-</v>
      </c>
      <c r="AH58" s="93" t="str">
        <f t="shared" si="442"/>
        <v>-</v>
      </c>
      <c r="AI58" s="92" t="str">
        <f t="shared" si="442"/>
        <v>-</v>
      </c>
      <c r="AJ58" s="91" t="str">
        <f t="shared" si="442"/>
        <v>-</v>
      </c>
      <c r="AK58" s="93" t="str">
        <f t="shared" si="442"/>
        <v>-</v>
      </c>
      <c r="AL58" s="92" t="str">
        <f t="shared" si="442"/>
        <v>-</v>
      </c>
      <c r="AM58" s="91" t="str">
        <f t="shared" si="442"/>
        <v>-</v>
      </c>
      <c r="AN58" s="93" t="str">
        <f t="shared" si="442"/>
        <v>-</v>
      </c>
      <c r="AO58" s="92" t="str">
        <f t="shared" si="442"/>
        <v>-</v>
      </c>
      <c r="AP58" s="91" t="str">
        <f t="shared" si="442"/>
        <v>-</v>
      </c>
      <c r="AQ58" s="93" t="str">
        <f t="shared" si="442"/>
        <v>-</v>
      </c>
      <c r="AR58" s="433" t="str">
        <f t="shared" si="442"/>
        <v>-</v>
      </c>
      <c r="AS58" s="91" t="str">
        <f t="shared" si="442"/>
        <v>-</v>
      </c>
      <c r="AT58" s="184" t="str">
        <f t="shared" si="442"/>
        <v>-</v>
      </c>
      <c r="AU58" s="92" t="str">
        <f t="shared" si="442"/>
        <v>-</v>
      </c>
      <c r="AV58" s="91" t="str">
        <f t="shared" si="442"/>
        <v>-</v>
      </c>
      <c r="AW58" s="93" t="str">
        <f t="shared" si="442"/>
        <v>-</v>
      </c>
      <c r="AX58" s="92" t="str">
        <f t="shared" si="442"/>
        <v>-</v>
      </c>
      <c r="AY58" s="91" t="str">
        <f t="shared" si="442"/>
        <v>-</v>
      </c>
      <c r="AZ58" s="93" t="str">
        <f t="shared" si="442"/>
        <v>-</v>
      </c>
      <c r="BA58" s="92" t="str">
        <f t="shared" si="442"/>
        <v>-</v>
      </c>
      <c r="BB58" s="91" t="str">
        <f t="shared" si="442"/>
        <v>-</v>
      </c>
      <c r="BC58" s="93" t="str">
        <f t="shared" si="442"/>
        <v>-</v>
      </c>
      <c r="BD58" s="92" t="str">
        <f t="shared" si="442"/>
        <v>-</v>
      </c>
      <c r="BE58" s="91" t="str">
        <f t="shared" si="442"/>
        <v>-</v>
      </c>
      <c r="BF58" s="93" t="str">
        <f t="shared" si="442"/>
        <v>-</v>
      </c>
      <c r="BG58" s="92" t="str">
        <f t="shared" si="442"/>
        <v>-</v>
      </c>
      <c r="BH58" s="91" t="str">
        <f t="shared" si="442"/>
        <v>-</v>
      </c>
      <c r="BI58" s="93" t="str">
        <f t="shared" si="442"/>
        <v>-</v>
      </c>
      <c r="BJ58" s="92" t="str">
        <f t="shared" si="442"/>
        <v>-</v>
      </c>
      <c r="BK58" s="91" t="str">
        <f t="shared" si="442"/>
        <v>-</v>
      </c>
      <c r="BL58" s="93" t="str">
        <f t="shared" si="442"/>
        <v>-</v>
      </c>
      <c r="BM58" s="92" t="str">
        <f t="shared" si="442"/>
        <v>-</v>
      </c>
      <c r="BN58" s="91" t="str">
        <f t="shared" si="442"/>
        <v>-</v>
      </c>
      <c r="BO58" s="93" t="str">
        <f t="shared" si="442"/>
        <v>-</v>
      </c>
      <c r="BP58" s="92" t="str">
        <f t="shared" si="442"/>
        <v>-</v>
      </c>
      <c r="BQ58" s="91" t="str">
        <f t="shared" ref="BQ58:DT58" si="443">IFERROR(BQ38/BQ46,"-")</f>
        <v>-</v>
      </c>
      <c r="BR58" s="93" t="str">
        <f t="shared" si="443"/>
        <v>-</v>
      </c>
      <c r="BS58" s="92" t="str">
        <f t="shared" si="443"/>
        <v>-</v>
      </c>
      <c r="BT58" s="91" t="str">
        <f t="shared" si="443"/>
        <v>-</v>
      </c>
      <c r="BU58" s="93" t="str">
        <f t="shared" si="443"/>
        <v>-</v>
      </c>
      <c r="BV58" s="92" t="str">
        <f t="shared" si="443"/>
        <v>-</v>
      </c>
      <c r="BW58" s="91" t="str">
        <f t="shared" si="443"/>
        <v>-</v>
      </c>
      <c r="BX58" s="93" t="str">
        <f t="shared" si="443"/>
        <v>-</v>
      </c>
      <c r="BY58" s="92" t="str">
        <f t="shared" si="443"/>
        <v>-</v>
      </c>
      <c r="BZ58" s="91" t="str">
        <f t="shared" si="443"/>
        <v>-</v>
      </c>
      <c r="CA58" s="93" t="str">
        <f t="shared" si="443"/>
        <v>-</v>
      </c>
      <c r="CB58" s="92" t="str">
        <f t="shared" si="443"/>
        <v>-</v>
      </c>
      <c r="CC58" s="91" t="str">
        <f t="shared" si="443"/>
        <v>-</v>
      </c>
      <c r="CD58" s="93" t="str">
        <f t="shared" si="443"/>
        <v>-</v>
      </c>
      <c r="CE58" s="433" t="str">
        <f t="shared" si="443"/>
        <v>-</v>
      </c>
      <c r="CF58" s="91" t="str">
        <f t="shared" si="443"/>
        <v>-</v>
      </c>
      <c r="CG58" s="184" t="str">
        <f t="shared" si="443"/>
        <v>-</v>
      </c>
      <c r="CH58" s="91" t="str">
        <f t="shared" si="443"/>
        <v>-</v>
      </c>
      <c r="CI58" s="91" t="str">
        <f t="shared" si="443"/>
        <v>-</v>
      </c>
      <c r="CJ58" s="93" t="str">
        <f t="shared" si="443"/>
        <v>-</v>
      </c>
      <c r="CK58" s="90" t="str">
        <f t="shared" si="443"/>
        <v>-</v>
      </c>
      <c r="CL58" s="91" t="str">
        <f t="shared" si="443"/>
        <v>-</v>
      </c>
      <c r="CM58" s="93" t="str">
        <f t="shared" si="443"/>
        <v>-</v>
      </c>
      <c r="CN58" s="90" t="str">
        <f t="shared" si="443"/>
        <v>-</v>
      </c>
      <c r="CO58" s="91" t="str">
        <f t="shared" si="443"/>
        <v>-</v>
      </c>
      <c r="CP58" s="93" t="str">
        <f t="shared" si="443"/>
        <v>-</v>
      </c>
      <c r="CQ58" s="90" t="str">
        <f t="shared" si="443"/>
        <v>-</v>
      </c>
      <c r="CR58" s="91" t="str">
        <f t="shared" si="443"/>
        <v>-</v>
      </c>
      <c r="CS58" s="93" t="str">
        <f t="shared" si="443"/>
        <v>-</v>
      </c>
      <c r="CT58" s="90" t="str">
        <f t="shared" si="443"/>
        <v>-</v>
      </c>
      <c r="CU58" s="91" t="str">
        <f t="shared" si="443"/>
        <v>-</v>
      </c>
      <c r="CV58" s="93" t="str">
        <f t="shared" si="443"/>
        <v>-</v>
      </c>
      <c r="CW58" s="90" t="str">
        <f t="shared" si="443"/>
        <v>-</v>
      </c>
      <c r="CX58" s="91" t="str">
        <f t="shared" si="443"/>
        <v>-</v>
      </c>
      <c r="CY58" s="93" t="str">
        <f t="shared" si="443"/>
        <v>-</v>
      </c>
      <c r="CZ58" s="90" t="str">
        <f t="shared" si="443"/>
        <v>-</v>
      </c>
      <c r="DA58" s="91" t="str">
        <f t="shared" si="443"/>
        <v>-</v>
      </c>
      <c r="DB58" s="93" t="str">
        <f t="shared" si="443"/>
        <v>-</v>
      </c>
      <c r="DC58" s="90" t="str">
        <f t="shared" si="443"/>
        <v>-</v>
      </c>
      <c r="DD58" s="91" t="str">
        <f t="shared" si="443"/>
        <v>-</v>
      </c>
      <c r="DE58" s="93" t="str">
        <f t="shared" si="443"/>
        <v>-</v>
      </c>
      <c r="DF58" s="90" t="str">
        <f t="shared" si="443"/>
        <v>-</v>
      </c>
      <c r="DG58" s="91" t="str">
        <f t="shared" si="443"/>
        <v>-</v>
      </c>
      <c r="DH58" s="93" t="str">
        <f t="shared" si="443"/>
        <v>-</v>
      </c>
      <c r="DI58" s="90" t="str">
        <f t="shared" si="443"/>
        <v>-</v>
      </c>
      <c r="DJ58" s="91" t="str">
        <f t="shared" si="443"/>
        <v>-</v>
      </c>
      <c r="DK58" s="93" t="str">
        <f t="shared" si="443"/>
        <v>-</v>
      </c>
      <c r="DL58" s="90" t="str">
        <f t="shared" si="443"/>
        <v>-</v>
      </c>
      <c r="DM58" s="91" t="str">
        <f t="shared" si="443"/>
        <v>-</v>
      </c>
      <c r="DN58" s="93" t="str">
        <f t="shared" si="443"/>
        <v>-</v>
      </c>
      <c r="DO58" s="90" t="str">
        <f t="shared" si="443"/>
        <v>-</v>
      </c>
      <c r="DP58" s="91" t="str">
        <f t="shared" si="443"/>
        <v>-</v>
      </c>
      <c r="DQ58" s="93" t="str">
        <f t="shared" si="443"/>
        <v>-</v>
      </c>
      <c r="DR58" s="433" t="str">
        <f t="shared" si="443"/>
        <v>-</v>
      </c>
      <c r="DS58" s="91" t="str">
        <f t="shared" si="443"/>
        <v>-</v>
      </c>
      <c r="DT58" s="184" t="str">
        <f t="shared" si="443"/>
        <v>-</v>
      </c>
    </row>
    <row r="59" spans="1:124" ht="14.25" customHeight="1">
      <c r="A59" s="23"/>
      <c r="B59" s="87"/>
      <c r="C59" s="88"/>
      <c r="D59" s="89"/>
      <c r="E59" s="433" t="str">
        <f t="shared" ref="E59:BP59" si="444">IFERROR(E39/E47,"-")</f>
        <v>-</v>
      </c>
      <c r="F59" s="91" t="str">
        <f t="shared" si="444"/>
        <v>-</v>
      </c>
      <c r="G59" s="184" t="str">
        <f t="shared" si="444"/>
        <v>-</v>
      </c>
      <c r="H59" s="91" t="str">
        <f t="shared" si="444"/>
        <v>-</v>
      </c>
      <c r="I59" s="91" t="str">
        <f t="shared" si="444"/>
        <v>-</v>
      </c>
      <c r="J59" s="93" t="str">
        <f t="shared" si="444"/>
        <v>-</v>
      </c>
      <c r="K59" s="91" t="str">
        <f t="shared" si="444"/>
        <v>-</v>
      </c>
      <c r="L59" s="91" t="str">
        <f t="shared" si="444"/>
        <v>-</v>
      </c>
      <c r="M59" s="93" t="str">
        <f t="shared" si="444"/>
        <v>-</v>
      </c>
      <c r="N59" s="92" t="str">
        <f t="shared" si="444"/>
        <v>-</v>
      </c>
      <c r="O59" s="91" t="str">
        <f t="shared" si="444"/>
        <v>-</v>
      </c>
      <c r="P59" s="93" t="str">
        <f t="shared" si="444"/>
        <v>-</v>
      </c>
      <c r="Q59" s="92" t="str">
        <f t="shared" si="444"/>
        <v>-</v>
      </c>
      <c r="R59" s="91" t="str">
        <f t="shared" si="444"/>
        <v>-</v>
      </c>
      <c r="S59" s="93" t="str">
        <f t="shared" si="444"/>
        <v>-</v>
      </c>
      <c r="T59" s="92" t="str">
        <f t="shared" si="444"/>
        <v>-</v>
      </c>
      <c r="U59" s="91" t="str">
        <f t="shared" si="444"/>
        <v>-</v>
      </c>
      <c r="V59" s="93" t="str">
        <f t="shared" si="444"/>
        <v>-</v>
      </c>
      <c r="W59" s="92" t="str">
        <f t="shared" si="444"/>
        <v>-</v>
      </c>
      <c r="X59" s="91" t="str">
        <f t="shared" si="444"/>
        <v>-</v>
      </c>
      <c r="Y59" s="93" t="str">
        <f t="shared" si="444"/>
        <v>-</v>
      </c>
      <c r="Z59" s="92" t="str">
        <f t="shared" si="444"/>
        <v>-</v>
      </c>
      <c r="AA59" s="91" t="str">
        <f t="shared" si="444"/>
        <v>-</v>
      </c>
      <c r="AB59" s="93" t="str">
        <f t="shared" si="444"/>
        <v>-</v>
      </c>
      <c r="AC59" s="92" t="str">
        <f t="shared" si="444"/>
        <v>-</v>
      </c>
      <c r="AD59" s="91" t="str">
        <f t="shared" si="444"/>
        <v>-</v>
      </c>
      <c r="AE59" s="93" t="str">
        <f t="shared" si="444"/>
        <v>-</v>
      </c>
      <c r="AF59" s="92" t="str">
        <f t="shared" si="444"/>
        <v>-</v>
      </c>
      <c r="AG59" s="91" t="str">
        <f t="shared" si="444"/>
        <v>-</v>
      </c>
      <c r="AH59" s="93" t="str">
        <f t="shared" si="444"/>
        <v>-</v>
      </c>
      <c r="AI59" s="92" t="str">
        <f t="shared" si="444"/>
        <v>-</v>
      </c>
      <c r="AJ59" s="91" t="str">
        <f t="shared" si="444"/>
        <v>-</v>
      </c>
      <c r="AK59" s="93" t="str">
        <f t="shared" si="444"/>
        <v>-</v>
      </c>
      <c r="AL59" s="92" t="str">
        <f t="shared" si="444"/>
        <v>-</v>
      </c>
      <c r="AM59" s="91" t="str">
        <f t="shared" si="444"/>
        <v>-</v>
      </c>
      <c r="AN59" s="93" t="str">
        <f t="shared" si="444"/>
        <v>-</v>
      </c>
      <c r="AO59" s="92" t="str">
        <f t="shared" si="444"/>
        <v>-</v>
      </c>
      <c r="AP59" s="91" t="str">
        <f t="shared" si="444"/>
        <v>-</v>
      </c>
      <c r="AQ59" s="93" t="str">
        <f t="shared" si="444"/>
        <v>-</v>
      </c>
      <c r="AR59" s="433" t="str">
        <f t="shared" si="444"/>
        <v>-</v>
      </c>
      <c r="AS59" s="91" t="str">
        <f t="shared" si="444"/>
        <v>-</v>
      </c>
      <c r="AT59" s="184" t="str">
        <f t="shared" si="444"/>
        <v>-</v>
      </c>
      <c r="AU59" s="92" t="str">
        <f t="shared" si="444"/>
        <v>-</v>
      </c>
      <c r="AV59" s="91" t="str">
        <f t="shared" si="444"/>
        <v>-</v>
      </c>
      <c r="AW59" s="93" t="str">
        <f t="shared" si="444"/>
        <v>-</v>
      </c>
      <c r="AX59" s="92" t="str">
        <f t="shared" si="444"/>
        <v>-</v>
      </c>
      <c r="AY59" s="91" t="str">
        <f t="shared" si="444"/>
        <v>-</v>
      </c>
      <c r="AZ59" s="93" t="str">
        <f t="shared" si="444"/>
        <v>-</v>
      </c>
      <c r="BA59" s="92" t="str">
        <f t="shared" si="444"/>
        <v>-</v>
      </c>
      <c r="BB59" s="91" t="str">
        <f t="shared" si="444"/>
        <v>-</v>
      </c>
      <c r="BC59" s="93" t="str">
        <f t="shared" si="444"/>
        <v>-</v>
      </c>
      <c r="BD59" s="92" t="str">
        <f t="shared" si="444"/>
        <v>-</v>
      </c>
      <c r="BE59" s="91" t="str">
        <f t="shared" si="444"/>
        <v>-</v>
      </c>
      <c r="BF59" s="93" t="str">
        <f t="shared" si="444"/>
        <v>-</v>
      </c>
      <c r="BG59" s="92" t="str">
        <f t="shared" si="444"/>
        <v>-</v>
      </c>
      <c r="BH59" s="91" t="str">
        <f t="shared" si="444"/>
        <v>-</v>
      </c>
      <c r="BI59" s="93" t="str">
        <f t="shared" si="444"/>
        <v>-</v>
      </c>
      <c r="BJ59" s="92" t="str">
        <f t="shared" si="444"/>
        <v>-</v>
      </c>
      <c r="BK59" s="91" t="str">
        <f t="shared" si="444"/>
        <v>-</v>
      </c>
      <c r="BL59" s="93" t="str">
        <f t="shared" si="444"/>
        <v>-</v>
      </c>
      <c r="BM59" s="92" t="str">
        <f t="shared" si="444"/>
        <v>-</v>
      </c>
      <c r="BN59" s="91" t="str">
        <f t="shared" si="444"/>
        <v>-</v>
      </c>
      <c r="BO59" s="93" t="str">
        <f t="shared" si="444"/>
        <v>-</v>
      </c>
      <c r="BP59" s="92" t="str">
        <f t="shared" si="444"/>
        <v>-</v>
      </c>
      <c r="BQ59" s="91" t="str">
        <f t="shared" ref="BQ59:DT59" si="445">IFERROR(BQ39/BQ47,"-")</f>
        <v>-</v>
      </c>
      <c r="BR59" s="93" t="str">
        <f t="shared" si="445"/>
        <v>-</v>
      </c>
      <c r="BS59" s="92" t="str">
        <f t="shared" si="445"/>
        <v>-</v>
      </c>
      <c r="BT59" s="91" t="str">
        <f t="shared" si="445"/>
        <v>-</v>
      </c>
      <c r="BU59" s="93" t="str">
        <f t="shared" si="445"/>
        <v>-</v>
      </c>
      <c r="BV59" s="92" t="str">
        <f t="shared" si="445"/>
        <v>-</v>
      </c>
      <c r="BW59" s="91" t="str">
        <f t="shared" si="445"/>
        <v>-</v>
      </c>
      <c r="BX59" s="93" t="str">
        <f t="shared" si="445"/>
        <v>-</v>
      </c>
      <c r="BY59" s="92" t="str">
        <f t="shared" si="445"/>
        <v>-</v>
      </c>
      <c r="BZ59" s="91" t="str">
        <f t="shared" si="445"/>
        <v>-</v>
      </c>
      <c r="CA59" s="93" t="str">
        <f t="shared" si="445"/>
        <v>-</v>
      </c>
      <c r="CB59" s="92" t="str">
        <f t="shared" si="445"/>
        <v>-</v>
      </c>
      <c r="CC59" s="91" t="str">
        <f t="shared" si="445"/>
        <v>-</v>
      </c>
      <c r="CD59" s="93" t="str">
        <f t="shared" si="445"/>
        <v>-</v>
      </c>
      <c r="CE59" s="433" t="str">
        <f t="shared" si="445"/>
        <v>-</v>
      </c>
      <c r="CF59" s="91" t="str">
        <f t="shared" si="445"/>
        <v>-</v>
      </c>
      <c r="CG59" s="184" t="str">
        <f t="shared" si="445"/>
        <v>-</v>
      </c>
      <c r="CH59" s="91" t="str">
        <f t="shared" si="445"/>
        <v>-</v>
      </c>
      <c r="CI59" s="91" t="str">
        <f t="shared" si="445"/>
        <v>-</v>
      </c>
      <c r="CJ59" s="93" t="str">
        <f t="shared" si="445"/>
        <v>-</v>
      </c>
      <c r="CK59" s="90" t="str">
        <f t="shared" si="445"/>
        <v>-</v>
      </c>
      <c r="CL59" s="91" t="str">
        <f t="shared" si="445"/>
        <v>-</v>
      </c>
      <c r="CM59" s="93" t="str">
        <f t="shared" si="445"/>
        <v>-</v>
      </c>
      <c r="CN59" s="90" t="str">
        <f t="shared" si="445"/>
        <v>-</v>
      </c>
      <c r="CO59" s="91" t="str">
        <f t="shared" si="445"/>
        <v>-</v>
      </c>
      <c r="CP59" s="93" t="str">
        <f t="shared" si="445"/>
        <v>-</v>
      </c>
      <c r="CQ59" s="90" t="str">
        <f t="shared" si="445"/>
        <v>-</v>
      </c>
      <c r="CR59" s="91" t="str">
        <f t="shared" si="445"/>
        <v>-</v>
      </c>
      <c r="CS59" s="93" t="str">
        <f t="shared" si="445"/>
        <v>-</v>
      </c>
      <c r="CT59" s="90" t="str">
        <f t="shared" si="445"/>
        <v>-</v>
      </c>
      <c r="CU59" s="91" t="str">
        <f t="shared" si="445"/>
        <v>-</v>
      </c>
      <c r="CV59" s="93" t="str">
        <f t="shared" si="445"/>
        <v>-</v>
      </c>
      <c r="CW59" s="90" t="str">
        <f t="shared" si="445"/>
        <v>-</v>
      </c>
      <c r="CX59" s="91" t="str">
        <f t="shared" si="445"/>
        <v>-</v>
      </c>
      <c r="CY59" s="93" t="str">
        <f t="shared" si="445"/>
        <v>-</v>
      </c>
      <c r="CZ59" s="90" t="str">
        <f t="shared" si="445"/>
        <v>-</v>
      </c>
      <c r="DA59" s="91" t="str">
        <f t="shared" si="445"/>
        <v>-</v>
      </c>
      <c r="DB59" s="93" t="str">
        <f t="shared" si="445"/>
        <v>-</v>
      </c>
      <c r="DC59" s="90" t="str">
        <f t="shared" si="445"/>
        <v>-</v>
      </c>
      <c r="DD59" s="91" t="str">
        <f t="shared" si="445"/>
        <v>-</v>
      </c>
      <c r="DE59" s="93" t="str">
        <f t="shared" si="445"/>
        <v>-</v>
      </c>
      <c r="DF59" s="90" t="str">
        <f t="shared" si="445"/>
        <v>-</v>
      </c>
      <c r="DG59" s="91" t="str">
        <f t="shared" si="445"/>
        <v>-</v>
      </c>
      <c r="DH59" s="93" t="str">
        <f t="shared" si="445"/>
        <v>-</v>
      </c>
      <c r="DI59" s="90" t="str">
        <f t="shared" si="445"/>
        <v>-</v>
      </c>
      <c r="DJ59" s="91" t="str">
        <f t="shared" si="445"/>
        <v>-</v>
      </c>
      <c r="DK59" s="93" t="str">
        <f t="shared" si="445"/>
        <v>-</v>
      </c>
      <c r="DL59" s="90" t="str">
        <f t="shared" si="445"/>
        <v>-</v>
      </c>
      <c r="DM59" s="91" t="str">
        <f t="shared" si="445"/>
        <v>-</v>
      </c>
      <c r="DN59" s="93" t="str">
        <f t="shared" si="445"/>
        <v>-</v>
      </c>
      <c r="DO59" s="90" t="str">
        <f t="shared" si="445"/>
        <v>-</v>
      </c>
      <c r="DP59" s="91" t="str">
        <f t="shared" si="445"/>
        <v>-</v>
      </c>
      <c r="DQ59" s="93" t="str">
        <f t="shared" si="445"/>
        <v>-</v>
      </c>
      <c r="DR59" s="433" t="str">
        <f t="shared" si="445"/>
        <v>-</v>
      </c>
      <c r="DS59" s="91" t="str">
        <f t="shared" si="445"/>
        <v>-</v>
      </c>
      <c r="DT59" s="184" t="str">
        <f t="shared" si="445"/>
        <v>-</v>
      </c>
    </row>
    <row r="60" spans="1:124" ht="14.25" customHeight="1">
      <c r="A60" s="23"/>
      <c r="B60" s="87"/>
      <c r="C60" s="88"/>
      <c r="D60" s="89"/>
      <c r="E60" s="433" t="str">
        <f t="shared" ref="E60:BP60" si="446">IFERROR(E40/E48,"-")</f>
        <v>-</v>
      </c>
      <c r="F60" s="91" t="str">
        <f t="shared" si="446"/>
        <v>-</v>
      </c>
      <c r="G60" s="184" t="str">
        <f t="shared" si="446"/>
        <v>-</v>
      </c>
      <c r="H60" s="91" t="str">
        <f t="shared" si="446"/>
        <v>-</v>
      </c>
      <c r="I60" s="91" t="str">
        <f t="shared" si="446"/>
        <v>-</v>
      </c>
      <c r="J60" s="93" t="str">
        <f t="shared" si="446"/>
        <v>-</v>
      </c>
      <c r="K60" s="91" t="str">
        <f t="shared" si="446"/>
        <v>-</v>
      </c>
      <c r="L60" s="91" t="str">
        <f t="shared" si="446"/>
        <v>-</v>
      </c>
      <c r="M60" s="93" t="str">
        <f t="shared" si="446"/>
        <v>-</v>
      </c>
      <c r="N60" s="92" t="str">
        <f t="shared" si="446"/>
        <v>-</v>
      </c>
      <c r="O60" s="91" t="str">
        <f t="shared" si="446"/>
        <v>-</v>
      </c>
      <c r="P60" s="93" t="str">
        <f t="shared" si="446"/>
        <v>-</v>
      </c>
      <c r="Q60" s="92" t="str">
        <f t="shared" si="446"/>
        <v>-</v>
      </c>
      <c r="R60" s="91" t="str">
        <f t="shared" si="446"/>
        <v>-</v>
      </c>
      <c r="S60" s="93" t="str">
        <f t="shared" si="446"/>
        <v>-</v>
      </c>
      <c r="T60" s="92" t="str">
        <f t="shared" si="446"/>
        <v>-</v>
      </c>
      <c r="U60" s="91" t="str">
        <f t="shared" si="446"/>
        <v>-</v>
      </c>
      <c r="V60" s="93" t="str">
        <f t="shared" si="446"/>
        <v>-</v>
      </c>
      <c r="W60" s="92" t="str">
        <f t="shared" si="446"/>
        <v>-</v>
      </c>
      <c r="X60" s="91" t="str">
        <f t="shared" si="446"/>
        <v>-</v>
      </c>
      <c r="Y60" s="93" t="str">
        <f t="shared" si="446"/>
        <v>-</v>
      </c>
      <c r="Z60" s="92" t="str">
        <f t="shared" si="446"/>
        <v>-</v>
      </c>
      <c r="AA60" s="91" t="str">
        <f t="shared" si="446"/>
        <v>-</v>
      </c>
      <c r="AB60" s="93" t="str">
        <f t="shared" si="446"/>
        <v>-</v>
      </c>
      <c r="AC60" s="92" t="str">
        <f t="shared" si="446"/>
        <v>-</v>
      </c>
      <c r="AD60" s="91" t="str">
        <f t="shared" si="446"/>
        <v>-</v>
      </c>
      <c r="AE60" s="93" t="str">
        <f t="shared" si="446"/>
        <v>-</v>
      </c>
      <c r="AF60" s="92" t="str">
        <f t="shared" si="446"/>
        <v>-</v>
      </c>
      <c r="AG60" s="91" t="str">
        <f t="shared" si="446"/>
        <v>-</v>
      </c>
      <c r="AH60" s="93" t="str">
        <f t="shared" si="446"/>
        <v>-</v>
      </c>
      <c r="AI60" s="92" t="str">
        <f t="shared" si="446"/>
        <v>-</v>
      </c>
      <c r="AJ60" s="91" t="str">
        <f t="shared" si="446"/>
        <v>-</v>
      </c>
      <c r="AK60" s="93" t="str">
        <f t="shared" si="446"/>
        <v>-</v>
      </c>
      <c r="AL60" s="92" t="str">
        <f t="shared" si="446"/>
        <v>-</v>
      </c>
      <c r="AM60" s="91" t="str">
        <f t="shared" si="446"/>
        <v>-</v>
      </c>
      <c r="AN60" s="93" t="str">
        <f t="shared" si="446"/>
        <v>-</v>
      </c>
      <c r="AO60" s="92" t="str">
        <f t="shared" si="446"/>
        <v>-</v>
      </c>
      <c r="AP60" s="91" t="str">
        <f t="shared" si="446"/>
        <v>-</v>
      </c>
      <c r="AQ60" s="93" t="str">
        <f t="shared" si="446"/>
        <v>-</v>
      </c>
      <c r="AR60" s="433" t="str">
        <f t="shared" si="446"/>
        <v>-</v>
      </c>
      <c r="AS60" s="91" t="str">
        <f t="shared" si="446"/>
        <v>-</v>
      </c>
      <c r="AT60" s="184" t="str">
        <f t="shared" si="446"/>
        <v>-</v>
      </c>
      <c r="AU60" s="92" t="str">
        <f t="shared" si="446"/>
        <v>-</v>
      </c>
      <c r="AV60" s="91" t="str">
        <f t="shared" si="446"/>
        <v>-</v>
      </c>
      <c r="AW60" s="93" t="str">
        <f t="shared" si="446"/>
        <v>-</v>
      </c>
      <c r="AX60" s="92" t="str">
        <f t="shared" si="446"/>
        <v>-</v>
      </c>
      <c r="AY60" s="91" t="str">
        <f t="shared" si="446"/>
        <v>-</v>
      </c>
      <c r="AZ60" s="93" t="str">
        <f t="shared" si="446"/>
        <v>-</v>
      </c>
      <c r="BA60" s="92" t="str">
        <f t="shared" si="446"/>
        <v>-</v>
      </c>
      <c r="BB60" s="91" t="str">
        <f t="shared" si="446"/>
        <v>-</v>
      </c>
      <c r="BC60" s="93" t="str">
        <f t="shared" si="446"/>
        <v>-</v>
      </c>
      <c r="BD60" s="92" t="str">
        <f t="shared" si="446"/>
        <v>-</v>
      </c>
      <c r="BE60" s="91" t="str">
        <f t="shared" si="446"/>
        <v>-</v>
      </c>
      <c r="BF60" s="93" t="str">
        <f t="shared" si="446"/>
        <v>-</v>
      </c>
      <c r="BG60" s="92" t="str">
        <f t="shared" si="446"/>
        <v>-</v>
      </c>
      <c r="BH60" s="91" t="str">
        <f t="shared" si="446"/>
        <v>-</v>
      </c>
      <c r="BI60" s="93" t="str">
        <f t="shared" si="446"/>
        <v>-</v>
      </c>
      <c r="BJ60" s="92" t="str">
        <f t="shared" si="446"/>
        <v>-</v>
      </c>
      <c r="BK60" s="91" t="str">
        <f t="shared" si="446"/>
        <v>-</v>
      </c>
      <c r="BL60" s="93" t="str">
        <f t="shared" si="446"/>
        <v>-</v>
      </c>
      <c r="BM60" s="92" t="str">
        <f t="shared" si="446"/>
        <v>-</v>
      </c>
      <c r="BN60" s="91" t="str">
        <f t="shared" si="446"/>
        <v>-</v>
      </c>
      <c r="BO60" s="93" t="str">
        <f t="shared" si="446"/>
        <v>-</v>
      </c>
      <c r="BP60" s="92" t="str">
        <f t="shared" si="446"/>
        <v>-</v>
      </c>
      <c r="BQ60" s="91" t="str">
        <f t="shared" ref="BQ60:DT60" si="447">IFERROR(BQ40/BQ48,"-")</f>
        <v>-</v>
      </c>
      <c r="BR60" s="93" t="str">
        <f t="shared" si="447"/>
        <v>-</v>
      </c>
      <c r="BS60" s="92" t="str">
        <f t="shared" si="447"/>
        <v>-</v>
      </c>
      <c r="BT60" s="91" t="str">
        <f t="shared" si="447"/>
        <v>-</v>
      </c>
      <c r="BU60" s="93" t="str">
        <f t="shared" si="447"/>
        <v>-</v>
      </c>
      <c r="BV60" s="92" t="str">
        <f t="shared" si="447"/>
        <v>-</v>
      </c>
      <c r="BW60" s="91" t="str">
        <f t="shared" si="447"/>
        <v>-</v>
      </c>
      <c r="BX60" s="93" t="str">
        <f t="shared" si="447"/>
        <v>-</v>
      </c>
      <c r="BY60" s="92" t="str">
        <f t="shared" si="447"/>
        <v>-</v>
      </c>
      <c r="BZ60" s="91" t="str">
        <f t="shared" si="447"/>
        <v>-</v>
      </c>
      <c r="CA60" s="93" t="str">
        <f t="shared" si="447"/>
        <v>-</v>
      </c>
      <c r="CB60" s="92" t="str">
        <f t="shared" si="447"/>
        <v>-</v>
      </c>
      <c r="CC60" s="91" t="str">
        <f t="shared" si="447"/>
        <v>-</v>
      </c>
      <c r="CD60" s="93" t="str">
        <f t="shared" si="447"/>
        <v>-</v>
      </c>
      <c r="CE60" s="433" t="str">
        <f t="shared" si="447"/>
        <v>-</v>
      </c>
      <c r="CF60" s="91" t="str">
        <f t="shared" si="447"/>
        <v>-</v>
      </c>
      <c r="CG60" s="184" t="str">
        <f t="shared" si="447"/>
        <v>-</v>
      </c>
      <c r="CH60" s="91" t="str">
        <f t="shared" si="447"/>
        <v>-</v>
      </c>
      <c r="CI60" s="91" t="str">
        <f t="shared" si="447"/>
        <v>-</v>
      </c>
      <c r="CJ60" s="93" t="str">
        <f t="shared" si="447"/>
        <v>-</v>
      </c>
      <c r="CK60" s="90" t="str">
        <f t="shared" si="447"/>
        <v>-</v>
      </c>
      <c r="CL60" s="91" t="str">
        <f t="shared" si="447"/>
        <v>-</v>
      </c>
      <c r="CM60" s="93" t="str">
        <f t="shared" si="447"/>
        <v>-</v>
      </c>
      <c r="CN60" s="90" t="str">
        <f t="shared" si="447"/>
        <v>-</v>
      </c>
      <c r="CO60" s="91" t="str">
        <f t="shared" si="447"/>
        <v>-</v>
      </c>
      <c r="CP60" s="93" t="str">
        <f t="shared" si="447"/>
        <v>-</v>
      </c>
      <c r="CQ60" s="90" t="str">
        <f t="shared" si="447"/>
        <v>-</v>
      </c>
      <c r="CR60" s="91" t="str">
        <f t="shared" si="447"/>
        <v>-</v>
      </c>
      <c r="CS60" s="93" t="str">
        <f t="shared" si="447"/>
        <v>-</v>
      </c>
      <c r="CT60" s="90" t="str">
        <f t="shared" si="447"/>
        <v>-</v>
      </c>
      <c r="CU60" s="91" t="str">
        <f t="shared" si="447"/>
        <v>-</v>
      </c>
      <c r="CV60" s="93" t="str">
        <f t="shared" si="447"/>
        <v>-</v>
      </c>
      <c r="CW60" s="90" t="str">
        <f t="shared" si="447"/>
        <v>-</v>
      </c>
      <c r="CX60" s="91" t="str">
        <f t="shared" si="447"/>
        <v>-</v>
      </c>
      <c r="CY60" s="93" t="str">
        <f t="shared" si="447"/>
        <v>-</v>
      </c>
      <c r="CZ60" s="90" t="str">
        <f t="shared" si="447"/>
        <v>-</v>
      </c>
      <c r="DA60" s="91" t="str">
        <f t="shared" si="447"/>
        <v>-</v>
      </c>
      <c r="DB60" s="93" t="str">
        <f t="shared" si="447"/>
        <v>-</v>
      </c>
      <c r="DC60" s="90" t="str">
        <f t="shared" si="447"/>
        <v>-</v>
      </c>
      <c r="DD60" s="91" t="str">
        <f t="shared" si="447"/>
        <v>-</v>
      </c>
      <c r="DE60" s="93" t="str">
        <f t="shared" si="447"/>
        <v>-</v>
      </c>
      <c r="DF60" s="90" t="str">
        <f t="shared" si="447"/>
        <v>-</v>
      </c>
      <c r="DG60" s="91" t="str">
        <f t="shared" si="447"/>
        <v>-</v>
      </c>
      <c r="DH60" s="93" t="str">
        <f t="shared" si="447"/>
        <v>-</v>
      </c>
      <c r="DI60" s="90" t="str">
        <f t="shared" si="447"/>
        <v>-</v>
      </c>
      <c r="DJ60" s="91" t="str">
        <f t="shared" si="447"/>
        <v>-</v>
      </c>
      <c r="DK60" s="93" t="str">
        <f t="shared" si="447"/>
        <v>-</v>
      </c>
      <c r="DL60" s="90" t="str">
        <f t="shared" si="447"/>
        <v>-</v>
      </c>
      <c r="DM60" s="91" t="str">
        <f t="shared" si="447"/>
        <v>-</v>
      </c>
      <c r="DN60" s="93" t="str">
        <f t="shared" si="447"/>
        <v>-</v>
      </c>
      <c r="DO60" s="90" t="str">
        <f t="shared" si="447"/>
        <v>-</v>
      </c>
      <c r="DP60" s="91" t="str">
        <f t="shared" si="447"/>
        <v>-</v>
      </c>
      <c r="DQ60" s="93" t="str">
        <f t="shared" si="447"/>
        <v>-</v>
      </c>
      <c r="DR60" s="433" t="str">
        <f t="shared" si="447"/>
        <v>-</v>
      </c>
      <c r="DS60" s="91" t="str">
        <f t="shared" si="447"/>
        <v>-</v>
      </c>
      <c r="DT60" s="184" t="str">
        <f t="shared" si="447"/>
        <v>-</v>
      </c>
    </row>
    <row r="61" spans="1:124" ht="14.25" customHeight="1">
      <c r="A61" s="23"/>
      <c r="B61" s="100" t="s">
        <v>70</v>
      </c>
      <c r="C61" s="101" t="s">
        <v>2</v>
      </c>
      <c r="D61" s="102" t="s">
        <v>192</v>
      </c>
      <c r="E61" s="435">
        <f t="shared" ref="E61:AJ61" si="448">SUM(E62:E65)</f>
        <v>0</v>
      </c>
      <c r="F61" s="107">
        <f t="shared" si="448"/>
        <v>0</v>
      </c>
      <c r="G61" s="183">
        <f t="shared" si="448"/>
        <v>0</v>
      </c>
      <c r="H61" s="107">
        <f t="shared" si="448"/>
        <v>0</v>
      </c>
      <c r="I61" s="107">
        <f t="shared" si="448"/>
        <v>0</v>
      </c>
      <c r="J61" s="547">
        <f t="shared" si="448"/>
        <v>0</v>
      </c>
      <c r="K61" s="107">
        <f t="shared" si="448"/>
        <v>0</v>
      </c>
      <c r="L61" s="107">
        <f t="shared" si="448"/>
        <v>0</v>
      </c>
      <c r="M61" s="547">
        <f t="shared" si="448"/>
        <v>0</v>
      </c>
      <c r="N61" s="106">
        <f t="shared" si="448"/>
        <v>0</v>
      </c>
      <c r="O61" s="107">
        <f t="shared" si="448"/>
        <v>0</v>
      </c>
      <c r="P61" s="547">
        <f t="shared" si="448"/>
        <v>0</v>
      </c>
      <c r="Q61" s="106">
        <f t="shared" si="448"/>
        <v>0</v>
      </c>
      <c r="R61" s="107">
        <f t="shared" si="448"/>
        <v>0</v>
      </c>
      <c r="S61" s="547">
        <f t="shared" si="448"/>
        <v>0</v>
      </c>
      <c r="T61" s="106">
        <f t="shared" si="448"/>
        <v>0</v>
      </c>
      <c r="U61" s="107">
        <f t="shared" si="448"/>
        <v>0</v>
      </c>
      <c r="V61" s="547">
        <f t="shared" si="448"/>
        <v>0</v>
      </c>
      <c r="W61" s="106">
        <f t="shared" si="448"/>
        <v>0</v>
      </c>
      <c r="X61" s="107">
        <f t="shared" si="448"/>
        <v>0</v>
      </c>
      <c r="Y61" s="547">
        <f t="shared" si="448"/>
        <v>0</v>
      </c>
      <c r="Z61" s="106">
        <f t="shared" si="448"/>
        <v>0</v>
      </c>
      <c r="AA61" s="107">
        <f t="shared" si="448"/>
        <v>0</v>
      </c>
      <c r="AB61" s="547">
        <f t="shared" si="448"/>
        <v>0</v>
      </c>
      <c r="AC61" s="106">
        <f t="shared" si="448"/>
        <v>0</v>
      </c>
      <c r="AD61" s="107">
        <f t="shared" si="448"/>
        <v>0</v>
      </c>
      <c r="AE61" s="547">
        <f t="shared" si="448"/>
        <v>0</v>
      </c>
      <c r="AF61" s="106">
        <f t="shared" si="448"/>
        <v>0</v>
      </c>
      <c r="AG61" s="107">
        <f t="shared" si="448"/>
        <v>0</v>
      </c>
      <c r="AH61" s="547">
        <f t="shared" si="448"/>
        <v>0</v>
      </c>
      <c r="AI61" s="106">
        <f t="shared" si="448"/>
        <v>0</v>
      </c>
      <c r="AJ61" s="107">
        <f t="shared" si="448"/>
        <v>0</v>
      </c>
      <c r="AK61" s="547">
        <f t="shared" ref="AK61:BP61" si="449">SUM(AK62:AK65)</f>
        <v>0</v>
      </c>
      <c r="AL61" s="106">
        <f t="shared" si="449"/>
        <v>0</v>
      </c>
      <c r="AM61" s="107">
        <f t="shared" si="449"/>
        <v>0</v>
      </c>
      <c r="AN61" s="547">
        <f t="shared" si="449"/>
        <v>0</v>
      </c>
      <c r="AO61" s="106">
        <f t="shared" si="449"/>
        <v>0</v>
      </c>
      <c r="AP61" s="107">
        <f t="shared" si="449"/>
        <v>0</v>
      </c>
      <c r="AQ61" s="547">
        <f t="shared" si="449"/>
        <v>0</v>
      </c>
      <c r="AR61" s="435">
        <f t="shared" si="449"/>
        <v>0</v>
      </c>
      <c r="AS61" s="107">
        <f t="shared" si="449"/>
        <v>0</v>
      </c>
      <c r="AT61" s="183">
        <f t="shared" si="449"/>
        <v>0</v>
      </c>
      <c r="AU61" s="106">
        <f t="shared" si="449"/>
        <v>0</v>
      </c>
      <c r="AV61" s="107">
        <f t="shared" si="449"/>
        <v>5287658.0599999996</v>
      </c>
      <c r="AW61" s="547">
        <f t="shared" si="449"/>
        <v>5287658.0599999996</v>
      </c>
      <c r="AX61" s="106">
        <f t="shared" si="449"/>
        <v>0</v>
      </c>
      <c r="AY61" s="107">
        <f t="shared" si="449"/>
        <v>5037656.92</v>
      </c>
      <c r="AZ61" s="547">
        <f t="shared" si="449"/>
        <v>5037656.92</v>
      </c>
      <c r="BA61" s="106">
        <f t="shared" si="449"/>
        <v>0</v>
      </c>
      <c r="BB61" s="107">
        <f t="shared" si="449"/>
        <v>2607873.7400000002</v>
      </c>
      <c r="BC61" s="547">
        <f t="shared" si="449"/>
        <v>2607873.7400000002</v>
      </c>
      <c r="BD61" s="106">
        <f t="shared" si="449"/>
        <v>0</v>
      </c>
      <c r="BE61" s="107">
        <f t="shared" si="449"/>
        <v>1510468.35</v>
      </c>
      <c r="BF61" s="547">
        <f t="shared" si="449"/>
        <v>1510468.35</v>
      </c>
      <c r="BG61" s="106">
        <f t="shared" si="449"/>
        <v>0</v>
      </c>
      <c r="BH61" s="107">
        <f t="shared" si="449"/>
        <v>2154106.41</v>
      </c>
      <c r="BI61" s="547">
        <f t="shared" si="449"/>
        <v>2154106.41</v>
      </c>
      <c r="BJ61" s="106">
        <f t="shared" si="449"/>
        <v>0</v>
      </c>
      <c r="BK61" s="107">
        <f t="shared" si="449"/>
        <v>3444542.74</v>
      </c>
      <c r="BL61" s="547">
        <f t="shared" si="449"/>
        <v>3444542.74</v>
      </c>
      <c r="BM61" s="106">
        <f t="shared" si="449"/>
        <v>0</v>
      </c>
      <c r="BN61" s="107">
        <f t="shared" si="449"/>
        <v>3740380.36</v>
      </c>
      <c r="BO61" s="547">
        <f t="shared" si="449"/>
        <v>3740380.36</v>
      </c>
      <c r="BP61" s="106">
        <f t="shared" si="449"/>
        <v>0</v>
      </c>
      <c r="BQ61" s="107">
        <f t="shared" ref="BQ61:CV61" si="450">SUM(BQ62:BQ65)</f>
        <v>4838284.18</v>
      </c>
      <c r="BR61" s="547">
        <f t="shared" si="450"/>
        <v>4838284.18</v>
      </c>
      <c r="BS61" s="106">
        <f t="shared" si="450"/>
        <v>0</v>
      </c>
      <c r="BT61" s="107">
        <f t="shared" si="450"/>
        <v>6285078</v>
      </c>
      <c r="BU61" s="547">
        <f t="shared" si="450"/>
        <v>6285078</v>
      </c>
      <c r="BV61" s="106">
        <f t="shared" si="450"/>
        <v>0</v>
      </c>
      <c r="BW61" s="107">
        <f t="shared" si="450"/>
        <v>7838504.8900000006</v>
      </c>
      <c r="BX61" s="547">
        <f t="shared" si="450"/>
        <v>7838504.8900000006</v>
      </c>
      <c r="BY61" s="106">
        <f t="shared" si="450"/>
        <v>0</v>
      </c>
      <c r="BZ61" s="107">
        <f t="shared" si="450"/>
        <v>9805688.75</v>
      </c>
      <c r="CA61" s="547">
        <f t="shared" si="450"/>
        <v>9805688.75</v>
      </c>
      <c r="CB61" s="106">
        <f t="shared" si="450"/>
        <v>0</v>
      </c>
      <c r="CC61" s="107">
        <f t="shared" si="450"/>
        <v>13726408.449999999</v>
      </c>
      <c r="CD61" s="547">
        <f t="shared" si="450"/>
        <v>13726408.449999999</v>
      </c>
      <c r="CE61" s="435">
        <f t="shared" si="450"/>
        <v>0</v>
      </c>
      <c r="CF61" s="107">
        <f t="shared" si="450"/>
        <v>66276650.849999994</v>
      </c>
      <c r="CG61" s="183">
        <f t="shared" si="450"/>
        <v>66276650.849999994</v>
      </c>
      <c r="CH61" s="107">
        <f t="shared" si="450"/>
        <v>480416.75</v>
      </c>
      <c r="CI61" s="107">
        <f t="shared" si="450"/>
        <v>8875375</v>
      </c>
      <c r="CJ61" s="547">
        <f t="shared" si="450"/>
        <v>9355791.75</v>
      </c>
      <c r="CK61" s="106">
        <f t="shared" si="450"/>
        <v>0</v>
      </c>
      <c r="CL61" s="107">
        <f t="shared" si="450"/>
        <v>0</v>
      </c>
      <c r="CM61" s="547">
        <f t="shared" si="450"/>
        <v>0</v>
      </c>
      <c r="CN61" s="106">
        <f t="shared" si="450"/>
        <v>0</v>
      </c>
      <c r="CO61" s="107">
        <f t="shared" si="450"/>
        <v>0</v>
      </c>
      <c r="CP61" s="547">
        <f t="shared" si="450"/>
        <v>0</v>
      </c>
      <c r="CQ61" s="106">
        <f t="shared" si="450"/>
        <v>0</v>
      </c>
      <c r="CR61" s="107">
        <f t="shared" si="450"/>
        <v>0</v>
      </c>
      <c r="CS61" s="547">
        <f t="shared" si="450"/>
        <v>0</v>
      </c>
      <c r="CT61" s="106">
        <f t="shared" si="450"/>
        <v>0</v>
      </c>
      <c r="CU61" s="107">
        <f t="shared" si="450"/>
        <v>0</v>
      </c>
      <c r="CV61" s="547">
        <f t="shared" si="450"/>
        <v>0</v>
      </c>
      <c r="CW61" s="106">
        <f t="shared" ref="CW61:DT61" si="451">SUM(CW62:CW65)</f>
        <v>0</v>
      </c>
      <c r="CX61" s="107">
        <f t="shared" si="451"/>
        <v>0</v>
      </c>
      <c r="CY61" s="547">
        <f t="shared" si="451"/>
        <v>0</v>
      </c>
      <c r="CZ61" s="106">
        <f t="shared" si="451"/>
        <v>0</v>
      </c>
      <c r="DA61" s="107">
        <f t="shared" si="451"/>
        <v>0</v>
      </c>
      <c r="DB61" s="547">
        <f t="shared" si="451"/>
        <v>0</v>
      </c>
      <c r="DC61" s="106">
        <f t="shared" si="451"/>
        <v>0</v>
      </c>
      <c r="DD61" s="107">
        <f t="shared" si="451"/>
        <v>0</v>
      </c>
      <c r="DE61" s="547">
        <f t="shared" si="451"/>
        <v>0</v>
      </c>
      <c r="DF61" s="106">
        <f t="shared" si="451"/>
        <v>0</v>
      </c>
      <c r="DG61" s="107">
        <f t="shared" si="451"/>
        <v>0</v>
      </c>
      <c r="DH61" s="547">
        <f t="shared" si="451"/>
        <v>0</v>
      </c>
      <c r="DI61" s="106">
        <f t="shared" si="451"/>
        <v>0</v>
      </c>
      <c r="DJ61" s="107">
        <f t="shared" si="451"/>
        <v>0</v>
      </c>
      <c r="DK61" s="547">
        <f t="shared" si="451"/>
        <v>0</v>
      </c>
      <c r="DL61" s="106">
        <f t="shared" si="451"/>
        <v>0</v>
      </c>
      <c r="DM61" s="107">
        <f t="shared" si="451"/>
        <v>0</v>
      </c>
      <c r="DN61" s="547">
        <f t="shared" si="451"/>
        <v>0</v>
      </c>
      <c r="DO61" s="106">
        <f t="shared" si="451"/>
        <v>0</v>
      </c>
      <c r="DP61" s="107">
        <f t="shared" si="451"/>
        <v>0</v>
      </c>
      <c r="DQ61" s="547">
        <f t="shared" si="451"/>
        <v>0</v>
      </c>
      <c r="DR61" s="435">
        <f t="shared" si="451"/>
        <v>480416.75</v>
      </c>
      <c r="DS61" s="107">
        <f t="shared" si="451"/>
        <v>8875375</v>
      </c>
      <c r="DT61" s="183">
        <f t="shared" si="451"/>
        <v>9355791.75</v>
      </c>
    </row>
    <row r="62" spans="1:124" ht="14.25" customHeight="1">
      <c r="A62" s="23"/>
      <c r="B62" s="87"/>
      <c r="C62" s="88"/>
      <c r="D62" s="89" t="s">
        <v>188</v>
      </c>
      <c r="E62" s="433"/>
      <c r="F62" s="91"/>
      <c r="G62" s="184">
        <f>SUM(E62:F62)</f>
        <v>0</v>
      </c>
      <c r="H62" s="91"/>
      <c r="I62" s="91"/>
      <c r="J62" s="93">
        <f>SUM(H62:I62)</f>
        <v>0</v>
      </c>
      <c r="K62" s="91"/>
      <c r="L62" s="91"/>
      <c r="M62" s="93">
        <f>SUM(K62:L62)</f>
        <v>0</v>
      </c>
      <c r="N62" s="92"/>
      <c r="O62" s="91"/>
      <c r="P62" s="93">
        <f>SUM(N62:O62)</f>
        <v>0</v>
      </c>
      <c r="Q62" s="92"/>
      <c r="R62" s="91"/>
      <c r="S62" s="93">
        <f>SUM(Q62:R62)</f>
        <v>0</v>
      </c>
      <c r="T62" s="92"/>
      <c r="U62" s="91"/>
      <c r="V62" s="93">
        <f>SUM(T62:U62)</f>
        <v>0</v>
      </c>
      <c r="W62" s="92"/>
      <c r="X62" s="91"/>
      <c r="Y62" s="93">
        <f>SUM(W62:X62)</f>
        <v>0</v>
      </c>
      <c r="Z62" s="92"/>
      <c r="AA62" s="91"/>
      <c r="AB62" s="93">
        <f>SUM(Z62:AA62)</f>
        <v>0</v>
      </c>
      <c r="AC62" s="92"/>
      <c r="AD62" s="91"/>
      <c r="AE62" s="93">
        <f>SUM(AC62:AD62)</f>
        <v>0</v>
      </c>
      <c r="AF62" s="92"/>
      <c r="AG62" s="91"/>
      <c r="AH62" s="93">
        <f>SUM(AF62:AG62)</f>
        <v>0</v>
      </c>
      <c r="AI62" s="92"/>
      <c r="AJ62" s="91"/>
      <c r="AK62" s="93">
        <f>SUM(AI62:AJ62)</f>
        <v>0</v>
      </c>
      <c r="AL62" s="92"/>
      <c r="AM62" s="91"/>
      <c r="AN62" s="93">
        <f>SUM(AL62:AM62)</f>
        <v>0</v>
      </c>
      <c r="AO62" s="92"/>
      <c r="AP62" s="91"/>
      <c r="AQ62" s="93">
        <f>SUM(AO62:AP62)</f>
        <v>0</v>
      </c>
      <c r="AR62" s="433">
        <f>AO62+AL62+AI62+AF62+AC62+Z62+W62+T62+Q62+N62+K62+H62</f>
        <v>0</v>
      </c>
      <c r="AS62" s="91">
        <f>AP62+AM62+AJ62+AG62+AD62+AA62+X62+U62+R62+O62+L62+I62</f>
        <v>0</v>
      </c>
      <c r="AT62" s="184">
        <f>SUM(AR62:AS62)</f>
        <v>0</v>
      </c>
      <c r="AU62" s="92">
        <v>0</v>
      </c>
      <c r="AV62" s="91">
        <v>3126069</v>
      </c>
      <c r="AW62" s="93">
        <f>SUM(AU62:AV62)</f>
        <v>3126069</v>
      </c>
      <c r="AX62" s="92">
        <v>0</v>
      </c>
      <c r="AY62" s="91">
        <v>2311395</v>
      </c>
      <c r="AZ62" s="93">
        <f>SUM(AX62:AY62)</f>
        <v>2311395</v>
      </c>
      <c r="BA62" s="92">
        <v>0</v>
      </c>
      <c r="BB62" s="91">
        <v>1334580</v>
      </c>
      <c r="BC62" s="93">
        <f>SUM(BA62:BB62)</f>
        <v>1334580</v>
      </c>
      <c r="BD62" s="92">
        <v>0</v>
      </c>
      <c r="BE62" s="91">
        <v>536182</v>
      </c>
      <c r="BF62" s="93">
        <f>SUM(BD62:BE62)</f>
        <v>536182</v>
      </c>
      <c r="BG62" s="92">
        <v>0</v>
      </c>
      <c r="BH62" s="91">
        <v>1009686</v>
      </c>
      <c r="BI62" s="93">
        <f>SUM(BG62:BH62)</f>
        <v>1009686</v>
      </c>
      <c r="BJ62" s="92">
        <v>0</v>
      </c>
      <c r="BK62" s="91">
        <v>1539679</v>
      </c>
      <c r="BL62" s="93">
        <f>SUM(BJ62:BK62)</f>
        <v>1539679</v>
      </c>
      <c r="BM62" s="92">
        <v>0</v>
      </c>
      <c r="BN62" s="91">
        <v>1746936</v>
      </c>
      <c r="BO62" s="93">
        <f>SUM(BM62:BN62)</f>
        <v>1746936</v>
      </c>
      <c r="BP62" s="92">
        <v>0</v>
      </c>
      <c r="BQ62" s="91">
        <v>2456304</v>
      </c>
      <c r="BR62" s="93">
        <f>SUM(BP62:BQ62)</f>
        <v>2456304</v>
      </c>
      <c r="BS62" s="92">
        <v>0</v>
      </c>
      <c r="BT62" s="91">
        <v>3444668</v>
      </c>
      <c r="BU62" s="93">
        <f>SUM(BS62:BT62)</f>
        <v>3444668</v>
      </c>
      <c r="BV62" s="92">
        <v>0</v>
      </c>
      <c r="BW62" s="91">
        <v>4134867.2</v>
      </c>
      <c r="BX62" s="93">
        <f>SUM(BV62:BW62)</f>
        <v>4134867.2</v>
      </c>
      <c r="BY62" s="92">
        <v>0</v>
      </c>
      <c r="BZ62" s="91">
        <v>4625302.2</v>
      </c>
      <c r="CA62" s="93">
        <f>SUM(BY62:BZ62)</f>
        <v>4625302.2</v>
      </c>
      <c r="CB62" s="92">
        <v>0</v>
      </c>
      <c r="CC62" s="91">
        <v>5819642.1099999994</v>
      </c>
      <c r="CD62" s="93">
        <f>SUM(CB62:CC62)</f>
        <v>5819642.1099999994</v>
      </c>
      <c r="CE62" s="438">
        <f t="shared" ref="CE62:CE65" si="452">CB62+BY62+BV62+BS62+BP62+BM62+BJ62+BG62+BD62+BA62+AX62+AU62</f>
        <v>0</v>
      </c>
      <c r="CF62" s="175">
        <f t="shared" ref="CF62:CF65" si="453">CC62+BZ62+BW62+BT62+BQ62+BN62+BK62+BH62+BE62+BB62+AY62+AV62</f>
        <v>32085310.509999998</v>
      </c>
      <c r="CG62" s="439">
        <f t="shared" ref="CG62:CG65" si="454">SUM(CE62:CF62)</f>
        <v>32085310.509999998</v>
      </c>
      <c r="CH62" s="91">
        <v>159498.5</v>
      </c>
      <c r="CI62" s="91">
        <v>3793972</v>
      </c>
      <c r="CJ62" s="93">
        <f>SUM(CH62:CI62)</f>
        <v>3953470.5</v>
      </c>
      <c r="CK62" s="91"/>
      <c r="CL62" s="91"/>
      <c r="CM62" s="93">
        <f>SUM(CK62:CL62)</f>
        <v>0</v>
      </c>
      <c r="CN62" s="92"/>
      <c r="CO62" s="91"/>
      <c r="CP62" s="93">
        <f>SUM(CN62:CO62)</f>
        <v>0</v>
      </c>
      <c r="CQ62" s="92"/>
      <c r="CR62" s="91"/>
      <c r="CS62" s="93">
        <f>SUM(CQ62:CR62)</f>
        <v>0</v>
      </c>
      <c r="CT62" s="92"/>
      <c r="CU62" s="91"/>
      <c r="CV62" s="93">
        <f>SUM(CT62:CU62)</f>
        <v>0</v>
      </c>
      <c r="CW62" s="92"/>
      <c r="CX62" s="91"/>
      <c r="CY62" s="93">
        <f>SUM(CW62:CX62)</f>
        <v>0</v>
      </c>
      <c r="CZ62" s="92"/>
      <c r="DA62" s="91"/>
      <c r="DB62" s="93">
        <f>SUM(CZ62:DA62)</f>
        <v>0</v>
      </c>
      <c r="DC62" s="92"/>
      <c r="DD62" s="91"/>
      <c r="DE62" s="93">
        <f>SUM(DC62:DD62)</f>
        <v>0</v>
      </c>
      <c r="DF62" s="92"/>
      <c r="DG62" s="91"/>
      <c r="DH62" s="93">
        <f>SUM(DF62:DG62)</f>
        <v>0</v>
      </c>
      <c r="DI62" s="92"/>
      <c r="DJ62" s="91"/>
      <c r="DK62" s="93">
        <f>SUM(DI62:DJ62)</f>
        <v>0</v>
      </c>
      <c r="DL62" s="92"/>
      <c r="DM62" s="91"/>
      <c r="DN62" s="93">
        <f>SUM(DL62:DM62)</f>
        <v>0</v>
      </c>
      <c r="DO62" s="92"/>
      <c r="DP62" s="91"/>
      <c r="DQ62" s="93">
        <f>SUM(DO62:DP62)</f>
        <v>0</v>
      </c>
      <c r="DR62" s="438">
        <f t="shared" ref="DR62:DR65" si="455">DO62+DL62+DI62+DF62+DC62+CZ62+CW62+CT62+CQ62+CN62+CK62+CH62</f>
        <v>159498.5</v>
      </c>
      <c r="DS62" s="175">
        <f t="shared" ref="DS62:DS65" si="456">DP62+DM62+DJ62+DG62+DD62+DA62+CX62+CU62+CR62+CO62+CL62+CI62</f>
        <v>3793972</v>
      </c>
      <c r="DT62" s="439">
        <f t="shared" ref="DT62:DT65" si="457">SUM(DR62:DS62)</f>
        <v>3953470.5</v>
      </c>
    </row>
    <row r="63" spans="1:124" ht="14.25" customHeight="1">
      <c r="A63" s="23"/>
      <c r="B63" s="87"/>
      <c r="C63" s="88"/>
      <c r="D63" s="89" t="s">
        <v>189</v>
      </c>
      <c r="E63" s="433"/>
      <c r="F63" s="91"/>
      <c r="G63" s="184">
        <f t="shared" ref="G63:G65" si="458">SUM(E63:F63)</f>
        <v>0</v>
      </c>
      <c r="H63" s="91"/>
      <c r="I63" s="91"/>
      <c r="J63" s="93">
        <f t="shared" ref="J63:J65" si="459">SUM(H63:I63)</f>
        <v>0</v>
      </c>
      <c r="K63" s="91"/>
      <c r="L63" s="91"/>
      <c r="M63" s="93">
        <f t="shared" ref="M63:M65" si="460">SUM(K63:L63)</f>
        <v>0</v>
      </c>
      <c r="N63" s="92"/>
      <c r="O63" s="91"/>
      <c r="P63" s="93">
        <f t="shared" ref="P63:P65" si="461">SUM(N63:O63)</f>
        <v>0</v>
      </c>
      <c r="Q63" s="92"/>
      <c r="R63" s="91"/>
      <c r="S63" s="93">
        <f t="shared" ref="S63:S65" si="462">SUM(Q63:R63)</f>
        <v>0</v>
      </c>
      <c r="T63" s="92"/>
      <c r="U63" s="91"/>
      <c r="V63" s="93">
        <f t="shared" ref="V63:V65" si="463">SUM(T63:U63)</f>
        <v>0</v>
      </c>
      <c r="W63" s="92"/>
      <c r="X63" s="91"/>
      <c r="Y63" s="93">
        <f t="shared" ref="Y63:Y65" si="464">SUM(W63:X63)</f>
        <v>0</v>
      </c>
      <c r="Z63" s="92"/>
      <c r="AA63" s="91"/>
      <c r="AB63" s="93">
        <f t="shared" ref="AB63:AB65" si="465">SUM(Z63:AA63)</f>
        <v>0</v>
      </c>
      <c r="AC63" s="92"/>
      <c r="AD63" s="91"/>
      <c r="AE63" s="93">
        <f t="shared" ref="AE63:AE65" si="466">SUM(AC63:AD63)</f>
        <v>0</v>
      </c>
      <c r="AF63" s="92"/>
      <c r="AG63" s="91"/>
      <c r="AH63" s="93">
        <f t="shared" ref="AH63:AH65" si="467">SUM(AF63:AG63)</f>
        <v>0</v>
      </c>
      <c r="AI63" s="92"/>
      <c r="AJ63" s="91"/>
      <c r="AK63" s="93">
        <f t="shared" ref="AK63:AK65" si="468">SUM(AI63:AJ63)</f>
        <v>0</v>
      </c>
      <c r="AL63" s="92"/>
      <c r="AM63" s="91"/>
      <c r="AN63" s="93">
        <f t="shared" ref="AN63:AN65" si="469">SUM(AL63:AM63)</f>
        <v>0</v>
      </c>
      <c r="AO63" s="92"/>
      <c r="AP63" s="91"/>
      <c r="AQ63" s="93">
        <f t="shared" ref="AQ63:AQ65" si="470">SUM(AO63:AP63)</f>
        <v>0</v>
      </c>
      <c r="AR63" s="433">
        <f t="shared" ref="AR63:AR65" si="471">AO63+AL63+AI63+AF63+AC63+Z63+W63+T63+Q63+N63+K63+H63</f>
        <v>0</v>
      </c>
      <c r="AS63" s="91">
        <f t="shared" ref="AS63:AS65" si="472">AP63+AM63+AJ63+AG63+AD63+AA63+X63+U63+R63+O63+L63+I63</f>
        <v>0</v>
      </c>
      <c r="AT63" s="184">
        <f t="shared" ref="AT63:AT65" si="473">SUM(AR63:AS63)</f>
        <v>0</v>
      </c>
      <c r="AU63" s="92">
        <v>0</v>
      </c>
      <c r="AV63" s="91">
        <v>582428</v>
      </c>
      <c r="AW63" s="93">
        <f t="shared" ref="AW63:AW65" si="474">SUM(AU63:AV63)</f>
        <v>582428</v>
      </c>
      <c r="AX63" s="92">
        <v>0</v>
      </c>
      <c r="AY63" s="91">
        <v>729992</v>
      </c>
      <c r="AZ63" s="93">
        <f t="shared" ref="AZ63:AZ65" si="475">SUM(AX63:AY63)</f>
        <v>729992</v>
      </c>
      <c r="BA63" s="92">
        <v>0</v>
      </c>
      <c r="BB63" s="91">
        <v>337944</v>
      </c>
      <c r="BC63" s="93">
        <f t="shared" ref="BC63:BC65" si="476">SUM(BA63:BB63)</f>
        <v>337944</v>
      </c>
      <c r="BD63" s="92">
        <v>0</v>
      </c>
      <c r="BE63" s="91">
        <v>285807</v>
      </c>
      <c r="BF63" s="93">
        <f t="shared" ref="BF63:BF65" si="477">SUM(BD63:BE63)</f>
        <v>285807</v>
      </c>
      <c r="BG63" s="92">
        <v>0</v>
      </c>
      <c r="BH63" s="91">
        <v>304928</v>
      </c>
      <c r="BI63" s="93">
        <f t="shared" ref="BI63:BI65" si="478">SUM(BG63:BH63)</f>
        <v>304928</v>
      </c>
      <c r="BJ63" s="92">
        <v>0</v>
      </c>
      <c r="BK63" s="91">
        <v>512438</v>
      </c>
      <c r="BL63" s="93">
        <f t="shared" ref="BL63:BL65" si="479">SUM(BJ63:BK63)</f>
        <v>512438</v>
      </c>
      <c r="BM63" s="92">
        <v>0</v>
      </c>
      <c r="BN63" s="91">
        <v>493262</v>
      </c>
      <c r="BO63" s="93">
        <f t="shared" ref="BO63:BO65" si="480">SUM(BM63:BN63)</f>
        <v>493262</v>
      </c>
      <c r="BP63" s="92">
        <v>0</v>
      </c>
      <c r="BQ63" s="91">
        <v>532228</v>
      </c>
      <c r="BR63" s="93">
        <f t="shared" ref="BR63:BR65" si="481">SUM(BP63:BQ63)</f>
        <v>532228</v>
      </c>
      <c r="BS63" s="92">
        <v>0</v>
      </c>
      <c r="BT63" s="91">
        <v>647566</v>
      </c>
      <c r="BU63" s="93">
        <f t="shared" ref="BU63:BU65" si="482">SUM(BS63:BT63)</f>
        <v>647566</v>
      </c>
      <c r="BV63" s="92">
        <v>0</v>
      </c>
      <c r="BW63" s="91">
        <v>752274</v>
      </c>
      <c r="BX63" s="93">
        <f t="shared" ref="BX63:BX65" si="483">SUM(BV63:BW63)</f>
        <v>752274</v>
      </c>
      <c r="BY63" s="92">
        <v>0</v>
      </c>
      <c r="BZ63" s="91">
        <v>1049091.51</v>
      </c>
      <c r="CA63" s="93">
        <f t="shared" ref="CA63:CA65" si="484">SUM(BY63:BZ63)</f>
        <v>1049091.51</v>
      </c>
      <c r="CB63" s="92">
        <v>0</v>
      </c>
      <c r="CC63" s="91">
        <v>1348128.1</v>
      </c>
      <c r="CD63" s="93">
        <f t="shared" ref="CD63:CD65" si="485">SUM(CB63:CC63)</f>
        <v>1348128.1</v>
      </c>
      <c r="CE63" s="438">
        <f t="shared" si="452"/>
        <v>0</v>
      </c>
      <c r="CF63" s="175">
        <f t="shared" si="453"/>
        <v>7576086.6100000003</v>
      </c>
      <c r="CG63" s="439">
        <f t="shared" si="454"/>
        <v>7576086.6100000003</v>
      </c>
      <c r="CH63" s="91">
        <v>78245.2</v>
      </c>
      <c r="CI63" s="91">
        <v>1029577</v>
      </c>
      <c r="CJ63" s="93">
        <f t="shared" ref="CJ63:CJ65" si="486">SUM(CH63:CI63)</f>
        <v>1107822.2</v>
      </c>
      <c r="CK63" s="91"/>
      <c r="CL63" s="91"/>
      <c r="CM63" s="93">
        <f t="shared" ref="CM63:CM65" si="487">SUM(CK63:CL63)</f>
        <v>0</v>
      </c>
      <c r="CN63" s="92"/>
      <c r="CO63" s="91"/>
      <c r="CP63" s="93">
        <f t="shared" ref="CP63:CP65" si="488">SUM(CN63:CO63)</f>
        <v>0</v>
      </c>
      <c r="CQ63" s="92"/>
      <c r="CR63" s="91"/>
      <c r="CS63" s="93">
        <f t="shared" ref="CS63:CS65" si="489">SUM(CQ63:CR63)</f>
        <v>0</v>
      </c>
      <c r="CT63" s="92"/>
      <c r="CU63" s="91"/>
      <c r="CV63" s="93">
        <f t="shared" ref="CV63:CV65" si="490">SUM(CT63:CU63)</f>
        <v>0</v>
      </c>
      <c r="CW63" s="92"/>
      <c r="CX63" s="91"/>
      <c r="CY63" s="93">
        <f t="shared" ref="CY63:CY65" si="491">SUM(CW63:CX63)</f>
        <v>0</v>
      </c>
      <c r="CZ63" s="92"/>
      <c r="DA63" s="91"/>
      <c r="DB63" s="93">
        <f t="shared" ref="DB63:DB65" si="492">SUM(CZ63:DA63)</f>
        <v>0</v>
      </c>
      <c r="DC63" s="92"/>
      <c r="DD63" s="91"/>
      <c r="DE63" s="93">
        <f t="shared" ref="DE63:DE65" si="493">SUM(DC63:DD63)</f>
        <v>0</v>
      </c>
      <c r="DF63" s="92"/>
      <c r="DG63" s="91"/>
      <c r="DH63" s="93">
        <f t="shared" ref="DH63:DH65" si="494">SUM(DF63:DG63)</f>
        <v>0</v>
      </c>
      <c r="DI63" s="92"/>
      <c r="DJ63" s="91"/>
      <c r="DK63" s="93">
        <f t="shared" ref="DK63:DK65" si="495">SUM(DI63:DJ63)</f>
        <v>0</v>
      </c>
      <c r="DL63" s="92"/>
      <c r="DM63" s="91"/>
      <c r="DN63" s="93">
        <f t="shared" ref="DN63:DN65" si="496">SUM(DL63:DM63)</f>
        <v>0</v>
      </c>
      <c r="DO63" s="92"/>
      <c r="DP63" s="91"/>
      <c r="DQ63" s="93">
        <f t="shared" ref="DQ63:DQ65" si="497">SUM(DO63:DP63)</f>
        <v>0</v>
      </c>
      <c r="DR63" s="438">
        <f t="shared" si="455"/>
        <v>78245.2</v>
      </c>
      <c r="DS63" s="175">
        <f t="shared" si="456"/>
        <v>1029577</v>
      </c>
      <c r="DT63" s="439">
        <f t="shared" si="457"/>
        <v>1107822.2</v>
      </c>
    </row>
    <row r="64" spans="1:124" ht="14.25" customHeight="1">
      <c r="A64" s="23"/>
      <c r="B64" s="87"/>
      <c r="C64" s="88"/>
      <c r="D64" s="89" t="s">
        <v>190</v>
      </c>
      <c r="E64" s="433"/>
      <c r="F64" s="91"/>
      <c r="G64" s="184">
        <f t="shared" si="458"/>
        <v>0</v>
      </c>
      <c r="H64" s="91"/>
      <c r="I64" s="91"/>
      <c r="J64" s="93">
        <f t="shared" si="459"/>
        <v>0</v>
      </c>
      <c r="K64" s="91"/>
      <c r="L64" s="91"/>
      <c r="M64" s="93">
        <f t="shared" si="460"/>
        <v>0</v>
      </c>
      <c r="N64" s="90"/>
      <c r="O64" s="91"/>
      <c r="P64" s="93">
        <f t="shared" si="461"/>
        <v>0</v>
      </c>
      <c r="Q64" s="90"/>
      <c r="R64" s="91"/>
      <c r="S64" s="93">
        <f t="shared" si="462"/>
        <v>0</v>
      </c>
      <c r="T64" s="90"/>
      <c r="U64" s="91"/>
      <c r="V64" s="93">
        <f t="shared" si="463"/>
        <v>0</v>
      </c>
      <c r="W64" s="90"/>
      <c r="X64" s="91"/>
      <c r="Y64" s="93">
        <f t="shared" si="464"/>
        <v>0</v>
      </c>
      <c r="Z64" s="90"/>
      <c r="AA64" s="91"/>
      <c r="AB64" s="93">
        <f t="shared" si="465"/>
        <v>0</v>
      </c>
      <c r="AC64" s="90"/>
      <c r="AD64" s="91"/>
      <c r="AE64" s="93">
        <f t="shared" si="466"/>
        <v>0</v>
      </c>
      <c r="AF64" s="90"/>
      <c r="AG64" s="91"/>
      <c r="AH64" s="93">
        <f t="shared" si="467"/>
        <v>0</v>
      </c>
      <c r="AI64" s="90"/>
      <c r="AJ64" s="91"/>
      <c r="AK64" s="93">
        <f t="shared" si="468"/>
        <v>0</v>
      </c>
      <c r="AL64" s="90"/>
      <c r="AM64" s="91"/>
      <c r="AN64" s="93">
        <f t="shared" si="469"/>
        <v>0</v>
      </c>
      <c r="AO64" s="90"/>
      <c r="AP64" s="91"/>
      <c r="AQ64" s="93">
        <f t="shared" si="470"/>
        <v>0</v>
      </c>
      <c r="AR64" s="433">
        <f t="shared" si="471"/>
        <v>0</v>
      </c>
      <c r="AS64" s="91">
        <f t="shared" si="472"/>
        <v>0</v>
      </c>
      <c r="AT64" s="184">
        <f t="shared" si="473"/>
        <v>0</v>
      </c>
      <c r="AU64" s="90">
        <v>0</v>
      </c>
      <c r="AV64" s="91">
        <v>1579160</v>
      </c>
      <c r="AW64" s="93">
        <f t="shared" si="474"/>
        <v>1579160</v>
      </c>
      <c r="AX64" s="90">
        <v>0</v>
      </c>
      <c r="AY64" s="91">
        <v>1996271</v>
      </c>
      <c r="AZ64" s="93">
        <f t="shared" si="475"/>
        <v>1996271</v>
      </c>
      <c r="BA64" s="90">
        <v>0</v>
      </c>
      <c r="BB64" s="91">
        <v>935349</v>
      </c>
      <c r="BC64" s="93">
        <f t="shared" si="476"/>
        <v>935349</v>
      </c>
      <c r="BD64" s="90">
        <v>0</v>
      </c>
      <c r="BE64" s="91">
        <v>688480</v>
      </c>
      <c r="BF64" s="93">
        <f t="shared" si="477"/>
        <v>688480</v>
      </c>
      <c r="BG64" s="90">
        <v>0</v>
      </c>
      <c r="BH64" s="91">
        <v>839491</v>
      </c>
      <c r="BI64" s="93">
        <f t="shared" si="478"/>
        <v>839491</v>
      </c>
      <c r="BJ64" s="90">
        <v>0</v>
      </c>
      <c r="BK64" s="91">
        <v>1392418</v>
      </c>
      <c r="BL64" s="93">
        <f t="shared" si="479"/>
        <v>1392418</v>
      </c>
      <c r="BM64" s="90">
        <v>0</v>
      </c>
      <c r="BN64" s="91">
        <v>1500181</v>
      </c>
      <c r="BO64" s="93">
        <f t="shared" si="480"/>
        <v>1500181</v>
      </c>
      <c r="BP64" s="90">
        <v>0</v>
      </c>
      <c r="BQ64" s="91">
        <v>1849752</v>
      </c>
      <c r="BR64" s="93">
        <f t="shared" si="481"/>
        <v>1849752</v>
      </c>
      <c r="BS64" s="90">
        <v>0</v>
      </c>
      <c r="BT64" s="91">
        <v>2192844</v>
      </c>
      <c r="BU64" s="93">
        <f t="shared" si="482"/>
        <v>2192844</v>
      </c>
      <c r="BV64" s="90">
        <v>0</v>
      </c>
      <c r="BW64" s="91">
        <v>2951363.69</v>
      </c>
      <c r="BX64" s="93">
        <f t="shared" si="483"/>
        <v>2951363.69</v>
      </c>
      <c r="BY64" s="90">
        <v>0</v>
      </c>
      <c r="BZ64" s="91">
        <v>4131295.04</v>
      </c>
      <c r="CA64" s="93">
        <f t="shared" si="484"/>
        <v>4131295.04</v>
      </c>
      <c r="CB64" s="90">
        <v>0</v>
      </c>
      <c r="CC64" s="91">
        <v>6558638.2400000002</v>
      </c>
      <c r="CD64" s="93">
        <f t="shared" si="485"/>
        <v>6558638.2400000002</v>
      </c>
      <c r="CE64" s="438">
        <f t="shared" si="452"/>
        <v>0</v>
      </c>
      <c r="CF64" s="175">
        <f t="shared" si="453"/>
        <v>26615242.969999999</v>
      </c>
      <c r="CG64" s="439">
        <f t="shared" si="454"/>
        <v>26615242.969999999</v>
      </c>
      <c r="CH64" s="91">
        <v>242673.05</v>
      </c>
      <c r="CI64" s="91">
        <v>4051826</v>
      </c>
      <c r="CJ64" s="93">
        <f t="shared" si="486"/>
        <v>4294499.05</v>
      </c>
      <c r="CK64" s="91"/>
      <c r="CL64" s="91"/>
      <c r="CM64" s="93">
        <f t="shared" si="487"/>
        <v>0</v>
      </c>
      <c r="CN64" s="90"/>
      <c r="CO64" s="91"/>
      <c r="CP64" s="93">
        <f t="shared" si="488"/>
        <v>0</v>
      </c>
      <c r="CQ64" s="90"/>
      <c r="CR64" s="91"/>
      <c r="CS64" s="93">
        <f t="shared" si="489"/>
        <v>0</v>
      </c>
      <c r="CT64" s="90"/>
      <c r="CU64" s="91"/>
      <c r="CV64" s="93">
        <f t="shared" si="490"/>
        <v>0</v>
      </c>
      <c r="CW64" s="90"/>
      <c r="CX64" s="91"/>
      <c r="CY64" s="93">
        <f t="shared" si="491"/>
        <v>0</v>
      </c>
      <c r="CZ64" s="90"/>
      <c r="DA64" s="91"/>
      <c r="DB64" s="93">
        <f t="shared" si="492"/>
        <v>0</v>
      </c>
      <c r="DC64" s="90"/>
      <c r="DD64" s="91"/>
      <c r="DE64" s="93">
        <f t="shared" si="493"/>
        <v>0</v>
      </c>
      <c r="DF64" s="90"/>
      <c r="DG64" s="91"/>
      <c r="DH64" s="93">
        <f t="shared" si="494"/>
        <v>0</v>
      </c>
      <c r="DI64" s="90"/>
      <c r="DJ64" s="91"/>
      <c r="DK64" s="93">
        <f t="shared" si="495"/>
        <v>0</v>
      </c>
      <c r="DL64" s="90"/>
      <c r="DM64" s="91"/>
      <c r="DN64" s="93">
        <f t="shared" si="496"/>
        <v>0</v>
      </c>
      <c r="DO64" s="90"/>
      <c r="DP64" s="91"/>
      <c r="DQ64" s="93">
        <f t="shared" si="497"/>
        <v>0</v>
      </c>
      <c r="DR64" s="438">
        <f t="shared" si="455"/>
        <v>242673.05</v>
      </c>
      <c r="DS64" s="175">
        <f t="shared" si="456"/>
        <v>4051826</v>
      </c>
      <c r="DT64" s="439">
        <f t="shared" si="457"/>
        <v>4294499.05</v>
      </c>
    </row>
    <row r="65" spans="1:124" ht="14.25" customHeight="1">
      <c r="A65" s="23"/>
      <c r="B65" s="87"/>
      <c r="C65" s="88"/>
      <c r="D65" s="89" t="s">
        <v>191</v>
      </c>
      <c r="E65" s="433"/>
      <c r="F65" s="91"/>
      <c r="G65" s="184">
        <f t="shared" si="458"/>
        <v>0</v>
      </c>
      <c r="H65" s="91"/>
      <c r="I65" s="91"/>
      <c r="J65" s="93">
        <f t="shared" si="459"/>
        <v>0</v>
      </c>
      <c r="K65" s="91"/>
      <c r="L65" s="91"/>
      <c r="M65" s="93">
        <f t="shared" si="460"/>
        <v>0</v>
      </c>
      <c r="N65" s="92"/>
      <c r="O65" s="91"/>
      <c r="P65" s="93">
        <f t="shared" si="461"/>
        <v>0</v>
      </c>
      <c r="Q65" s="92"/>
      <c r="R65" s="91"/>
      <c r="S65" s="93">
        <f t="shared" si="462"/>
        <v>0</v>
      </c>
      <c r="T65" s="92"/>
      <c r="U65" s="91"/>
      <c r="V65" s="93">
        <f t="shared" si="463"/>
        <v>0</v>
      </c>
      <c r="W65" s="92"/>
      <c r="X65" s="91"/>
      <c r="Y65" s="93">
        <f t="shared" si="464"/>
        <v>0</v>
      </c>
      <c r="Z65" s="92"/>
      <c r="AA65" s="91"/>
      <c r="AB65" s="93">
        <f t="shared" si="465"/>
        <v>0</v>
      </c>
      <c r="AC65" s="92"/>
      <c r="AD65" s="91"/>
      <c r="AE65" s="93">
        <f t="shared" si="466"/>
        <v>0</v>
      </c>
      <c r="AF65" s="92"/>
      <c r="AG65" s="91"/>
      <c r="AH65" s="93">
        <f t="shared" si="467"/>
        <v>0</v>
      </c>
      <c r="AI65" s="92"/>
      <c r="AJ65" s="91"/>
      <c r="AK65" s="93">
        <f t="shared" si="468"/>
        <v>0</v>
      </c>
      <c r="AL65" s="92"/>
      <c r="AM65" s="91"/>
      <c r="AN65" s="93">
        <f t="shared" si="469"/>
        <v>0</v>
      </c>
      <c r="AO65" s="92"/>
      <c r="AP65" s="91"/>
      <c r="AQ65" s="93">
        <f t="shared" si="470"/>
        <v>0</v>
      </c>
      <c r="AR65" s="433">
        <f t="shared" si="471"/>
        <v>0</v>
      </c>
      <c r="AS65" s="91">
        <f t="shared" si="472"/>
        <v>0</v>
      </c>
      <c r="AT65" s="184">
        <f t="shared" si="473"/>
        <v>0</v>
      </c>
      <c r="AU65" s="92">
        <v>0</v>
      </c>
      <c r="AV65" s="91">
        <v>1.06</v>
      </c>
      <c r="AW65" s="93">
        <f t="shared" si="474"/>
        <v>1.06</v>
      </c>
      <c r="AX65" s="92">
        <v>0</v>
      </c>
      <c r="AY65" s="91">
        <v>-1.08</v>
      </c>
      <c r="AZ65" s="93">
        <f t="shared" si="475"/>
        <v>-1.08</v>
      </c>
      <c r="BA65" s="92">
        <v>0</v>
      </c>
      <c r="BB65" s="91">
        <v>0.74</v>
      </c>
      <c r="BC65" s="93">
        <f t="shared" si="476"/>
        <v>0.74</v>
      </c>
      <c r="BD65" s="92">
        <v>0</v>
      </c>
      <c r="BE65" s="91">
        <v>-0.65000000000000036</v>
      </c>
      <c r="BF65" s="93">
        <f t="shared" si="477"/>
        <v>-0.65000000000000036</v>
      </c>
      <c r="BG65" s="92">
        <v>0</v>
      </c>
      <c r="BH65" s="91">
        <v>1.4099999999999997</v>
      </c>
      <c r="BI65" s="93">
        <f t="shared" si="478"/>
        <v>1.4099999999999997</v>
      </c>
      <c r="BJ65" s="92">
        <v>0</v>
      </c>
      <c r="BK65" s="91">
        <v>7.74</v>
      </c>
      <c r="BL65" s="93">
        <f t="shared" si="479"/>
        <v>7.74</v>
      </c>
      <c r="BM65" s="92">
        <v>0</v>
      </c>
      <c r="BN65" s="91">
        <v>1.3599999999999994</v>
      </c>
      <c r="BO65" s="93">
        <f t="shared" si="480"/>
        <v>1.3599999999999994</v>
      </c>
      <c r="BP65" s="92">
        <v>0</v>
      </c>
      <c r="BQ65" s="91">
        <v>0.17999999999999972</v>
      </c>
      <c r="BR65" s="93">
        <f t="shared" si="481"/>
        <v>0.17999999999999972</v>
      </c>
      <c r="BS65" s="92">
        <v>0</v>
      </c>
      <c r="BT65" s="91">
        <v>0</v>
      </c>
      <c r="BU65" s="93">
        <f t="shared" si="482"/>
        <v>0</v>
      </c>
      <c r="BV65" s="92">
        <v>0</v>
      </c>
      <c r="BW65" s="91">
        <v>0</v>
      </c>
      <c r="BX65" s="93">
        <f t="shared" si="483"/>
        <v>0</v>
      </c>
      <c r="BY65" s="92">
        <v>0</v>
      </c>
      <c r="BZ65" s="91">
        <v>0</v>
      </c>
      <c r="CA65" s="93">
        <f t="shared" si="484"/>
        <v>0</v>
      </c>
      <c r="CB65" s="92">
        <v>0</v>
      </c>
      <c r="CC65" s="91">
        <v>0</v>
      </c>
      <c r="CD65" s="93">
        <f t="shared" si="485"/>
        <v>0</v>
      </c>
      <c r="CE65" s="438">
        <f t="shared" si="452"/>
        <v>0</v>
      </c>
      <c r="CF65" s="175">
        <f t="shared" si="453"/>
        <v>10.76</v>
      </c>
      <c r="CG65" s="439">
        <f t="shared" si="454"/>
        <v>10.76</v>
      </c>
      <c r="CH65" s="91">
        <v>0</v>
      </c>
      <c r="CI65" s="91">
        <v>0</v>
      </c>
      <c r="CJ65" s="93">
        <f t="shared" si="486"/>
        <v>0</v>
      </c>
      <c r="CK65" s="91"/>
      <c r="CL65" s="91"/>
      <c r="CM65" s="93">
        <f t="shared" si="487"/>
        <v>0</v>
      </c>
      <c r="CN65" s="92"/>
      <c r="CO65" s="91"/>
      <c r="CP65" s="93">
        <f t="shared" si="488"/>
        <v>0</v>
      </c>
      <c r="CQ65" s="92"/>
      <c r="CR65" s="91"/>
      <c r="CS65" s="93">
        <f t="shared" si="489"/>
        <v>0</v>
      </c>
      <c r="CT65" s="92"/>
      <c r="CU65" s="91"/>
      <c r="CV65" s="93">
        <f t="shared" si="490"/>
        <v>0</v>
      </c>
      <c r="CW65" s="92"/>
      <c r="CX65" s="91"/>
      <c r="CY65" s="93">
        <f t="shared" si="491"/>
        <v>0</v>
      </c>
      <c r="CZ65" s="92"/>
      <c r="DA65" s="91"/>
      <c r="DB65" s="93">
        <f t="shared" si="492"/>
        <v>0</v>
      </c>
      <c r="DC65" s="92"/>
      <c r="DD65" s="91"/>
      <c r="DE65" s="93">
        <f t="shared" si="493"/>
        <v>0</v>
      </c>
      <c r="DF65" s="92"/>
      <c r="DG65" s="91"/>
      <c r="DH65" s="93">
        <f t="shared" si="494"/>
        <v>0</v>
      </c>
      <c r="DI65" s="92"/>
      <c r="DJ65" s="91"/>
      <c r="DK65" s="93">
        <f t="shared" si="495"/>
        <v>0</v>
      </c>
      <c r="DL65" s="92"/>
      <c r="DM65" s="91"/>
      <c r="DN65" s="93">
        <f t="shared" si="496"/>
        <v>0</v>
      </c>
      <c r="DO65" s="92"/>
      <c r="DP65" s="91"/>
      <c r="DQ65" s="93">
        <f t="shared" si="497"/>
        <v>0</v>
      </c>
      <c r="DR65" s="438">
        <f t="shared" si="455"/>
        <v>0</v>
      </c>
      <c r="DS65" s="175">
        <f t="shared" si="456"/>
        <v>0</v>
      </c>
      <c r="DT65" s="439">
        <f t="shared" si="457"/>
        <v>0</v>
      </c>
    </row>
    <row r="66" spans="1:124" ht="14.25" customHeight="1">
      <c r="A66" s="23"/>
      <c r="B66" s="87"/>
      <c r="C66" s="88"/>
      <c r="D66" s="89"/>
      <c r="E66" s="438"/>
      <c r="F66" s="175"/>
      <c r="G66" s="439"/>
      <c r="H66" s="175"/>
      <c r="I66" s="175"/>
      <c r="J66" s="177"/>
      <c r="K66" s="175"/>
      <c r="L66" s="175"/>
      <c r="M66" s="177"/>
      <c r="N66" s="176"/>
      <c r="O66" s="175"/>
      <c r="P66" s="177"/>
      <c r="Q66" s="176"/>
      <c r="R66" s="175"/>
      <c r="S66" s="177"/>
      <c r="T66" s="176"/>
      <c r="U66" s="175"/>
      <c r="V66" s="177"/>
      <c r="W66" s="176"/>
      <c r="X66" s="175"/>
      <c r="Y66" s="177"/>
      <c r="Z66" s="176"/>
      <c r="AA66" s="175"/>
      <c r="AB66" s="177"/>
      <c r="AC66" s="176"/>
      <c r="AD66" s="175"/>
      <c r="AE66" s="177"/>
      <c r="AF66" s="176"/>
      <c r="AG66" s="175"/>
      <c r="AH66" s="177"/>
      <c r="AI66" s="176"/>
      <c r="AJ66" s="175"/>
      <c r="AK66" s="177"/>
      <c r="AL66" s="176"/>
      <c r="AM66" s="175"/>
      <c r="AN66" s="177"/>
      <c r="AO66" s="176"/>
      <c r="AP66" s="175"/>
      <c r="AQ66" s="177"/>
      <c r="AR66" s="438"/>
      <c r="AS66" s="175"/>
      <c r="AT66" s="439"/>
      <c r="AU66" s="176"/>
      <c r="AV66" s="175"/>
      <c r="AW66" s="177"/>
      <c r="AX66" s="176"/>
      <c r="AY66" s="175"/>
      <c r="AZ66" s="177"/>
      <c r="BA66" s="176"/>
      <c r="BB66" s="175"/>
      <c r="BC66" s="177"/>
      <c r="BD66" s="176"/>
      <c r="BE66" s="175"/>
      <c r="BF66" s="177"/>
      <c r="BG66" s="176"/>
      <c r="BH66" s="175"/>
      <c r="BI66" s="177"/>
      <c r="BJ66" s="176"/>
      <c r="BK66" s="175"/>
      <c r="BL66" s="177"/>
      <c r="BM66" s="176"/>
      <c r="BN66" s="175"/>
      <c r="BO66" s="177"/>
      <c r="BP66" s="176"/>
      <c r="BQ66" s="175"/>
      <c r="BR66" s="177"/>
      <c r="BS66" s="176"/>
      <c r="BT66" s="175"/>
      <c r="BU66" s="177"/>
      <c r="BV66" s="176"/>
      <c r="BW66" s="175"/>
      <c r="BX66" s="177"/>
      <c r="BY66" s="176"/>
      <c r="BZ66" s="175"/>
      <c r="CA66" s="177"/>
      <c r="CB66" s="176"/>
      <c r="CC66" s="175"/>
      <c r="CD66" s="177"/>
      <c r="CE66" s="438"/>
      <c r="CF66" s="175"/>
      <c r="CG66" s="439"/>
      <c r="CH66" s="175"/>
      <c r="CI66" s="175"/>
      <c r="CJ66" s="177"/>
      <c r="CK66" s="174"/>
      <c r="CL66" s="175"/>
      <c r="CM66" s="177"/>
      <c r="CN66" s="174"/>
      <c r="CO66" s="175"/>
      <c r="CP66" s="177"/>
      <c r="CQ66" s="174"/>
      <c r="CR66" s="175"/>
      <c r="CS66" s="177"/>
      <c r="CT66" s="174"/>
      <c r="CU66" s="175"/>
      <c r="CV66" s="177"/>
      <c r="CW66" s="174"/>
      <c r="CX66" s="175"/>
      <c r="CY66" s="177"/>
      <c r="CZ66" s="174"/>
      <c r="DA66" s="175"/>
      <c r="DB66" s="177"/>
      <c r="DC66" s="174"/>
      <c r="DD66" s="175"/>
      <c r="DE66" s="177"/>
      <c r="DF66" s="174"/>
      <c r="DG66" s="175"/>
      <c r="DH66" s="177"/>
      <c r="DI66" s="174"/>
      <c r="DJ66" s="175"/>
      <c r="DK66" s="177"/>
      <c r="DL66" s="174"/>
      <c r="DM66" s="175"/>
      <c r="DN66" s="177"/>
      <c r="DO66" s="174"/>
      <c r="DP66" s="175"/>
      <c r="DQ66" s="177"/>
      <c r="DR66" s="438"/>
      <c r="DS66" s="175"/>
      <c r="DT66" s="439"/>
    </row>
    <row r="67" spans="1:124" ht="14.25" customHeight="1">
      <c r="A67" s="23"/>
      <c r="B67" s="100"/>
      <c r="C67" s="101" t="s">
        <v>3</v>
      </c>
      <c r="D67" s="102" t="s">
        <v>236</v>
      </c>
      <c r="E67" s="435">
        <f t="shared" ref="E67:AJ67" si="498">SUM(E68:E71)</f>
        <v>0</v>
      </c>
      <c r="F67" s="107">
        <f t="shared" si="498"/>
        <v>0</v>
      </c>
      <c r="G67" s="183">
        <f t="shared" si="498"/>
        <v>0</v>
      </c>
      <c r="H67" s="107">
        <f t="shared" si="498"/>
        <v>0</v>
      </c>
      <c r="I67" s="107">
        <f t="shared" si="498"/>
        <v>0</v>
      </c>
      <c r="J67" s="547">
        <f t="shared" si="498"/>
        <v>0</v>
      </c>
      <c r="K67" s="107">
        <f t="shared" si="498"/>
        <v>0</v>
      </c>
      <c r="L67" s="107">
        <f t="shared" si="498"/>
        <v>0</v>
      </c>
      <c r="M67" s="547">
        <f t="shared" si="498"/>
        <v>0</v>
      </c>
      <c r="N67" s="106">
        <f t="shared" si="498"/>
        <v>0</v>
      </c>
      <c r="O67" s="107">
        <f t="shared" si="498"/>
        <v>0</v>
      </c>
      <c r="P67" s="547">
        <f t="shared" si="498"/>
        <v>0</v>
      </c>
      <c r="Q67" s="106">
        <f t="shared" si="498"/>
        <v>0</v>
      </c>
      <c r="R67" s="107">
        <f t="shared" si="498"/>
        <v>0</v>
      </c>
      <c r="S67" s="547">
        <f t="shared" si="498"/>
        <v>0</v>
      </c>
      <c r="T67" s="106">
        <f t="shared" si="498"/>
        <v>0</v>
      </c>
      <c r="U67" s="107">
        <f t="shared" si="498"/>
        <v>0</v>
      </c>
      <c r="V67" s="547">
        <f t="shared" si="498"/>
        <v>0</v>
      </c>
      <c r="W67" s="106">
        <f t="shared" si="498"/>
        <v>0</v>
      </c>
      <c r="X67" s="107">
        <f t="shared" si="498"/>
        <v>0</v>
      </c>
      <c r="Y67" s="547">
        <f t="shared" si="498"/>
        <v>0</v>
      </c>
      <c r="Z67" s="106">
        <f t="shared" si="498"/>
        <v>0</v>
      </c>
      <c r="AA67" s="107">
        <f t="shared" si="498"/>
        <v>0</v>
      </c>
      <c r="AB67" s="547">
        <f t="shared" si="498"/>
        <v>0</v>
      </c>
      <c r="AC67" s="106">
        <f t="shared" si="498"/>
        <v>0</v>
      </c>
      <c r="AD67" s="107">
        <f t="shared" si="498"/>
        <v>0</v>
      </c>
      <c r="AE67" s="547">
        <f t="shared" si="498"/>
        <v>0</v>
      </c>
      <c r="AF67" s="106">
        <f t="shared" si="498"/>
        <v>0</v>
      </c>
      <c r="AG67" s="107">
        <f t="shared" si="498"/>
        <v>0</v>
      </c>
      <c r="AH67" s="547">
        <f t="shared" si="498"/>
        <v>0</v>
      </c>
      <c r="AI67" s="106">
        <f t="shared" si="498"/>
        <v>0</v>
      </c>
      <c r="AJ67" s="107">
        <f t="shared" si="498"/>
        <v>0</v>
      </c>
      <c r="AK67" s="547">
        <f t="shared" ref="AK67:BP67" si="499">SUM(AK68:AK71)</f>
        <v>0</v>
      </c>
      <c r="AL67" s="106">
        <f t="shared" si="499"/>
        <v>0</v>
      </c>
      <c r="AM67" s="107">
        <f t="shared" si="499"/>
        <v>0</v>
      </c>
      <c r="AN67" s="547">
        <f t="shared" si="499"/>
        <v>0</v>
      </c>
      <c r="AO67" s="106">
        <f t="shared" si="499"/>
        <v>0</v>
      </c>
      <c r="AP67" s="107">
        <f t="shared" si="499"/>
        <v>0</v>
      </c>
      <c r="AQ67" s="547">
        <f t="shared" si="499"/>
        <v>0</v>
      </c>
      <c r="AR67" s="435">
        <f t="shared" si="499"/>
        <v>0</v>
      </c>
      <c r="AS67" s="107">
        <f t="shared" si="499"/>
        <v>0</v>
      </c>
      <c r="AT67" s="183">
        <f t="shared" si="499"/>
        <v>0</v>
      </c>
      <c r="AU67" s="106">
        <f t="shared" si="499"/>
        <v>0</v>
      </c>
      <c r="AV67" s="107">
        <f t="shared" si="499"/>
        <v>0</v>
      </c>
      <c r="AW67" s="547">
        <f t="shared" si="499"/>
        <v>0</v>
      </c>
      <c r="AX67" s="106">
        <f t="shared" si="499"/>
        <v>0</v>
      </c>
      <c r="AY67" s="107">
        <f t="shared" si="499"/>
        <v>0</v>
      </c>
      <c r="AZ67" s="547">
        <f t="shared" si="499"/>
        <v>0</v>
      </c>
      <c r="BA67" s="106">
        <f t="shared" si="499"/>
        <v>0</v>
      </c>
      <c r="BB67" s="107">
        <f t="shared" si="499"/>
        <v>0</v>
      </c>
      <c r="BC67" s="547">
        <f t="shared" si="499"/>
        <v>0</v>
      </c>
      <c r="BD67" s="106">
        <f t="shared" si="499"/>
        <v>0</v>
      </c>
      <c r="BE67" s="107">
        <f t="shared" si="499"/>
        <v>0</v>
      </c>
      <c r="BF67" s="547">
        <f t="shared" si="499"/>
        <v>0</v>
      </c>
      <c r="BG67" s="106">
        <f t="shared" si="499"/>
        <v>0</v>
      </c>
      <c r="BH67" s="107">
        <f t="shared" si="499"/>
        <v>0</v>
      </c>
      <c r="BI67" s="547">
        <f t="shared" si="499"/>
        <v>0</v>
      </c>
      <c r="BJ67" s="106">
        <f t="shared" si="499"/>
        <v>0</v>
      </c>
      <c r="BK67" s="107">
        <f t="shared" si="499"/>
        <v>0</v>
      </c>
      <c r="BL67" s="547">
        <f t="shared" si="499"/>
        <v>0</v>
      </c>
      <c r="BM67" s="106">
        <f t="shared" si="499"/>
        <v>0</v>
      </c>
      <c r="BN67" s="107">
        <f t="shared" si="499"/>
        <v>0</v>
      </c>
      <c r="BO67" s="547">
        <f t="shared" si="499"/>
        <v>0</v>
      </c>
      <c r="BP67" s="106">
        <f t="shared" si="499"/>
        <v>0</v>
      </c>
      <c r="BQ67" s="107">
        <f t="shared" ref="BQ67:CV67" si="500">SUM(BQ68:BQ71)</f>
        <v>0</v>
      </c>
      <c r="BR67" s="547">
        <f t="shared" si="500"/>
        <v>0</v>
      </c>
      <c r="BS67" s="106">
        <f t="shared" si="500"/>
        <v>0</v>
      </c>
      <c r="BT67" s="107">
        <f t="shared" si="500"/>
        <v>0</v>
      </c>
      <c r="BU67" s="547">
        <f t="shared" si="500"/>
        <v>0</v>
      </c>
      <c r="BV67" s="106">
        <f t="shared" si="500"/>
        <v>0</v>
      </c>
      <c r="BW67" s="107">
        <f t="shared" si="500"/>
        <v>0</v>
      </c>
      <c r="BX67" s="547">
        <f t="shared" si="500"/>
        <v>0</v>
      </c>
      <c r="BY67" s="106">
        <f t="shared" si="500"/>
        <v>0</v>
      </c>
      <c r="BZ67" s="107">
        <f t="shared" si="500"/>
        <v>0</v>
      </c>
      <c r="CA67" s="547">
        <f t="shared" si="500"/>
        <v>0</v>
      </c>
      <c r="CB67" s="106">
        <f t="shared" si="500"/>
        <v>0</v>
      </c>
      <c r="CC67" s="107">
        <f t="shared" si="500"/>
        <v>0</v>
      </c>
      <c r="CD67" s="547">
        <f t="shared" si="500"/>
        <v>0</v>
      </c>
      <c r="CE67" s="435">
        <f t="shared" si="500"/>
        <v>0</v>
      </c>
      <c r="CF67" s="107">
        <f t="shared" si="500"/>
        <v>0</v>
      </c>
      <c r="CG67" s="183">
        <f t="shared" si="500"/>
        <v>0</v>
      </c>
      <c r="CH67" s="107">
        <f t="shared" si="500"/>
        <v>0</v>
      </c>
      <c r="CI67" s="107">
        <f t="shared" si="500"/>
        <v>0</v>
      </c>
      <c r="CJ67" s="547">
        <f t="shared" si="500"/>
        <v>0</v>
      </c>
      <c r="CK67" s="106">
        <f t="shared" si="500"/>
        <v>0</v>
      </c>
      <c r="CL67" s="107">
        <f t="shared" si="500"/>
        <v>0</v>
      </c>
      <c r="CM67" s="547">
        <f t="shared" si="500"/>
        <v>0</v>
      </c>
      <c r="CN67" s="106">
        <f t="shared" si="500"/>
        <v>0</v>
      </c>
      <c r="CO67" s="107">
        <f t="shared" si="500"/>
        <v>0</v>
      </c>
      <c r="CP67" s="547">
        <f t="shared" si="500"/>
        <v>0</v>
      </c>
      <c r="CQ67" s="106">
        <f t="shared" si="500"/>
        <v>0</v>
      </c>
      <c r="CR67" s="107">
        <f t="shared" si="500"/>
        <v>0</v>
      </c>
      <c r="CS67" s="547">
        <f t="shared" si="500"/>
        <v>0</v>
      </c>
      <c r="CT67" s="106">
        <f t="shared" si="500"/>
        <v>0</v>
      </c>
      <c r="CU67" s="107">
        <f t="shared" si="500"/>
        <v>0</v>
      </c>
      <c r="CV67" s="547">
        <f t="shared" si="500"/>
        <v>0</v>
      </c>
      <c r="CW67" s="106">
        <f t="shared" ref="CW67:DT67" si="501">SUM(CW68:CW71)</f>
        <v>0</v>
      </c>
      <c r="CX67" s="107">
        <f t="shared" si="501"/>
        <v>0</v>
      </c>
      <c r="CY67" s="547">
        <f t="shared" si="501"/>
        <v>0</v>
      </c>
      <c r="CZ67" s="106">
        <f t="shared" si="501"/>
        <v>0</v>
      </c>
      <c r="DA67" s="107">
        <f t="shared" si="501"/>
        <v>0</v>
      </c>
      <c r="DB67" s="547">
        <f t="shared" si="501"/>
        <v>0</v>
      </c>
      <c r="DC67" s="106">
        <f t="shared" si="501"/>
        <v>0</v>
      </c>
      <c r="DD67" s="107">
        <f t="shared" si="501"/>
        <v>0</v>
      </c>
      <c r="DE67" s="547">
        <f t="shared" si="501"/>
        <v>0</v>
      </c>
      <c r="DF67" s="106">
        <f t="shared" si="501"/>
        <v>0</v>
      </c>
      <c r="DG67" s="107">
        <f t="shared" si="501"/>
        <v>0</v>
      </c>
      <c r="DH67" s="547">
        <f t="shared" si="501"/>
        <v>0</v>
      </c>
      <c r="DI67" s="106">
        <f t="shared" si="501"/>
        <v>0</v>
      </c>
      <c r="DJ67" s="107">
        <f t="shared" si="501"/>
        <v>0</v>
      </c>
      <c r="DK67" s="547">
        <f t="shared" si="501"/>
        <v>0</v>
      </c>
      <c r="DL67" s="106">
        <f t="shared" si="501"/>
        <v>0</v>
      </c>
      <c r="DM67" s="107">
        <f t="shared" si="501"/>
        <v>0</v>
      </c>
      <c r="DN67" s="547">
        <f t="shared" si="501"/>
        <v>0</v>
      </c>
      <c r="DO67" s="106">
        <f t="shared" si="501"/>
        <v>0</v>
      </c>
      <c r="DP67" s="107">
        <f t="shared" si="501"/>
        <v>0</v>
      </c>
      <c r="DQ67" s="547">
        <f t="shared" si="501"/>
        <v>0</v>
      </c>
      <c r="DR67" s="435">
        <f t="shared" si="501"/>
        <v>0</v>
      </c>
      <c r="DS67" s="107">
        <f t="shared" si="501"/>
        <v>0</v>
      </c>
      <c r="DT67" s="183">
        <f t="shared" si="501"/>
        <v>0</v>
      </c>
    </row>
    <row r="68" spans="1:124" ht="14.25" customHeight="1">
      <c r="A68" s="23"/>
      <c r="B68" s="87"/>
      <c r="C68" s="88"/>
      <c r="D68" s="89" t="s">
        <v>188</v>
      </c>
      <c r="E68" s="438"/>
      <c r="F68" s="175"/>
      <c r="G68" s="184">
        <f>SUM(E68:F68)</f>
        <v>0</v>
      </c>
      <c r="H68" s="175"/>
      <c r="I68" s="175"/>
      <c r="J68" s="93">
        <f>SUM(H68:I68)</f>
        <v>0</v>
      </c>
      <c r="K68" s="91"/>
      <c r="L68" s="91"/>
      <c r="M68" s="93">
        <f>SUM(K68:L68)</f>
        <v>0</v>
      </c>
      <c r="N68" s="92"/>
      <c r="O68" s="91"/>
      <c r="P68" s="93">
        <f>SUM(N68:O68)</f>
        <v>0</v>
      </c>
      <c r="Q68" s="92"/>
      <c r="R68" s="91"/>
      <c r="S68" s="93">
        <f>SUM(Q68:R68)</f>
        <v>0</v>
      </c>
      <c r="T68" s="92"/>
      <c r="U68" s="91"/>
      <c r="V68" s="93">
        <f>SUM(T68:U68)</f>
        <v>0</v>
      </c>
      <c r="W68" s="92"/>
      <c r="X68" s="91"/>
      <c r="Y68" s="93">
        <f>SUM(W68:X68)</f>
        <v>0</v>
      </c>
      <c r="Z68" s="92"/>
      <c r="AA68" s="91"/>
      <c r="AB68" s="93">
        <f>SUM(Z68:AA68)</f>
        <v>0</v>
      </c>
      <c r="AC68" s="92"/>
      <c r="AD68" s="91"/>
      <c r="AE68" s="93">
        <f>SUM(AC68:AD68)</f>
        <v>0</v>
      </c>
      <c r="AF68" s="92"/>
      <c r="AG68" s="91"/>
      <c r="AH68" s="93">
        <f>SUM(AF68:AG68)</f>
        <v>0</v>
      </c>
      <c r="AI68" s="92"/>
      <c r="AJ68" s="91"/>
      <c r="AK68" s="93">
        <f>SUM(AI68:AJ68)</f>
        <v>0</v>
      </c>
      <c r="AL68" s="92"/>
      <c r="AM68" s="91"/>
      <c r="AN68" s="93">
        <f>SUM(AL68:AM68)</f>
        <v>0</v>
      </c>
      <c r="AO68" s="92"/>
      <c r="AP68" s="91"/>
      <c r="AQ68" s="93">
        <f>SUM(AO68:AP68)</f>
        <v>0</v>
      </c>
      <c r="AR68" s="438">
        <f>AO68+AL68+AI68+AF68+AC68+Z68+W68+T68+Q68+N68+K68+H68</f>
        <v>0</v>
      </c>
      <c r="AS68" s="175">
        <f>AP68+AM68+AJ68+AG68+AD68+AA68+X68+U68+R68+O68+L68+I68</f>
        <v>0</v>
      </c>
      <c r="AT68" s="184">
        <f>SUM(AR68:AS68)</f>
        <v>0</v>
      </c>
      <c r="AU68" s="176"/>
      <c r="AV68" s="175"/>
      <c r="AW68" s="93">
        <f>SUM(AU68:AV68)</f>
        <v>0</v>
      </c>
      <c r="AX68" s="91"/>
      <c r="AY68" s="91"/>
      <c r="AZ68" s="93">
        <f>SUM(AX68:AY68)</f>
        <v>0</v>
      </c>
      <c r="BA68" s="92"/>
      <c r="BB68" s="91"/>
      <c r="BC68" s="93">
        <f>SUM(BA68:BB68)</f>
        <v>0</v>
      </c>
      <c r="BD68" s="92"/>
      <c r="BE68" s="91"/>
      <c r="BF68" s="93">
        <f>SUM(BD68:BE68)</f>
        <v>0</v>
      </c>
      <c r="BG68" s="92"/>
      <c r="BH68" s="91"/>
      <c r="BI68" s="93">
        <f>SUM(BG68:BH68)</f>
        <v>0</v>
      </c>
      <c r="BJ68" s="92"/>
      <c r="BK68" s="91"/>
      <c r="BL68" s="93">
        <f>SUM(BJ68:BK68)</f>
        <v>0</v>
      </c>
      <c r="BM68" s="92"/>
      <c r="BN68" s="91"/>
      <c r="BO68" s="93">
        <f>SUM(BM68:BN68)</f>
        <v>0</v>
      </c>
      <c r="BP68" s="92"/>
      <c r="BQ68" s="91"/>
      <c r="BR68" s="93">
        <f>SUM(BP68:BQ68)</f>
        <v>0</v>
      </c>
      <c r="BS68" s="92"/>
      <c r="BT68" s="91"/>
      <c r="BU68" s="93">
        <f>SUM(BS68:BT68)</f>
        <v>0</v>
      </c>
      <c r="BV68" s="92"/>
      <c r="BW68" s="91"/>
      <c r="BX68" s="93">
        <f>SUM(BV68:BW68)</f>
        <v>0</v>
      </c>
      <c r="BY68" s="92"/>
      <c r="BZ68" s="91"/>
      <c r="CA68" s="93">
        <f>SUM(BY68:BZ68)</f>
        <v>0</v>
      </c>
      <c r="CB68" s="92"/>
      <c r="CC68" s="91"/>
      <c r="CD68" s="93">
        <f>SUM(CB68:CC68)</f>
        <v>0</v>
      </c>
      <c r="CE68" s="438">
        <f t="shared" ref="CE68:CE71" si="502">CB68+BY68+BV68+BS68+BP68+BM68+BJ68+BG68+BD68+BA68+AX68+AU68</f>
        <v>0</v>
      </c>
      <c r="CF68" s="175">
        <f t="shared" ref="CF68:CF71" si="503">CC68+BZ68+BW68+BT68+BQ68+BN68+BK68+BH68+BE68+BB68+AY68+AV68</f>
        <v>0</v>
      </c>
      <c r="CG68" s="439">
        <f t="shared" ref="CG68:CG71" si="504">SUM(CE68:CF68)</f>
        <v>0</v>
      </c>
      <c r="CH68" s="175"/>
      <c r="CI68" s="175"/>
      <c r="CJ68" s="93">
        <f>SUM(CH68:CI68)</f>
        <v>0</v>
      </c>
      <c r="CK68" s="91"/>
      <c r="CL68" s="91"/>
      <c r="CM68" s="93">
        <f>SUM(CK68:CL68)</f>
        <v>0</v>
      </c>
      <c r="CN68" s="92"/>
      <c r="CO68" s="91"/>
      <c r="CP68" s="93">
        <f>SUM(CN68:CO68)</f>
        <v>0</v>
      </c>
      <c r="CQ68" s="92"/>
      <c r="CR68" s="91"/>
      <c r="CS68" s="93">
        <f>SUM(CQ68:CR68)</f>
        <v>0</v>
      </c>
      <c r="CT68" s="92"/>
      <c r="CU68" s="91"/>
      <c r="CV68" s="93">
        <f>SUM(CT68:CU68)</f>
        <v>0</v>
      </c>
      <c r="CW68" s="92"/>
      <c r="CX68" s="91"/>
      <c r="CY68" s="93">
        <f>SUM(CW68:CX68)</f>
        <v>0</v>
      </c>
      <c r="CZ68" s="92"/>
      <c r="DA68" s="91"/>
      <c r="DB68" s="93">
        <f>SUM(CZ68:DA68)</f>
        <v>0</v>
      </c>
      <c r="DC68" s="92"/>
      <c r="DD68" s="91"/>
      <c r="DE68" s="93">
        <f>SUM(DC68:DD68)</f>
        <v>0</v>
      </c>
      <c r="DF68" s="92"/>
      <c r="DG68" s="91"/>
      <c r="DH68" s="93">
        <f>SUM(DF68:DG68)</f>
        <v>0</v>
      </c>
      <c r="DI68" s="92"/>
      <c r="DJ68" s="91"/>
      <c r="DK68" s="93">
        <f>SUM(DI68:DJ68)</f>
        <v>0</v>
      </c>
      <c r="DL68" s="92"/>
      <c r="DM68" s="91"/>
      <c r="DN68" s="93">
        <f>SUM(DL68:DM68)</f>
        <v>0</v>
      </c>
      <c r="DO68" s="92"/>
      <c r="DP68" s="91"/>
      <c r="DQ68" s="93">
        <f>SUM(DO68:DP68)</f>
        <v>0</v>
      </c>
      <c r="DR68" s="438">
        <f t="shared" ref="DR68:DR71" si="505">DO68+DL68+DI68+DF68+DC68+CZ68+CW68+CT68+CQ68+CN68+CK68+CH68</f>
        <v>0</v>
      </c>
      <c r="DS68" s="175">
        <f t="shared" ref="DS68:DS71" si="506">DP68+DM68+DJ68+DG68+DD68+DA68+CX68+CU68+CR68+CO68+CL68+CI68</f>
        <v>0</v>
      </c>
      <c r="DT68" s="439">
        <f t="shared" ref="DT68:DT71" si="507">SUM(DR68:DS68)</f>
        <v>0</v>
      </c>
    </row>
    <row r="69" spans="1:124" ht="14.25" customHeight="1">
      <c r="A69" s="23"/>
      <c r="B69" s="87"/>
      <c r="C69" s="88"/>
      <c r="D69" s="89" t="s">
        <v>189</v>
      </c>
      <c r="E69" s="438"/>
      <c r="F69" s="175"/>
      <c r="G69" s="184">
        <f t="shared" ref="G69:G71" si="508">SUM(E69:F69)</f>
        <v>0</v>
      </c>
      <c r="H69" s="175"/>
      <c r="I69" s="175"/>
      <c r="J69" s="93">
        <f t="shared" ref="J69:J71" si="509">SUM(H69:I69)</f>
        <v>0</v>
      </c>
      <c r="K69" s="91"/>
      <c r="L69" s="91"/>
      <c r="M69" s="93">
        <f t="shared" ref="M69:M71" si="510">SUM(K69:L69)</f>
        <v>0</v>
      </c>
      <c r="N69" s="92"/>
      <c r="O69" s="91"/>
      <c r="P69" s="93">
        <f t="shared" ref="P69:P71" si="511">SUM(N69:O69)</f>
        <v>0</v>
      </c>
      <c r="Q69" s="92"/>
      <c r="R69" s="91"/>
      <c r="S69" s="93">
        <f t="shared" ref="S69:S71" si="512">SUM(Q69:R69)</f>
        <v>0</v>
      </c>
      <c r="T69" s="92"/>
      <c r="U69" s="91"/>
      <c r="V69" s="93">
        <f t="shared" ref="V69:V71" si="513">SUM(T69:U69)</f>
        <v>0</v>
      </c>
      <c r="W69" s="92"/>
      <c r="X69" s="91"/>
      <c r="Y69" s="93">
        <f t="shared" ref="Y69:Y71" si="514">SUM(W69:X69)</f>
        <v>0</v>
      </c>
      <c r="Z69" s="92"/>
      <c r="AA69" s="91"/>
      <c r="AB69" s="93">
        <f t="shared" ref="AB69:AB71" si="515">SUM(Z69:AA69)</f>
        <v>0</v>
      </c>
      <c r="AC69" s="92"/>
      <c r="AD69" s="91"/>
      <c r="AE69" s="93">
        <f t="shared" ref="AE69:AE71" si="516">SUM(AC69:AD69)</f>
        <v>0</v>
      </c>
      <c r="AF69" s="92"/>
      <c r="AG69" s="91"/>
      <c r="AH69" s="93">
        <f t="shared" ref="AH69:AH71" si="517">SUM(AF69:AG69)</f>
        <v>0</v>
      </c>
      <c r="AI69" s="92"/>
      <c r="AJ69" s="91"/>
      <c r="AK69" s="93">
        <f t="shared" ref="AK69:AK71" si="518">SUM(AI69:AJ69)</f>
        <v>0</v>
      </c>
      <c r="AL69" s="92"/>
      <c r="AM69" s="91"/>
      <c r="AN69" s="93">
        <f t="shared" ref="AN69:AN71" si="519">SUM(AL69:AM69)</f>
        <v>0</v>
      </c>
      <c r="AO69" s="92"/>
      <c r="AP69" s="91"/>
      <c r="AQ69" s="93">
        <f t="shared" ref="AQ69:AQ71" si="520">SUM(AO69:AP69)</f>
        <v>0</v>
      </c>
      <c r="AR69" s="438">
        <f t="shared" ref="AR69:AR71" si="521">AO69+AL69+AI69+AF69+AC69+Z69+W69+T69+Q69+N69+K69+H69</f>
        <v>0</v>
      </c>
      <c r="AS69" s="175">
        <f t="shared" ref="AS69:AS71" si="522">AP69+AM69+AJ69+AG69+AD69+AA69+X69+U69+R69+O69+L69+I69</f>
        <v>0</v>
      </c>
      <c r="AT69" s="184">
        <f t="shared" ref="AT69:AT71" si="523">SUM(AR69:AS69)</f>
        <v>0</v>
      </c>
      <c r="AU69" s="176"/>
      <c r="AV69" s="175"/>
      <c r="AW69" s="93">
        <f t="shared" ref="AW69:AW71" si="524">SUM(AU69:AV69)</f>
        <v>0</v>
      </c>
      <c r="AX69" s="91"/>
      <c r="AY69" s="91"/>
      <c r="AZ69" s="93">
        <f t="shared" ref="AZ69:AZ71" si="525">SUM(AX69:AY69)</f>
        <v>0</v>
      </c>
      <c r="BA69" s="92"/>
      <c r="BB69" s="91"/>
      <c r="BC69" s="93">
        <f t="shared" ref="BC69:BC71" si="526">SUM(BA69:BB69)</f>
        <v>0</v>
      </c>
      <c r="BD69" s="92"/>
      <c r="BE69" s="91"/>
      <c r="BF69" s="93">
        <f t="shared" ref="BF69:BF71" si="527">SUM(BD69:BE69)</f>
        <v>0</v>
      </c>
      <c r="BG69" s="92"/>
      <c r="BH69" s="91"/>
      <c r="BI69" s="93">
        <f t="shared" ref="BI69:BI71" si="528">SUM(BG69:BH69)</f>
        <v>0</v>
      </c>
      <c r="BJ69" s="92"/>
      <c r="BK69" s="91"/>
      <c r="BL69" s="93">
        <f t="shared" ref="BL69:BL71" si="529">SUM(BJ69:BK69)</f>
        <v>0</v>
      </c>
      <c r="BM69" s="92"/>
      <c r="BN69" s="91"/>
      <c r="BO69" s="93">
        <f t="shared" ref="BO69:BO71" si="530">SUM(BM69:BN69)</f>
        <v>0</v>
      </c>
      <c r="BP69" s="92"/>
      <c r="BQ69" s="91"/>
      <c r="BR69" s="93">
        <f t="shared" ref="BR69:BR71" si="531">SUM(BP69:BQ69)</f>
        <v>0</v>
      </c>
      <c r="BS69" s="92"/>
      <c r="BT69" s="91"/>
      <c r="BU69" s="93">
        <f t="shared" ref="BU69:BU71" si="532">SUM(BS69:BT69)</f>
        <v>0</v>
      </c>
      <c r="BV69" s="92"/>
      <c r="BW69" s="91"/>
      <c r="BX69" s="93">
        <f t="shared" ref="BX69:BX71" si="533">SUM(BV69:BW69)</f>
        <v>0</v>
      </c>
      <c r="BY69" s="92"/>
      <c r="BZ69" s="91"/>
      <c r="CA69" s="93">
        <f t="shared" ref="CA69:CA71" si="534">SUM(BY69:BZ69)</f>
        <v>0</v>
      </c>
      <c r="CB69" s="92"/>
      <c r="CC69" s="91"/>
      <c r="CD69" s="93">
        <f t="shared" ref="CD69:CD71" si="535">SUM(CB69:CC69)</f>
        <v>0</v>
      </c>
      <c r="CE69" s="438">
        <f t="shared" si="502"/>
        <v>0</v>
      </c>
      <c r="CF69" s="175">
        <f t="shared" si="503"/>
        <v>0</v>
      </c>
      <c r="CG69" s="439">
        <f t="shared" si="504"/>
        <v>0</v>
      </c>
      <c r="CH69" s="175"/>
      <c r="CI69" s="175"/>
      <c r="CJ69" s="93">
        <f t="shared" ref="CJ69:CJ71" si="536">SUM(CH69:CI69)</f>
        <v>0</v>
      </c>
      <c r="CK69" s="91"/>
      <c r="CL69" s="91"/>
      <c r="CM69" s="93">
        <f t="shared" ref="CM69:CM71" si="537">SUM(CK69:CL69)</f>
        <v>0</v>
      </c>
      <c r="CN69" s="92"/>
      <c r="CO69" s="91"/>
      <c r="CP69" s="93">
        <f t="shared" ref="CP69:CP71" si="538">SUM(CN69:CO69)</f>
        <v>0</v>
      </c>
      <c r="CQ69" s="92"/>
      <c r="CR69" s="91"/>
      <c r="CS69" s="93">
        <f t="shared" ref="CS69:CS71" si="539">SUM(CQ69:CR69)</f>
        <v>0</v>
      </c>
      <c r="CT69" s="92"/>
      <c r="CU69" s="91"/>
      <c r="CV69" s="93">
        <f t="shared" ref="CV69:CV71" si="540">SUM(CT69:CU69)</f>
        <v>0</v>
      </c>
      <c r="CW69" s="92"/>
      <c r="CX69" s="91"/>
      <c r="CY69" s="93">
        <f t="shared" ref="CY69:CY71" si="541">SUM(CW69:CX69)</f>
        <v>0</v>
      </c>
      <c r="CZ69" s="92"/>
      <c r="DA69" s="91"/>
      <c r="DB69" s="93">
        <f t="shared" ref="DB69:DB71" si="542">SUM(CZ69:DA69)</f>
        <v>0</v>
      </c>
      <c r="DC69" s="92"/>
      <c r="DD69" s="91"/>
      <c r="DE69" s="93">
        <f t="shared" ref="DE69:DE71" si="543">SUM(DC69:DD69)</f>
        <v>0</v>
      </c>
      <c r="DF69" s="92"/>
      <c r="DG69" s="91"/>
      <c r="DH69" s="93">
        <f t="shared" ref="DH69:DH71" si="544">SUM(DF69:DG69)</f>
        <v>0</v>
      </c>
      <c r="DI69" s="92"/>
      <c r="DJ69" s="91"/>
      <c r="DK69" s="93">
        <f t="shared" ref="DK69:DK71" si="545">SUM(DI69:DJ69)</f>
        <v>0</v>
      </c>
      <c r="DL69" s="92"/>
      <c r="DM69" s="91"/>
      <c r="DN69" s="93">
        <f t="shared" ref="DN69:DN71" si="546">SUM(DL69:DM69)</f>
        <v>0</v>
      </c>
      <c r="DO69" s="92"/>
      <c r="DP69" s="91"/>
      <c r="DQ69" s="93">
        <f t="shared" ref="DQ69:DQ71" si="547">SUM(DO69:DP69)</f>
        <v>0</v>
      </c>
      <c r="DR69" s="438">
        <f t="shared" si="505"/>
        <v>0</v>
      </c>
      <c r="DS69" s="175">
        <f t="shared" si="506"/>
        <v>0</v>
      </c>
      <c r="DT69" s="439">
        <f t="shared" si="507"/>
        <v>0</v>
      </c>
    </row>
    <row r="70" spans="1:124" ht="14.25" customHeight="1">
      <c r="A70" s="23"/>
      <c r="B70" s="87"/>
      <c r="C70" s="88"/>
      <c r="D70" s="89" t="s">
        <v>190</v>
      </c>
      <c r="E70" s="433"/>
      <c r="F70" s="91"/>
      <c r="G70" s="184">
        <f t="shared" si="508"/>
        <v>0</v>
      </c>
      <c r="H70" s="91"/>
      <c r="I70" s="91"/>
      <c r="J70" s="93">
        <f t="shared" si="509"/>
        <v>0</v>
      </c>
      <c r="K70" s="91"/>
      <c r="L70" s="91"/>
      <c r="M70" s="93">
        <f t="shared" si="510"/>
        <v>0</v>
      </c>
      <c r="N70" s="90"/>
      <c r="O70" s="91"/>
      <c r="P70" s="93">
        <f t="shared" si="511"/>
        <v>0</v>
      </c>
      <c r="Q70" s="90"/>
      <c r="R70" s="91"/>
      <c r="S70" s="93">
        <f t="shared" si="512"/>
        <v>0</v>
      </c>
      <c r="T70" s="90"/>
      <c r="U70" s="91"/>
      <c r="V70" s="93">
        <f t="shared" si="513"/>
        <v>0</v>
      </c>
      <c r="W70" s="90"/>
      <c r="X70" s="91"/>
      <c r="Y70" s="93">
        <f t="shared" si="514"/>
        <v>0</v>
      </c>
      <c r="Z70" s="90"/>
      <c r="AA70" s="91"/>
      <c r="AB70" s="93">
        <f t="shared" si="515"/>
        <v>0</v>
      </c>
      <c r="AC70" s="90"/>
      <c r="AD70" s="91"/>
      <c r="AE70" s="93">
        <f t="shared" si="516"/>
        <v>0</v>
      </c>
      <c r="AF70" s="90"/>
      <c r="AG70" s="91"/>
      <c r="AH70" s="93">
        <f t="shared" si="517"/>
        <v>0</v>
      </c>
      <c r="AI70" s="90"/>
      <c r="AJ70" s="91"/>
      <c r="AK70" s="93">
        <f t="shared" si="518"/>
        <v>0</v>
      </c>
      <c r="AL70" s="90"/>
      <c r="AM70" s="91"/>
      <c r="AN70" s="93">
        <f t="shared" si="519"/>
        <v>0</v>
      </c>
      <c r="AO70" s="90"/>
      <c r="AP70" s="91"/>
      <c r="AQ70" s="93">
        <f t="shared" si="520"/>
        <v>0</v>
      </c>
      <c r="AR70" s="433">
        <f t="shared" si="521"/>
        <v>0</v>
      </c>
      <c r="AS70" s="91">
        <f t="shared" si="522"/>
        <v>0</v>
      </c>
      <c r="AT70" s="184">
        <f t="shared" si="523"/>
        <v>0</v>
      </c>
      <c r="AU70" s="90"/>
      <c r="AV70" s="91"/>
      <c r="AW70" s="93">
        <f t="shared" si="524"/>
        <v>0</v>
      </c>
      <c r="AX70" s="91"/>
      <c r="AY70" s="91"/>
      <c r="AZ70" s="93">
        <f t="shared" si="525"/>
        <v>0</v>
      </c>
      <c r="BA70" s="90"/>
      <c r="BB70" s="91"/>
      <c r="BC70" s="93">
        <f t="shared" si="526"/>
        <v>0</v>
      </c>
      <c r="BD70" s="90"/>
      <c r="BE70" s="91"/>
      <c r="BF70" s="93">
        <f t="shared" si="527"/>
        <v>0</v>
      </c>
      <c r="BG70" s="90"/>
      <c r="BH70" s="91"/>
      <c r="BI70" s="93">
        <f t="shared" si="528"/>
        <v>0</v>
      </c>
      <c r="BJ70" s="90"/>
      <c r="BK70" s="91"/>
      <c r="BL70" s="93">
        <f t="shared" si="529"/>
        <v>0</v>
      </c>
      <c r="BM70" s="90"/>
      <c r="BN70" s="91"/>
      <c r="BO70" s="93">
        <f t="shared" si="530"/>
        <v>0</v>
      </c>
      <c r="BP70" s="90"/>
      <c r="BQ70" s="91"/>
      <c r="BR70" s="93">
        <f t="shared" si="531"/>
        <v>0</v>
      </c>
      <c r="BS70" s="90"/>
      <c r="BT70" s="91"/>
      <c r="BU70" s="93">
        <f t="shared" si="532"/>
        <v>0</v>
      </c>
      <c r="BV70" s="90"/>
      <c r="BW70" s="91"/>
      <c r="BX70" s="93">
        <f t="shared" si="533"/>
        <v>0</v>
      </c>
      <c r="BY70" s="90"/>
      <c r="BZ70" s="91"/>
      <c r="CA70" s="93">
        <f t="shared" si="534"/>
        <v>0</v>
      </c>
      <c r="CB70" s="90"/>
      <c r="CC70" s="91"/>
      <c r="CD70" s="93">
        <f t="shared" si="535"/>
        <v>0</v>
      </c>
      <c r="CE70" s="438">
        <f t="shared" si="502"/>
        <v>0</v>
      </c>
      <c r="CF70" s="175">
        <f t="shared" si="503"/>
        <v>0</v>
      </c>
      <c r="CG70" s="439">
        <f t="shared" si="504"/>
        <v>0</v>
      </c>
      <c r="CH70" s="91"/>
      <c r="CI70" s="91"/>
      <c r="CJ70" s="93">
        <f t="shared" si="536"/>
        <v>0</v>
      </c>
      <c r="CK70" s="91"/>
      <c r="CL70" s="91"/>
      <c r="CM70" s="93">
        <f t="shared" si="537"/>
        <v>0</v>
      </c>
      <c r="CN70" s="90"/>
      <c r="CO70" s="91"/>
      <c r="CP70" s="93">
        <f t="shared" si="538"/>
        <v>0</v>
      </c>
      <c r="CQ70" s="90"/>
      <c r="CR70" s="91"/>
      <c r="CS70" s="93">
        <f t="shared" si="539"/>
        <v>0</v>
      </c>
      <c r="CT70" s="90"/>
      <c r="CU70" s="91"/>
      <c r="CV70" s="93">
        <f t="shared" si="540"/>
        <v>0</v>
      </c>
      <c r="CW70" s="90"/>
      <c r="CX70" s="91"/>
      <c r="CY70" s="93">
        <f t="shared" si="541"/>
        <v>0</v>
      </c>
      <c r="CZ70" s="90"/>
      <c r="DA70" s="91"/>
      <c r="DB70" s="93">
        <f t="shared" si="542"/>
        <v>0</v>
      </c>
      <c r="DC70" s="90"/>
      <c r="DD70" s="91"/>
      <c r="DE70" s="93">
        <f t="shared" si="543"/>
        <v>0</v>
      </c>
      <c r="DF70" s="90"/>
      <c r="DG70" s="91"/>
      <c r="DH70" s="93">
        <f t="shared" si="544"/>
        <v>0</v>
      </c>
      <c r="DI70" s="90"/>
      <c r="DJ70" s="91"/>
      <c r="DK70" s="93">
        <f t="shared" si="545"/>
        <v>0</v>
      </c>
      <c r="DL70" s="90"/>
      <c r="DM70" s="91"/>
      <c r="DN70" s="93">
        <f t="shared" si="546"/>
        <v>0</v>
      </c>
      <c r="DO70" s="90"/>
      <c r="DP70" s="91"/>
      <c r="DQ70" s="93">
        <f t="shared" si="547"/>
        <v>0</v>
      </c>
      <c r="DR70" s="438">
        <f t="shared" si="505"/>
        <v>0</v>
      </c>
      <c r="DS70" s="175">
        <f t="shared" si="506"/>
        <v>0</v>
      </c>
      <c r="DT70" s="439">
        <f t="shared" si="507"/>
        <v>0</v>
      </c>
    </row>
    <row r="71" spans="1:124" ht="14.25" customHeight="1">
      <c r="A71" s="23"/>
      <c r="B71" s="87"/>
      <c r="C71" s="88"/>
      <c r="D71" s="89" t="s">
        <v>191</v>
      </c>
      <c r="E71" s="438"/>
      <c r="F71" s="175"/>
      <c r="G71" s="184">
        <f t="shared" si="508"/>
        <v>0</v>
      </c>
      <c r="H71" s="175"/>
      <c r="I71" s="175"/>
      <c r="J71" s="93">
        <f t="shared" si="509"/>
        <v>0</v>
      </c>
      <c r="K71" s="91"/>
      <c r="L71" s="91"/>
      <c r="M71" s="93">
        <f t="shared" si="510"/>
        <v>0</v>
      </c>
      <c r="N71" s="92"/>
      <c r="O71" s="91"/>
      <c r="P71" s="93">
        <f t="shared" si="511"/>
        <v>0</v>
      </c>
      <c r="Q71" s="92"/>
      <c r="R71" s="91"/>
      <c r="S71" s="93">
        <f t="shared" si="512"/>
        <v>0</v>
      </c>
      <c r="T71" s="92"/>
      <c r="U71" s="91"/>
      <c r="V71" s="93">
        <f t="shared" si="513"/>
        <v>0</v>
      </c>
      <c r="W71" s="92"/>
      <c r="X71" s="91"/>
      <c r="Y71" s="93">
        <f t="shared" si="514"/>
        <v>0</v>
      </c>
      <c r="Z71" s="92"/>
      <c r="AA71" s="91"/>
      <c r="AB71" s="93">
        <f t="shared" si="515"/>
        <v>0</v>
      </c>
      <c r="AC71" s="92"/>
      <c r="AD71" s="91"/>
      <c r="AE71" s="93">
        <f t="shared" si="516"/>
        <v>0</v>
      </c>
      <c r="AF71" s="92"/>
      <c r="AG71" s="91"/>
      <c r="AH71" s="93">
        <f t="shared" si="517"/>
        <v>0</v>
      </c>
      <c r="AI71" s="92"/>
      <c r="AJ71" s="91"/>
      <c r="AK71" s="93">
        <f t="shared" si="518"/>
        <v>0</v>
      </c>
      <c r="AL71" s="92"/>
      <c r="AM71" s="91"/>
      <c r="AN71" s="93">
        <f t="shared" si="519"/>
        <v>0</v>
      </c>
      <c r="AO71" s="92"/>
      <c r="AP71" s="91"/>
      <c r="AQ71" s="93">
        <f t="shared" si="520"/>
        <v>0</v>
      </c>
      <c r="AR71" s="438">
        <f t="shared" si="521"/>
        <v>0</v>
      </c>
      <c r="AS71" s="175">
        <f t="shared" si="522"/>
        <v>0</v>
      </c>
      <c r="AT71" s="184">
        <f t="shared" si="523"/>
        <v>0</v>
      </c>
      <c r="AU71" s="176"/>
      <c r="AV71" s="175"/>
      <c r="AW71" s="93">
        <f t="shared" si="524"/>
        <v>0</v>
      </c>
      <c r="AX71" s="91"/>
      <c r="AY71" s="91"/>
      <c r="AZ71" s="93">
        <f t="shared" si="525"/>
        <v>0</v>
      </c>
      <c r="BA71" s="92"/>
      <c r="BB71" s="91"/>
      <c r="BC71" s="93">
        <f t="shared" si="526"/>
        <v>0</v>
      </c>
      <c r="BD71" s="92"/>
      <c r="BE71" s="91"/>
      <c r="BF71" s="93">
        <f t="shared" si="527"/>
        <v>0</v>
      </c>
      <c r="BG71" s="92"/>
      <c r="BH71" s="91"/>
      <c r="BI71" s="93">
        <f t="shared" si="528"/>
        <v>0</v>
      </c>
      <c r="BJ71" s="92"/>
      <c r="BK71" s="91"/>
      <c r="BL71" s="93">
        <f t="shared" si="529"/>
        <v>0</v>
      </c>
      <c r="BM71" s="92"/>
      <c r="BN71" s="91"/>
      <c r="BO71" s="93">
        <f t="shared" si="530"/>
        <v>0</v>
      </c>
      <c r="BP71" s="92"/>
      <c r="BQ71" s="91"/>
      <c r="BR71" s="93">
        <f t="shared" si="531"/>
        <v>0</v>
      </c>
      <c r="BS71" s="92"/>
      <c r="BT71" s="91"/>
      <c r="BU71" s="93">
        <f t="shared" si="532"/>
        <v>0</v>
      </c>
      <c r="BV71" s="92"/>
      <c r="BW71" s="91"/>
      <c r="BX71" s="93">
        <f t="shared" si="533"/>
        <v>0</v>
      </c>
      <c r="BY71" s="92"/>
      <c r="BZ71" s="91"/>
      <c r="CA71" s="93">
        <f t="shared" si="534"/>
        <v>0</v>
      </c>
      <c r="CB71" s="92"/>
      <c r="CC71" s="91"/>
      <c r="CD71" s="93">
        <f t="shared" si="535"/>
        <v>0</v>
      </c>
      <c r="CE71" s="438">
        <f t="shared" si="502"/>
        <v>0</v>
      </c>
      <c r="CF71" s="175">
        <f t="shared" si="503"/>
        <v>0</v>
      </c>
      <c r="CG71" s="439">
        <f t="shared" si="504"/>
        <v>0</v>
      </c>
      <c r="CH71" s="175"/>
      <c r="CI71" s="175"/>
      <c r="CJ71" s="93">
        <f t="shared" si="536"/>
        <v>0</v>
      </c>
      <c r="CK71" s="91"/>
      <c r="CL71" s="91"/>
      <c r="CM71" s="93">
        <f t="shared" si="537"/>
        <v>0</v>
      </c>
      <c r="CN71" s="92"/>
      <c r="CO71" s="91"/>
      <c r="CP71" s="93">
        <f t="shared" si="538"/>
        <v>0</v>
      </c>
      <c r="CQ71" s="92"/>
      <c r="CR71" s="91"/>
      <c r="CS71" s="93">
        <f t="shared" si="539"/>
        <v>0</v>
      </c>
      <c r="CT71" s="92"/>
      <c r="CU71" s="91"/>
      <c r="CV71" s="93">
        <f t="shared" si="540"/>
        <v>0</v>
      </c>
      <c r="CW71" s="92"/>
      <c r="CX71" s="91"/>
      <c r="CY71" s="93">
        <f t="shared" si="541"/>
        <v>0</v>
      </c>
      <c r="CZ71" s="92"/>
      <c r="DA71" s="91"/>
      <c r="DB71" s="93">
        <f t="shared" si="542"/>
        <v>0</v>
      </c>
      <c r="DC71" s="92"/>
      <c r="DD71" s="91"/>
      <c r="DE71" s="93">
        <f t="shared" si="543"/>
        <v>0</v>
      </c>
      <c r="DF71" s="92"/>
      <c r="DG71" s="91"/>
      <c r="DH71" s="93">
        <f t="shared" si="544"/>
        <v>0</v>
      </c>
      <c r="DI71" s="92"/>
      <c r="DJ71" s="91"/>
      <c r="DK71" s="93">
        <f t="shared" si="545"/>
        <v>0</v>
      </c>
      <c r="DL71" s="92"/>
      <c r="DM71" s="91"/>
      <c r="DN71" s="93">
        <f t="shared" si="546"/>
        <v>0</v>
      </c>
      <c r="DO71" s="92"/>
      <c r="DP71" s="91"/>
      <c r="DQ71" s="93">
        <f t="shared" si="547"/>
        <v>0</v>
      </c>
      <c r="DR71" s="438">
        <f t="shared" si="505"/>
        <v>0</v>
      </c>
      <c r="DS71" s="175">
        <f t="shared" si="506"/>
        <v>0</v>
      </c>
      <c r="DT71" s="439">
        <f t="shared" si="507"/>
        <v>0</v>
      </c>
    </row>
    <row r="72" spans="1:124" ht="14.25" customHeight="1">
      <c r="A72" s="23"/>
      <c r="B72" s="87"/>
      <c r="C72" s="88"/>
      <c r="D72" s="89"/>
      <c r="E72" s="433"/>
      <c r="F72" s="91"/>
      <c r="G72" s="184"/>
      <c r="H72" s="91"/>
      <c r="I72" s="91"/>
      <c r="J72" s="93"/>
      <c r="K72" s="91"/>
      <c r="L72" s="91"/>
      <c r="M72" s="93"/>
      <c r="N72" s="92"/>
      <c r="O72" s="91"/>
      <c r="P72" s="93"/>
      <c r="Q72" s="92"/>
      <c r="R72" s="91"/>
      <c r="S72" s="93"/>
      <c r="T72" s="92"/>
      <c r="U72" s="91"/>
      <c r="V72" s="93"/>
      <c r="W72" s="92"/>
      <c r="X72" s="91"/>
      <c r="Y72" s="93"/>
      <c r="Z72" s="92"/>
      <c r="AA72" s="91"/>
      <c r="AB72" s="93"/>
      <c r="AC72" s="92"/>
      <c r="AD72" s="91"/>
      <c r="AE72" s="93"/>
      <c r="AF72" s="92"/>
      <c r="AG72" s="91"/>
      <c r="AH72" s="93"/>
      <c r="AI72" s="92"/>
      <c r="AJ72" s="91"/>
      <c r="AK72" s="93"/>
      <c r="AL72" s="92"/>
      <c r="AM72" s="91"/>
      <c r="AN72" s="93"/>
      <c r="AO72" s="92"/>
      <c r="AP72" s="91"/>
      <c r="AQ72" s="93"/>
      <c r="AR72" s="433"/>
      <c r="AS72" s="91"/>
      <c r="AT72" s="184"/>
      <c r="AU72" s="92"/>
      <c r="AV72" s="91"/>
      <c r="AW72" s="93"/>
      <c r="AX72" s="92"/>
      <c r="AY72" s="91"/>
      <c r="AZ72" s="93"/>
      <c r="BA72" s="92"/>
      <c r="BB72" s="91"/>
      <c r="BC72" s="93"/>
      <c r="BD72" s="92"/>
      <c r="BE72" s="91"/>
      <c r="BF72" s="93"/>
      <c r="BG72" s="92"/>
      <c r="BH72" s="91"/>
      <c r="BI72" s="93"/>
      <c r="BJ72" s="92"/>
      <c r="BK72" s="91"/>
      <c r="BL72" s="93"/>
      <c r="BM72" s="92"/>
      <c r="BN72" s="91"/>
      <c r="BO72" s="93"/>
      <c r="BP72" s="92"/>
      <c r="BQ72" s="91"/>
      <c r="BR72" s="93"/>
      <c r="BS72" s="92"/>
      <c r="BT72" s="91"/>
      <c r="BU72" s="93"/>
      <c r="BV72" s="92"/>
      <c r="BW72" s="91"/>
      <c r="BX72" s="93"/>
      <c r="BY72" s="92"/>
      <c r="BZ72" s="91"/>
      <c r="CA72" s="93"/>
      <c r="CB72" s="92"/>
      <c r="CC72" s="91"/>
      <c r="CD72" s="93"/>
      <c r="CE72" s="433"/>
      <c r="CF72" s="91"/>
      <c r="CG72" s="184"/>
      <c r="CH72" s="91"/>
      <c r="CI72" s="91"/>
      <c r="CJ72" s="93"/>
      <c r="CK72" s="90"/>
      <c r="CL72" s="91"/>
      <c r="CM72" s="93"/>
      <c r="CN72" s="90"/>
      <c r="CO72" s="91"/>
      <c r="CP72" s="93"/>
      <c r="CQ72" s="90"/>
      <c r="CR72" s="91"/>
      <c r="CS72" s="93"/>
      <c r="CT72" s="90"/>
      <c r="CU72" s="91"/>
      <c r="CV72" s="93"/>
      <c r="CW72" s="90"/>
      <c r="CX72" s="91"/>
      <c r="CY72" s="93"/>
      <c r="CZ72" s="90"/>
      <c r="DA72" s="91"/>
      <c r="DB72" s="93"/>
      <c r="DC72" s="90"/>
      <c r="DD72" s="91"/>
      <c r="DE72" s="93"/>
      <c r="DF72" s="90"/>
      <c r="DG72" s="91"/>
      <c r="DH72" s="93"/>
      <c r="DI72" s="90"/>
      <c r="DJ72" s="91"/>
      <c r="DK72" s="93"/>
      <c r="DL72" s="90"/>
      <c r="DM72" s="91"/>
      <c r="DN72" s="93"/>
      <c r="DO72" s="90"/>
      <c r="DP72" s="91"/>
      <c r="DQ72" s="93"/>
      <c r="DR72" s="433"/>
      <c r="DS72" s="91"/>
      <c r="DT72" s="184"/>
    </row>
    <row r="73" spans="1:124" ht="14.25" customHeight="1">
      <c r="A73" s="23"/>
      <c r="B73" s="103"/>
      <c r="C73" s="104" t="s">
        <v>4</v>
      </c>
      <c r="D73" s="105" t="s">
        <v>237</v>
      </c>
      <c r="E73" s="436" t="str">
        <f t="shared" ref="E73:AJ73" si="548">IFERROR(E61/E67,"-")</f>
        <v>-</v>
      </c>
      <c r="F73" s="172" t="str">
        <f t="shared" si="548"/>
        <v>-</v>
      </c>
      <c r="G73" s="437" t="str">
        <f t="shared" si="548"/>
        <v>-</v>
      </c>
      <c r="H73" s="172" t="str">
        <f t="shared" si="548"/>
        <v>-</v>
      </c>
      <c r="I73" s="172" t="str">
        <f t="shared" si="548"/>
        <v>-</v>
      </c>
      <c r="J73" s="548" t="str">
        <f t="shared" si="548"/>
        <v>-</v>
      </c>
      <c r="K73" s="172" t="str">
        <f t="shared" si="548"/>
        <v>-</v>
      </c>
      <c r="L73" s="172" t="str">
        <f t="shared" si="548"/>
        <v>-</v>
      </c>
      <c r="M73" s="548" t="str">
        <f t="shared" si="548"/>
        <v>-</v>
      </c>
      <c r="N73" s="173" t="str">
        <f t="shared" si="548"/>
        <v>-</v>
      </c>
      <c r="O73" s="172" t="str">
        <f t="shared" si="548"/>
        <v>-</v>
      </c>
      <c r="P73" s="548" t="str">
        <f t="shared" si="548"/>
        <v>-</v>
      </c>
      <c r="Q73" s="173" t="str">
        <f t="shared" si="548"/>
        <v>-</v>
      </c>
      <c r="R73" s="172" t="str">
        <f t="shared" si="548"/>
        <v>-</v>
      </c>
      <c r="S73" s="548" t="str">
        <f t="shared" si="548"/>
        <v>-</v>
      </c>
      <c r="T73" s="173" t="str">
        <f t="shared" si="548"/>
        <v>-</v>
      </c>
      <c r="U73" s="172" t="str">
        <f t="shared" si="548"/>
        <v>-</v>
      </c>
      <c r="V73" s="548" t="str">
        <f t="shared" si="548"/>
        <v>-</v>
      </c>
      <c r="W73" s="173" t="str">
        <f t="shared" si="548"/>
        <v>-</v>
      </c>
      <c r="X73" s="172" t="str">
        <f t="shared" si="548"/>
        <v>-</v>
      </c>
      <c r="Y73" s="548" t="str">
        <f t="shared" si="548"/>
        <v>-</v>
      </c>
      <c r="Z73" s="173" t="str">
        <f t="shared" si="548"/>
        <v>-</v>
      </c>
      <c r="AA73" s="172" t="str">
        <f t="shared" si="548"/>
        <v>-</v>
      </c>
      <c r="AB73" s="548" t="str">
        <f t="shared" si="548"/>
        <v>-</v>
      </c>
      <c r="AC73" s="173" t="str">
        <f t="shared" si="548"/>
        <v>-</v>
      </c>
      <c r="AD73" s="172" t="str">
        <f t="shared" si="548"/>
        <v>-</v>
      </c>
      <c r="AE73" s="548" t="str">
        <f t="shared" si="548"/>
        <v>-</v>
      </c>
      <c r="AF73" s="173" t="str">
        <f t="shared" si="548"/>
        <v>-</v>
      </c>
      <c r="AG73" s="172" t="str">
        <f t="shared" si="548"/>
        <v>-</v>
      </c>
      <c r="AH73" s="548" t="str">
        <f t="shared" si="548"/>
        <v>-</v>
      </c>
      <c r="AI73" s="173" t="str">
        <f t="shared" si="548"/>
        <v>-</v>
      </c>
      <c r="AJ73" s="172" t="str">
        <f t="shared" si="548"/>
        <v>-</v>
      </c>
      <c r="AK73" s="548" t="str">
        <f t="shared" ref="AK73:BP73" si="549">IFERROR(AK61/AK67,"-")</f>
        <v>-</v>
      </c>
      <c r="AL73" s="173" t="str">
        <f t="shared" si="549"/>
        <v>-</v>
      </c>
      <c r="AM73" s="172" t="str">
        <f t="shared" si="549"/>
        <v>-</v>
      </c>
      <c r="AN73" s="548" t="str">
        <f t="shared" si="549"/>
        <v>-</v>
      </c>
      <c r="AO73" s="173" t="str">
        <f t="shared" si="549"/>
        <v>-</v>
      </c>
      <c r="AP73" s="172" t="str">
        <f t="shared" si="549"/>
        <v>-</v>
      </c>
      <c r="AQ73" s="548" t="str">
        <f t="shared" si="549"/>
        <v>-</v>
      </c>
      <c r="AR73" s="436" t="str">
        <f t="shared" si="549"/>
        <v>-</v>
      </c>
      <c r="AS73" s="172" t="str">
        <f t="shared" si="549"/>
        <v>-</v>
      </c>
      <c r="AT73" s="437" t="str">
        <f t="shared" si="549"/>
        <v>-</v>
      </c>
      <c r="AU73" s="173" t="str">
        <f t="shared" si="549"/>
        <v>-</v>
      </c>
      <c r="AV73" s="172" t="str">
        <f t="shared" si="549"/>
        <v>-</v>
      </c>
      <c r="AW73" s="548" t="str">
        <f t="shared" si="549"/>
        <v>-</v>
      </c>
      <c r="AX73" s="173" t="str">
        <f t="shared" si="549"/>
        <v>-</v>
      </c>
      <c r="AY73" s="172" t="str">
        <f t="shared" si="549"/>
        <v>-</v>
      </c>
      <c r="AZ73" s="548" t="str">
        <f t="shared" si="549"/>
        <v>-</v>
      </c>
      <c r="BA73" s="173" t="str">
        <f t="shared" si="549"/>
        <v>-</v>
      </c>
      <c r="BB73" s="172" t="str">
        <f t="shared" si="549"/>
        <v>-</v>
      </c>
      <c r="BC73" s="548" t="str">
        <f t="shared" si="549"/>
        <v>-</v>
      </c>
      <c r="BD73" s="173" t="str">
        <f t="shared" si="549"/>
        <v>-</v>
      </c>
      <c r="BE73" s="172" t="str">
        <f t="shared" si="549"/>
        <v>-</v>
      </c>
      <c r="BF73" s="548" t="str">
        <f t="shared" si="549"/>
        <v>-</v>
      </c>
      <c r="BG73" s="173" t="str">
        <f t="shared" si="549"/>
        <v>-</v>
      </c>
      <c r="BH73" s="172" t="str">
        <f t="shared" si="549"/>
        <v>-</v>
      </c>
      <c r="BI73" s="548" t="str">
        <f t="shared" si="549"/>
        <v>-</v>
      </c>
      <c r="BJ73" s="173" t="str">
        <f t="shared" si="549"/>
        <v>-</v>
      </c>
      <c r="BK73" s="172" t="str">
        <f t="shared" si="549"/>
        <v>-</v>
      </c>
      <c r="BL73" s="548" t="str">
        <f t="shared" si="549"/>
        <v>-</v>
      </c>
      <c r="BM73" s="173" t="str">
        <f t="shared" si="549"/>
        <v>-</v>
      </c>
      <c r="BN73" s="172" t="str">
        <f t="shared" si="549"/>
        <v>-</v>
      </c>
      <c r="BO73" s="548" t="str">
        <f t="shared" si="549"/>
        <v>-</v>
      </c>
      <c r="BP73" s="173" t="str">
        <f t="shared" si="549"/>
        <v>-</v>
      </c>
      <c r="BQ73" s="172" t="str">
        <f t="shared" ref="BQ73:CV73" si="550">IFERROR(BQ61/BQ67,"-")</f>
        <v>-</v>
      </c>
      <c r="BR73" s="548" t="str">
        <f t="shared" si="550"/>
        <v>-</v>
      </c>
      <c r="BS73" s="173" t="str">
        <f t="shared" si="550"/>
        <v>-</v>
      </c>
      <c r="BT73" s="172" t="str">
        <f t="shared" si="550"/>
        <v>-</v>
      </c>
      <c r="BU73" s="548" t="str">
        <f t="shared" si="550"/>
        <v>-</v>
      </c>
      <c r="BV73" s="173" t="str">
        <f t="shared" si="550"/>
        <v>-</v>
      </c>
      <c r="BW73" s="172" t="str">
        <f t="shared" si="550"/>
        <v>-</v>
      </c>
      <c r="BX73" s="548" t="str">
        <f t="shared" si="550"/>
        <v>-</v>
      </c>
      <c r="BY73" s="173" t="str">
        <f t="shared" si="550"/>
        <v>-</v>
      </c>
      <c r="BZ73" s="172" t="str">
        <f t="shared" si="550"/>
        <v>-</v>
      </c>
      <c r="CA73" s="548" t="str">
        <f t="shared" si="550"/>
        <v>-</v>
      </c>
      <c r="CB73" s="173" t="str">
        <f t="shared" si="550"/>
        <v>-</v>
      </c>
      <c r="CC73" s="172" t="str">
        <f t="shared" si="550"/>
        <v>-</v>
      </c>
      <c r="CD73" s="548" t="str">
        <f t="shared" si="550"/>
        <v>-</v>
      </c>
      <c r="CE73" s="436" t="str">
        <f t="shared" si="550"/>
        <v>-</v>
      </c>
      <c r="CF73" s="172" t="str">
        <f t="shared" si="550"/>
        <v>-</v>
      </c>
      <c r="CG73" s="437" t="str">
        <f t="shared" si="550"/>
        <v>-</v>
      </c>
      <c r="CH73" s="172" t="str">
        <f t="shared" si="550"/>
        <v>-</v>
      </c>
      <c r="CI73" s="172" t="str">
        <f t="shared" si="550"/>
        <v>-</v>
      </c>
      <c r="CJ73" s="548" t="str">
        <f t="shared" si="550"/>
        <v>-</v>
      </c>
      <c r="CK73" s="171" t="str">
        <f t="shared" si="550"/>
        <v>-</v>
      </c>
      <c r="CL73" s="172" t="str">
        <f t="shared" si="550"/>
        <v>-</v>
      </c>
      <c r="CM73" s="548" t="str">
        <f t="shared" si="550"/>
        <v>-</v>
      </c>
      <c r="CN73" s="171" t="str">
        <f t="shared" si="550"/>
        <v>-</v>
      </c>
      <c r="CO73" s="172" t="str">
        <f t="shared" si="550"/>
        <v>-</v>
      </c>
      <c r="CP73" s="548" t="str">
        <f t="shared" si="550"/>
        <v>-</v>
      </c>
      <c r="CQ73" s="171" t="str">
        <f t="shared" si="550"/>
        <v>-</v>
      </c>
      <c r="CR73" s="172" t="str">
        <f t="shared" si="550"/>
        <v>-</v>
      </c>
      <c r="CS73" s="548" t="str">
        <f t="shared" si="550"/>
        <v>-</v>
      </c>
      <c r="CT73" s="171" t="str">
        <f t="shared" si="550"/>
        <v>-</v>
      </c>
      <c r="CU73" s="172" t="str">
        <f t="shared" si="550"/>
        <v>-</v>
      </c>
      <c r="CV73" s="548" t="str">
        <f t="shared" si="550"/>
        <v>-</v>
      </c>
      <c r="CW73" s="171" t="str">
        <f t="shared" ref="CW73:DT73" si="551">IFERROR(CW61/CW67,"-")</f>
        <v>-</v>
      </c>
      <c r="CX73" s="172" t="str">
        <f t="shared" si="551"/>
        <v>-</v>
      </c>
      <c r="CY73" s="548" t="str">
        <f t="shared" si="551"/>
        <v>-</v>
      </c>
      <c r="CZ73" s="171" t="str">
        <f t="shared" si="551"/>
        <v>-</v>
      </c>
      <c r="DA73" s="172" t="str">
        <f t="shared" si="551"/>
        <v>-</v>
      </c>
      <c r="DB73" s="548" t="str">
        <f t="shared" si="551"/>
        <v>-</v>
      </c>
      <c r="DC73" s="171" t="str">
        <f t="shared" si="551"/>
        <v>-</v>
      </c>
      <c r="DD73" s="172" t="str">
        <f t="shared" si="551"/>
        <v>-</v>
      </c>
      <c r="DE73" s="548" t="str">
        <f t="shared" si="551"/>
        <v>-</v>
      </c>
      <c r="DF73" s="171" t="str">
        <f t="shared" si="551"/>
        <v>-</v>
      </c>
      <c r="DG73" s="172" t="str">
        <f t="shared" si="551"/>
        <v>-</v>
      </c>
      <c r="DH73" s="548" t="str">
        <f t="shared" si="551"/>
        <v>-</v>
      </c>
      <c r="DI73" s="171" t="str">
        <f t="shared" si="551"/>
        <v>-</v>
      </c>
      <c r="DJ73" s="172" t="str">
        <f t="shared" si="551"/>
        <v>-</v>
      </c>
      <c r="DK73" s="548" t="str">
        <f t="shared" si="551"/>
        <v>-</v>
      </c>
      <c r="DL73" s="171" t="str">
        <f t="shared" si="551"/>
        <v>-</v>
      </c>
      <c r="DM73" s="172" t="str">
        <f t="shared" si="551"/>
        <v>-</v>
      </c>
      <c r="DN73" s="548" t="str">
        <f t="shared" si="551"/>
        <v>-</v>
      </c>
      <c r="DO73" s="171" t="str">
        <f t="shared" si="551"/>
        <v>-</v>
      </c>
      <c r="DP73" s="172" t="str">
        <f t="shared" si="551"/>
        <v>-</v>
      </c>
      <c r="DQ73" s="548" t="str">
        <f t="shared" si="551"/>
        <v>-</v>
      </c>
      <c r="DR73" s="436" t="str">
        <f t="shared" si="551"/>
        <v>-</v>
      </c>
      <c r="DS73" s="172" t="str">
        <f t="shared" si="551"/>
        <v>-</v>
      </c>
      <c r="DT73" s="437" t="str">
        <f t="shared" si="551"/>
        <v>-</v>
      </c>
    </row>
    <row r="74" spans="1:124" ht="14.25" customHeight="1">
      <c r="A74" s="23"/>
      <c r="B74" s="87"/>
      <c r="C74" s="88"/>
      <c r="D74" s="89" t="s">
        <v>188</v>
      </c>
      <c r="E74" s="433" t="str">
        <f t="shared" ref="E74:AJ74" si="552">IFERROR(E62/E68,"-")</f>
        <v>-</v>
      </c>
      <c r="F74" s="91" t="str">
        <f t="shared" si="552"/>
        <v>-</v>
      </c>
      <c r="G74" s="184" t="str">
        <f t="shared" si="552"/>
        <v>-</v>
      </c>
      <c r="H74" s="91" t="str">
        <f t="shared" si="552"/>
        <v>-</v>
      </c>
      <c r="I74" s="91" t="str">
        <f t="shared" si="552"/>
        <v>-</v>
      </c>
      <c r="J74" s="93" t="str">
        <f t="shared" si="552"/>
        <v>-</v>
      </c>
      <c r="K74" s="91" t="str">
        <f t="shared" si="552"/>
        <v>-</v>
      </c>
      <c r="L74" s="91" t="str">
        <f t="shared" si="552"/>
        <v>-</v>
      </c>
      <c r="M74" s="93" t="str">
        <f t="shared" si="552"/>
        <v>-</v>
      </c>
      <c r="N74" s="92" t="str">
        <f t="shared" si="552"/>
        <v>-</v>
      </c>
      <c r="O74" s="91" t="str">
        <f t="shared" si="552"/>
        <v>-</v>
      </c>
      <c r="P74" s="93" t="str">
        <f t="shared" si="552"/>
        <v>-</v>
      </c>
      <c r="Q74" s="92" t="str">
        <f t="shared" si="552"/>
        <v>-</v>
      </c>
      <c r="R74" s="91" t="str">
        <f t="shared" si="552"/>
        <v>-</v>
      </c>
      <c r="S74" s="93" t="str">
        <f t="shared" si="552"/>
        <v>-</v>
      </c>
      <c r="T74" s="92" t="str">
        <f t="shared" si="552"/>
        <v>-</v>
      </c>
      <c r="U74" s="91" t="str">
        <f t="shared" si="552"/>
        <v>-</v>
      </c>
      <c r="V74" s="93" t="str">
        <f t="shared" si="552"/>
        <v>-</v>
      </c>
      <c r="W74" s="92" t="str">
        <f t="shared" si="552"/>
        <v>-</v>
      </c>
      <c r="X74" s="91" t="str">
        <f t="shared" si="552"/>
        <v>-</v>
      </c>
      <c r="Y74" s="93" t="str">
        <f t="shared" si="552"/>
        <v>-</v>
      </c>
      <c r="Z74" s="92" t="str">
        <f t="shared" si="552"/>
        <v>-</v>
      </c>
      <c r="AA74" s="91" t="str">
        <f t="shared" si="552"/>
        <v>-</v>
      </c>
      <c r="AB74" s="93" t="str">
        <f t="shared" si="552"/>
        <v>-</v>
      </c>
      <c r="AC74" s="92" t="str">
        <f t="shared" si="552"/>
        <v>-</v>
      </c>
      <c r="AD74" s="91" t="str">
        <f t="shared" si="552"/>
        <v>-</v>
      </c>
      <c r="AE74" s="93" t="str">
        <f t="shared" si="552"/>
        <v>-</v>
      </c>
      <c r="AF74" s="92" t="str">
        <f t="shared" si="552"/>
        <v>-</v>
      </c>
      <c r="AG74" s="91" t="str">
        <f t="shared" si="552"/>
        <v>-</v>
      </c>
      <c r="AH74" s="93" t="str">
        <f t="shared" si="552"/>
        <v>-</v>
      </c>
      <c r="AI74" s="92" t="str">
        <f t="shared" si="552"/>
        <v>-</v>
      </c>
      <c r="AJ74" s="91" t="str">
        <f t="shared" si="552"/>
        <v>-</v>
      </c>
      <c r="AK74" s="93" t="str">
        <f t="shared" ref="AK74:BP74" si="553">IFERROR(AK62/AK68,"-")</f>
        <v>-</v>
      </c>
      <c r="AL74" s="92" t="str">
        <f t="shared" si="553"/>
        <v>-</v>
      </c>
      <c r="AM74" s="91" t="str">
        <f t="shared" si="553"/>
        <v>-</v>
      </c>
      <c r="AN74" s="93" t="str">
        <f t="shared" si="553"/>
        <v>-</v>
      </c>
      <c r="AO74" s="92" t="str">
        <f t="shared" si="553"/>
        <v>-</v>
      </c>
      <c r="AP74" s="91" t="str">
        <f t="shared" si="553"/>
        <v>-</v>
      </c>
      <c r="AQ74" s="93" t="str">
        <f t="shared" si="553"/>
        <v>-</v>
      </c>
      <c r="AR74" s="433" t="str">
        <f t="shared" si="553"/>
        <v>-</v>
      </c>
      <c r="AS74" s="91" t="str">
        <f t="shared" si="553"/>
        <v>-</v>
      </c>
      <c r="AT74" s="184" t="str">
        <f t="shared" si="553"/>
        <v>-</v>
      </c>
      <c r="AU74" s="92" t="str">
        <f t="shared" si="553"/>
        <v>-</v>
      </c>
      <c r="AV74" s="91" t="str">
        <f t="shared" si="553"/>
        <v>-</v>
      </c>
      <c r="AW74" s="93" t="str">
        <f t="shared" si="553"/>
        <v>-</v>
      </c>
      <c r="AX74" s="92" t="str">
        <f t="shared" si="553"/>
        <v>-</v>
      </c>
      <c r="AY74" s="91" t="str">
        <f t="shared" si="553"/>
        <v>-</v>
      </c>
      <c r="AZ74" s="93" t="str">
        <f t="shared" si="553"/>
        <v>-</v>
      </c>
      <c r="BA74" s="92" t="str">
        <f t="shared" si="553"/>
        <v>-</v>
      </c>
      <c r="BB74" s="91" t="str">
        <f t="shared" si="553"/>
        <v>-</v>
      </c>
      <c r="BC74" s="93" t="str">
        <f t="shared" si="553"/>
        <v>-</v>
      </c>
      <c r="BD74" s="92" t="str">
        <f t="shared" si="553"/>
        <v>-</v>
      </c>
      <c r="BE74" s="91" t="str">
        <f t="shared" si="553"/>
        <v>-</v>
      </c>
      <c r="BF74" s="93" t="str">
        <f t="shared" si="553"/>
        <v>-</v>
      </c>
      <c r="BG74" s="92" t="str">
        <f t="shared" si="553"/>
        <v>-</v>
      </c>
      <c r="BH74" s="91" t="str">
        <f t="shared" si="553"/>
        <v>-</v>
      </c>
      <c r="BI74" s="93" t="str">
        <f t="shared" si="553"/>
        <v>-</v>
      </c>
      <c r="BJ74" s="92" t="str">
        <f t="shared" si="553"/>
        <v>-</v>
      </c>
      <c r="BK74" s="91" t="str">
        <f t="shared" si="553"/>
        <v>-</v>
      </c>
      <c r="BL74" s="93" t="str">
        <f t="shared" si="553"/>
        <v>-</v>
      </c>
      <c r="BM74" s="92" t="str">
        <f t="shared" si="553"/>
        <v>-</v>
      </c>
      <c r="BN74" s="91" t="str">
        <f t="shared" si="553"/>
        <v>-</v>
      </c>
      <c r="BO74" s="93" t="str">
        <f t="shared" si="553"/>
        <v>-</v>
      </c>
      <c r="BP74" s="92" t="str">
        <f t="shared" si="553"/>
        <v>-</v>
      </c>
      <c r="BQ74" s="91" t="str">
        <f t="shared" ref="BQ74:CV74" si="554">IFERROR(BQ62/BQ68,"-")</f>
        <v>-</v>
      </c>
      <c r="BR74" s="93" t="str">
        <f t="shared" si="554"/>
        <v>-</v>
      </c>
      <c r="BS74" s="92" t="str">
        <f t="shared" si="554"/>
        <v>-</v>
      </c>
      <c r="BT74" s="91" t="str">
        <f t="shared" si="554"/>
        <v>-</v>
      </c>
      <c r="BU74" s="93" t="str">
        <f t="shared" si="554"/>
        <v>-</v>
      </c>
      <c r="BV74" s="92" t="str">
        <f t="shared" si="554"/>
        <v>-</v>
      </c>
      <c r="BW74" s="91" t="str">
        <f t="shared" si="554"/>
        <v>-</v>
      </c>
      <c r="BX74" s="93" t="str">
        <f t="shared" si="554"/>
        <v>-</v>
      </c>
      <c r="BY74" s="92" t="str">
        <f t="shared" si="554"/>
        <v>-</v>
      </c>
      <c r="BZ74" s="91" t="str">
        <f t="shared" si="554"/>
        <v>-</v>
      </c>
      <c r="CA74" s="93" t="str">
        <f t="shared" si="554"/>
        <v>-</v>
      </c>
      <c r="CB74" s="92" t="str">
        <f t="shared" si="554"/>
        <v>-</v>
      </c>
      <c r="CC74" s="91" t="str">
        <f t="shared" si="554"/>
        <v>-</v>
      </c>
      <c r="CD74" s="93" t="str">
        <f t="shared" si="554"/>
        <v>-</v>
      </c>
      <c r="CE74" s="433" t="str">
        <f t="shared" si="554"/>
        <v>-</v>
      </c>
      <c r="CF74" s="91" t="str">
        <f t="shared" si="554"/>
        <v>-</v>
      </c>
      <c r="CG74" s="184" t="str">
        <f t="shared" si="554"/>
        <v>-</v>
      </c>
      <c r="CH74" s="91" t="str">
        <f t="shared" si="554"/>
        <v>-</v>
      </c>
      <c r="CI74" s="91" t="str">
        <f t="shared" si="554"/>
        <v>-</v>
      </c>
      <c r="CJ74" s="93" t="str">
        <f t="shared" si="554"/>
        <v>-</v>
      </c>
      <c r="CK74" s="90" t="str">
        <f t="shared" si="554"/>
        <v>-</v>
      </c>
      <c r="CL74" s="91" t="str">
        <f t="shared" si="554"/>
        <v>-</v>
      </c>
      <c r="CM74" s="93" t="str">
        <f t="shared" si="554"/>
        <v>-</v>
      </c>
      <c r="CN74" s="90" t="str">
        <f t="shared" si="554"/>
        <v>-</v>
      </c>
      <c r="CO74" s="91" t="str">
        <f t="shared" si="554"/>
        <v>-</v>
      </c>
      <c r="CP74" s="93" t="str">
        <f t="shared" si="554"/>
        <v>-</v>
      </c>
      <c r="CQ74" s="90" t="str">
        <f t="shared" si="554"/>
        <v>-</v>
      </c>
      <c r="CR74" s="91" t="str">
        <f t="shared" si="554"/>
        <v>-</v>
      </c>
      <c r="CS74" s="93" t="str">
        <f t="shared" si="554"/>
        <v>-</v>
      </c>
      <c r="CT74" s="90" t="str">
        <f t="shared" si="554"/>
        <v>-</v>
      </c>
      <c r="CU74" s="91" t="str">
        <f t="shared" si="554"/>
        <v>-</v>
      </c>
      <c r="CV74" s="93" t="str">
        <f t="shared" si="554"/>
        <v>-</v>
      </c>
      <c r="CW74" s="90" t="str">
        <f t="shared" ref="CW74:DT74" si="555">IFERROR(CW62/CW68,"-")</f>
        <v>-</v>
      </c>
      <c r="CX74" s="91" t="str">
        <f t="shared" si="555"/>
        <v>-</v>
      </c>
      <c r="CY74" s="93" t="str">
        <f t="shared" si="555"/>
        <v>-</v>
      </c>
      <c r="CZ74" s="90" t="str">
        <f t="shared" si="555"/>
        <v>-</v>
      </c>
      <c r="DA74" s="91" t="str">
        <f t="shared" si="555"/>
        <v>-</v>
      </c>
      <c r="DB74" s="93" t="str">
        <f t="shared" si="555"/>
        <v>-</v>
      </c>
      <c r="DC74" s="90" t="str">
        <f t="shared" si="555"/>
        <v>-</v>
      </c>
      <c r="DD74" s="91" t="str">
        <f t="shared" si="555"/>
        <v>-</v>
      </c>
      <c r="DE74" s="93" t="str">
        <f t="shared" si="555"/>
        <v>-</v>
      </c>
      <c r="DF74" s="90" t="str">
        <f t="shared" si="555"/>
        <v>-</v>
      </c>
      <c r="DG74" s="91" t="str">
        <f t="shared" si="555"/>
        <v>-</v>
      </c>
      <c r="DH74" s="93" t="str">
        <f t="shared" si="555"/>
        <v>-</v>
      </c>
      <c r="DI74" s="90" t="str">
        <f t="shared" si="555"/>
        <v>-</v>
      </c>
      <c r="DJ74" s="91" t="str">
        <f t="shared" si="555"/>
        <v>-</v>
      </c>
      <c r="DK74" s="93" t="str">
        <f t="shared" si="555"/>
        <v>-</v>
      </c>
      <c r="DL74" s="90" t="str">
        <f t="shared" si="555"/>
        <v>-</v>
      </c>
      <c r="DM74" s="91" t="str">
        <f t="shared" si="555"/>
        <v>-</v>
      </c>
      <c r="DN74" s="93" t="str">
        <f t="shared" si="555"/>
        <v>-</v>
      </c>
      <c r="DO74" s="90" t="str">
        <f t="shared" si="555"/>
        <v>-</v>
      </c>
      <c r="DP74" s="91" t="str">
        <f t="shared" si="555"/>
        <v>-</v>
      </c>
      <c r="DQ74" s="93" t="str">
        <f t="shared" si="555"/>
        <v>-</v>
      </c>
      <c r="DR74" s="433" t="str">
        <f t="shared" si="555"/>
        <v>-</v>
      </c>
      <c r="DS74" s="91" t="str">
        <f t="shared" si="555"/>
        <v>-</v>
      </c>
      <c r="DT74" s="184" t="str">
        <f t="shared" si="555"/>
        <v>-</v>
      </c>
    </row>
    <row r="75" spans="1:124" ht="14.25" customHeight="1">
      <c r="A75" s="23"/>
      <c r="B75" s="87"/>
      <c r="C75" s="88"/>
      <c r="D75" s="89" t="s">
        <v>189</v>
      </c>
      <c r="E75" s="433" t="str">
        <f t="shared" ref="E75:AJ75" si="556">IFERROR(E63/E69,"-")</f>
        <v>-</v>
      </c>
      <c r="F75" s="91" t="str">
        <f t="shared" si="556"/>
        <v>-</v>
      </c>
      <c r="G75" s="184" t="str">
        <f t="shared" si="556"/>
        <v>-</v>
      </c>
      <c r="H75" s="91" t="str">
        <f t="shared" si="556"/>
        <v>-</v>
      </c>
      <c r="I75" s="91" t="str">
        <f t="shared" si="556"/>
        <v>-</v>
      </c>
      <c r="J75" s="93" t="str">
        <f t="shared" si="556"/>
        <v>-</v>
      </c>
      <c r="K75" s="91" t="str">
        <f t="shared" si="556"/>
        <v>-</v>
      </c>
      <c r="L75" s="91" t="str">
        <f t="shared" si="556"/>
        <v>-</v>
      </c>
      <c r="M75" s="93" t="str">
        <f t="shared" si="556"/>
        <v>-</v>
      </c>
      <c r="N75" s="92" t="str">
        <f t="shared" si="556"/>
        <v>-</v>
      </c>
      <c r="O75" s="91" t="str">
        <f t="shared" si="556"/>
        <v>-</v>
      </c>
      <c r="P75" s="93" t="str">
        <f t="shared" si="556"/>
        <v>-</v>
      </c>
      <c r="Q75" s="92" t="str">
        <f t="shared" si="556"/>
        <v>-</v>
      </c>
      <c r="R75" s="91" t="str">
        <f t="shared" si="556"/>
        <v>-</v>
      </c>
      <c r="S75" s="93" t="str">
        <f t="shared" si="556"/>
        <v>-</v>
      </c>
      <c r="T75" s="92" t="str">
        <f t="shared" si="556"/>
        <v>-</v>
      </c>
      <c r="U75" s="91" t="str">
        <f t="shared" si="556"/>
        <v>-</v>
      </c>
      <c r="V75" s="93" t="str">
        <f t="shared" si="556"/>
        <v>-</v>
      </c>
      <c r="W75" s="92" t="str">
        <f t="shared" si="556"/>
        <v>-</v>
      </c>
      <c r="X75" s="91" t="str">
        <f t="shared" si="556"/>
        <v>-</v>
      </c>
      <c r="Y75" s="93" t="str">
        <f t="shared" si="556"/>
        <v>-</v>
      </c>
      <c r="Z75" s="92" t="str">
        <f t="shared" si="556"/>
        <v>-</v>
      </c>
      <c r="AA75" s="91" t="str">
        <f t="shared" si="556"/>
        <v>-</v>
      </c>
      <c r="AB75" s="93" t="str">
        <f t="shared" si="556"/>
        <v>-</v>
      </c>
      <c r="AC75" s="92" t="str">
        <f t="shared" si="556"/>
        <v>-</v>
      </c>
      <c r="AD75" s="91" t="str">
        <f t="shared" si="556"/>
        <v>-</v>
      </c>
      <c r="AE75" s="93" t="str">
        <f t="shared" si="556"/>
        <v>-</v>
      </c>
      <c r="AF75" s="92" t="str">
        <f t="shared" si="556"/>
        <v>-</v>
      </c>
      <c r="AG75" s="91" t="str">
        <f t="shared" si="556"/>
        <v>-</v>
      </c>
      <c r="AH75" s="93" t="str">
        <f t="shared" si="556"/>
        <v>-</v>
      </c>
      <c r="AI75" s="92" t="str">
        <f t="shared" si="556"/>
        <v>-</v>
      </c>
      <c r="AJ75" s="91" t="str">
        <f t="shared" si="556"/>
        <v>-</v>
      </c>
      <c r="AK75" s="93" t="str">
        <f t="shared" ref="AK75:BP75" si="557">IFERROR(AK63/AK69,"-")</f>
        <v>-</v>
      </c>
      <c r="AL75" s="92" t="str">
        <f t="shared" si="557"/>
        <v>-</v>
      </c>
      <c r="AM75" s="91" t="str">
        <f t="shared" si="557"/>
        <v>-</v>
      </c>
      <c r="AN75" s="93" t="str">
        <f t="shared" si="557"/>
        <v>-</v>
      </c>
      <c r="AO75" s="92" t="str">
        <f t="shared" si="557"/>
        <v>-</v>
      </c>
      <c r="AP75" s="91" t="str">
        <f t="shared" si="557"/>
        <v>-</v>
      </c>
      <c r="AQ75" s="93" t="str">
        <f t="shared" si="557"/>
        <v>-</v>
      </c>
      <c r="AR75" s="433" t="str">
        <f t="shared" si="557"/>
        <v>-</v>
      </c>
      <c r="AS75" s="91" t="str">
        <f t="shared" si="557"/>
        <v>-</v>
      </c>
      <c r="AT75" s="184" t="str">
        <f t="shared" si="557"/>
        <v>-</v>
      </c>
      <c r="AU75" s="92" t="str">
        <f t="shared" si="557"/>
        <v>-</v>
      </c>
      <c r="AV75" s="91" t="str">
        <f t="shared" si="557"/>
        <v>-</v>
      </c>
      <c r="AW75" s="93" t="str">
        <f t="shared" si="557"/>
        <v>-</v>
      </c>
      <c r="AX75" s="92" t="str">
        <f t="shared" si="557"/>
        <v>-</v>
      </c>
      <c r="AY75" s="91" t="str">
        <f t="shared" si="557"/>
        <v>-</v>
      </c>
      <c r="AZ75" s="93" t="str">
        <f t="shared" si="557"/>
        <v>-</v>
      </c>
      <c r="BA75" s="92" t="str">
        <f t="shared" si="557"/>
        <v>-</v>
      </c>
      <c r="BB75" s="91" t="str">
        <f t="shared" si="557"/>
        <v>-</v>
      </c>
      <c r="BC75" s="93" t="str">
        <f t="shared" si="557"/>
        <v>-</v>
      </c>
      <c r="BD75" s="92" t="str">
        <f t="shared" si="557"/>
        <v>-</v>
      </c>
      <c r="BE75" s="91" t="str">
        <f t="shared" si="557"/>
        <v>-</v>
      </c>
      <c r="BF75" s="93" t="str">
        <f t="shared" si="557"/>
        <v>-</v>
      </c>
      <c r="BG75" s="92" t="str">
        <f t="shared" si="557"/>
        <v>-</v>
      </c>
      <c r="BH75" s="91" t="str">
        <f t="shared" si="557"/>
        <v>-</v>
      </c>
      <c r="BI75" s="93" t="str">
        <f t="shared" si="557"/>
        <v>-</v>
      </c>
      <c r="BJ75" s="92" t="str">
        <f t="shared" si="557"/>
        <v>-</v>
      </c>
      <c r="BK75" s="91" t="str">
        <f t="shared" si="557"/>
        <v>-</v>
      </c>
      <c r="BL75" s="93" t="str">
        <f t="shared" si="557"/>
        <v>-</v>
      </c>
      <c r="BM75" s="92" t="str">
        <f t="shared" si="557"/>
        <v>-</v>
      </c>
      <c r="BN75" s="91" t="str">
        <f t="shared" si="557"/>
        <v>-</v>
      </c>
      <c r="BO75" s="93" t="str">
        <f t="shared" si="557"/>
        <v>-</v>
      </c>
      <c r="BP75" s="92" t="str">
        <f t="shared" si="557"/>
        <v>-</v>
      </c>
      <c r="BQ75" s="91" t="str">
        <f t="shared" ref="BQ75:CV75" si="558">IFERROR(BQ63/BQ69,"-")</f>
        <v>-</v>
      </c>
      <c r="BR75" s="93" t="str">
        <f t="shared" si="558"/>
        <v>-</v>
      </c>
      <c r="BS75" s="92" t="str">
        <f t="shared" si="558"/>
        <v>-</v>
      </c>
      <c r="BT75" s="91" t="str">
        <f t="shared" si="558"/>
        <v>-</v>
      </c>
      <c r="BU75" s="93" t="str">
        <f t="shared" si="558"/>
        <v>-</v>
      </c>
      <c r="BV75" s="92" t="str">
        <f t="shared" si="558"/>
        <v>-</v>
      </c>
      <c r="BW75" s="91" t="str">
        <f t="shared" si="558"/>
        <v>-</v>
      </c>
      <c r="BX75" s="93" t="str">
        <f t="shared" si="558"/>
        <v>-</v>
      </c>
      <c r="BY75" s="92" t="str">
        <f t="shared" si="558"/>
        <v>-</v>
      </c>
      <c r="BZ75" s="91" t="str">
        <f t="shared" si="558"/>
        <v>-</v>
      </c>
      <c r="CA75" s="93" t="str">
        <f t="shared" si="558"/>
        <v>-</v>
      </c>
      <c r="CB75" s="92" t="str">
        <f t="shared" si="558"/>
        <v>-</v>
      </c>
      <c r="CC75" s="91" t="str">
        <f t="shared" si="558"/>
        <v>-</v>
      </c>
      <c r="CD75" s="93" t="str">
        <f t="shared" si="558"/>
        <v>-</v>
      </c>
      <c r="CE75" s="433" t="str">
        <f t="shared" si="558"/>
        <v>-</v>
      </c>
      <c r="CF75" s="91" t="str">
        <f t="shared" si="558"/>
        <v>-</v>
      </c>
      <c r="CG75" s="184" t="str">
        <f t="shared" si="558"/>
        <v>-</v>
      </c>
      <c r="CH75" s="91" t="str">
        <f t="shared" si="558"/>
        <v>-</v>
      </c>
      <c r="CI75" s="91" t="str">
        <f t="shared" si="558"/>
        <v>-</v>
      </c>
      <c r="CJ75" s="93" t="str">
        <f t="shared" si="558"/>
        <v>-</v>
      </c>
      <c r="CK75" s="90" t="str">
        <f t="shared" si="558"/>
        <v>-</v>
      </c>
      <c r="CL75" s="91" t="str">
        <f t="shared" si="558"/>
        <v>-</v>
      </c>
      <c r="CM75" s="93" t="str">
        <f t="shared" si="558"/>
        <v>-</v>
      </c>
      <c r="CN75" s="90" t="str">
        <f t="shared" si="558"/>
        <v>-</v>
      </c>
      <c r="CO75" s="91" t="str">
        <f t="shared" si="558"/>
        <v>-</v>
      </c>
      <c r="CP75" s="93" t="str">
        <f t="shared" si="558"/>
        <v>-</v>
      </c>
      <c r="CQ75" s="90" t="str">
        <f t="shared" si="558"/>
        <v>-</v>
      </c>
      <c r="CR75" s="91" t="str">
        <f t="shared" si="558"/>
        <v>-</v>
      </c>
      <c r="CS75" s="93" t="str">
        <f t="shared" si="558"/>
        <v>-</v>
      </c>
      <c r="CT75" s="90" t="str">
        <f t="shared" si="558"/>
        <v>-</v>
      </c>
      <c r="CU75" s="91" t="str">
        <f t="shared" si="558"/>
        <v>-</v>
      </c>
      <c r="CV75" s="93" t="str">
        <f t="shared" si="558"/>
        <v>-</v>
      </c>
      <c r="CW75" s="90" t="str">
        <f t="shared" ref="CW75:DT75" si="559">IFERROR(CW63/CW69,"-")</f>
        <v>-</v>
      </c>
      <c r="CX75" s="91" t="str">
        <f t="shared" si="559"/>
        <v>-</v>
      </c>
      <c r="CY75" s="93" t="str">
        <f t="shared" si="559"/>
        <v>-</v>
      </c>
      <c r="CZ75" s="90" t="str">
        <f t="shared" si="559"/>
        <v>-</v>
      </c>
      <c r="DA75" s="91" t="str">
        <f t="shared" si="559"/>
        <v>-</v>
      </c>
      <c r="DB75" s="93" t="str">
        <f t="shared" si="559"/>
        <v>-</v>
      </c>
      <c r="DC75" s="90" t="str">
        <f t="shared" si="559"/>
        <v>-</v>
      </c>
      <c r="DD75" s="91" t="str">
        <f t="shared" si="559"/>
        <v>-</v>
      </c>
      <c r="DE75" s="93" t="str">
        <f t="shared" si="559"/>
        <v>-</v>
      </c>
      <c r="DF75" s="90" t="str">
        <f t="shared" si="559"/>
        <v>-</v>
      </c>
      <c r="DG75" s="91" t="str">
        <f t="shared" si="559"/>
        <v>-</v>
      </c>
      <c r="DH75" s="93" t="str">
        <f t="shared" si="559"/>
        <v>-</v>
      </c>
      <c r="DI75" s="90" t="str">
        <f t="shared" si="559"/>
        <v>-</v>
      </c>
      <c r="DJ75" s="91" t="str">
        <f t="shared" si="559"/>
        <v>-</v>
      </c>
      <c r="DK75" s="93" t="str">
        <f t="shared" si="559"/>
        <v>-</v>
      </c>
      <c r="DL75" s="90" t="str">
        <f t="shared" si="559"/>
        <v>-</v>
      </c>
      <c r="DM75" s="91" t="str">
        <f t="shared" si="559"/>
        <v>-</v>
      </c>
      <c r="DN75" s="93" t="str">
        <f t="shared" si="559"/>
        <v>-</v>
      </c>
      <c r="DO75" s="90" t="str">
        <f t="shared" si="559"/>
        <v>-</v>
      </c>
      <c r="DP75" s="91" t="str">
        <f t="shared" si="559"/>
        <v>-</v>
      </c>
      <c r="DQ75" s="93" t="str">
        <f t="shared" si="559"/>
        <v>-</v>
      </c>
      <c r="DR75" s="433" t="str">
        <f t="shared" si="559"/>
        <v>-</v>
      </c>
      <c r="DS75" s="91" t="str">
        <f t="shared" si="559"/>
        <v>-</v>
      </c>
      <c r="DT75" s="184" t="str">
        <f t="shared" si="559"/>
        <v>-</v>
      </c>
    </row>
    <row r="76" spans="1:124" ht="14.25" customHeight="1">
      <c r="A76" s="23"/>
      <c r="B76" s="87"/>
      <c r="C76" s="88"/>
      <c r="D76" s="89" t="s">
        <v>190</v>
      </c>
      <c r="E76" s="433" t="str">
        <f t="shared" ref="E76:AJ76" si="560">IFERROR(E64/E70,"-")</f>
        <v>-</v>
      </c>
      <c r="F76" s="91" t="str">
        <f t="shared" si="560"/>
        <v>-</v>
      </c>
      <c r="G76" s="184" t="str">
        <f t="shared" si="560"/>
        <v>-</v>
      </c>
      <c r="H76" s="91" t="str">
        <f t="shared" si="560"/>
        <v>-</v>
      </c>
      <c r="I76" s="91" t="str">
        <f t="shared" si="560"/>
        <v>-</v>
      </c>
      <c r="J76" s="93" t="str">
        <f t="shared" si="560"/>
        <v>-</v>
      </c>
      <c r="K76" s="91" t="str">
        <f t="shared" si="560"/>
        <v>-</v>
      </c>
      <c r="L76" s="91" t="str">
        <f t="shared" si="560"/>
        <v>-</v>
      </c>
      <c r="M76" s="93" t="str">
        <f t="shared" si="560"/>
        <v>-</v>
      </c>
      <c r="N76" s="92" t="str">
        <f t="shared" si="560"/>
        <v>-</v>
      </c>
      <c r="O76" s="91" t="str">
        <f t="shared" si="560"/>
        <v>-</v>
      </c>
      <c r="P76" s="93" t="str">
        <f t="shared" si="560"/>
        <v>-</v>
      </c>
      <c r="Q76" s="92" t="str">
        <f t="shared" si="560"/>
        <v>-</v>
      </c>
      <c r="R76" s="91" t="str">
        <f t="shared" si="560"/>
        <v>-</v>
      </c>
      <c r="S76" s="93" t="str">
        <f t="shared" si="560"/>
        <v>-</v>
      </c>
      <c r="T76" s="92" t="str">
        <f t="shared" si="560"/>
        <v>-</v>
      </c>
      <c r="U76" s="91" t="str">
        <f t="shared" si="560"/>
        <v>-</v>
      </c>
      <c r="V76" s="93" t="str">
        <f t="shared" si="560"/>
        <v>-</v>
      </c>
      <c r="W76" s="92" t="str">
        <f t="shared" si="560"/>
        <v>-</v>
      </c>
      <c r="X76" s="91" t="str">
        <f t="shared" si="560"/>
        <v>-</v>
      </c>
      <c r="Y76" s="93" t="str">
        <f t="shared" si="560"/>
        <v>-</v>
      </c>
      <c r="Z76" s="92" t="str">
        <f t="shared" si="560"/>
        <v>-</v>
      </c>
      <c r="AA76" s="91" t="str">
        <f t="shared" si="560"/>
        <v>-</v>
      </c>
      <c r="AB76" s="93" t="str">
        <f t="shared" si="560"/>
        <v>-</v>
      </c>
      <c r="AC76" s="92" t="str">
        <f t="shared" si="560"/>
        <v>-</v>
      </c>
      <c r="AD76" s="91" t="str">
        <f t="shared" si="560"/>
        <v>-</v>
      </c>
      <c r="AE76" s="93" t="str">
        <f t="shared" si="560"/>
        <v>-</v>
      </c>
      <c r="AF76" s="92" t="str">
        <f t="shared" si="560"/>
        <v>-</v>
      </c>
      <c r="AG76" s="91" t="str">
        <f t="shared" si="560"/>
        <v>-</v>
      </c>
      <c r="AH76" s="93" t="str">
        <f t="shared" si="560"/>
        <v>-</v>
      </c>
      <c r="AI76" s="92" t="str">
        <f t="shared" si="560"/>
        <v>-</v>
      </c>
      <c r="AJ76" s="91" t="str">
        <f t="shared" si="560"/>
        <v>-</v>
      </c>
      <c r="AK76" s="93" t="str">
        <f t="shared" ref="AK76:BP76" si="561">IFERROR(AK64/AK70,"-")</f>
        <v>-</v>
      </c>
      <c r="AL76" s="92" t="str">
        <f t="shared" si="561"/>
        <v>-</v>
      </c>
      <c r="AM76" s="91" t="str">
        <f t="shared" si="561"/>
        <v>-</v>
      </c>
      <c r="AN76" s="93" t="str">
        <f t="shared" si="561"/>
        <v>-</v>
      </c>
      <c r="AO76" s="92" t="str">
        <f t="shared" si="561"/>
        <v>-</v>
      </c>
      <c r="AP76" s="91" t="str">
        <f t="shared" si="561"/>
        <v>-</v>
      </c>
      <c r="AQ76" s="93" t="str">
        <f t="shared" si="561"/>
        <v>-</v>
      </c>
      <c r="AR76" s="433" t="str">
        <f t="shared" si="561"/>
        <v>-</v>
      </c>
      <c r="AS76" s="91" t="str">
        <f t="shared" si="561"/>
        <v>-</v>
      </c>
      <c r="AT76" s="184" t="str">
        <f t="shared" si="561"/>
        <v>-</v>
      </c>
      <c r="AU76" s="92" t="str">
        <f t="shared" si="561"/>
        <v>-</v>
      </c>
      <c r="AV76" s="91" t="str">
        <f t="shared" si="561"/>
        <v>-</v>
      </c>
      <c r="AW76" s="93" t="str">
        <f t="shared" si="561"/>
        <v>-</v>
      </c>
      <c r="AX76" s="92" t="str">
        <f t="shared" si="561"/>
        <v>-</v>
      </c>
      <c r="AY76" s="91" t="str">
        <f t="shared" si="561"/>
        <v>-</v>
      </c>
      <c r="AZ76" s="93" t="str">
        <f t="shared" si="561"/>
        <v>-</v>
      </c>
      <c r="BA76" s="92" t="str">
        <f t="shared" si="561"/>
        <v>-</v>
      </c>
      <c r="BB76" s="91" t="str">
        <f t="shared" si="561"/>
        <v>-</v>
      </c>
      <c r="BC76" s="93" t="str">
        <f t="shared" si="561"/>
        <v>-</v>
      </c>
      <c r="BD76" s="92" t="str">
        <f t="shared" si="561"/>
        <v>-</v>
      </c>
      <c r="BE76" s="91" t="str">
        <f t="shared" si="561"/>
        <v>-</v>
      </c>
      <c r="BF76" s="93" t="str">
        <f t="shared" si="561"/>
        <v>-</v>
      </c>
      <c r="BG76" s="92" t="str">
        <f t="shared" si="561"/>
        <v>-</v>
      </c>
      <c r="BH76" s="91" t="str">
        <f t="shared" si="561"/>
        <v>-</v>
      </c>
      <c r="BI76" s="93" t="str">
        <f t="shared" si="561"/>
        <v>-</v>
      </c>
      <c r="BJ76" s="92" t="str">
        <f t="shared" si="561"/>
        <v>-</v>
      </c>
      <c r="BK76" s="91" t="str">
        <f t="shared" si="561"/>
        <v>-</v>
      </c>
      <c r="BL76" s="93" t="str">
        <f t="shared" si="561"/>
        <v>-</v>
      </c>
      <c r="BM76" s="92" t="str">
        <f t="shared" si="561"/>
        <v>-</v>
      </c>
      <c r="BN76" s="91" t="str">
        <f t="shared" si="561"/>
        <v>-</v>
      </c>
      <c r="BO76" s="93" t="str">
        <f t="shared" si="561"/>
        <v>-</v>
      </c>
      <c r="BP76" s="92" t="str">
        <f t="shared" si="561"/>
        <v>-</v>
      </c>
      <c r="BQ76" s="91" t="str">
        <f t="shared" ref="BQ76:CV76" si="562">IFERROR(BQ64/BQ70,"-")</f>
        <v>-</v>
      </c>
      <c r="BR76" s="93" t="str">
        <f t="shared" si="562"/>
        <v>-</v>
      </c>
      <c r="BS76" s="92" t="str">
        <f t="shared" si="562"/>
        <v>-</v>
      </c>
      <c r="BT76" s="91" t="str">
        <f t="shared" si="562"/>
        <v>-</v>
      </c>
      <c r="BU76" s="93" t="str">
        <f t="shared" si="562"/>
        <v>-</v>
      </c>
      <c r="BV76" s="92" t="str">
        <f t="shared" si="562"/>
        <v>-</v>
      </c>
      <c r="BW76" s="91" t="str">
        <f t="shared" si="562"/>
        <v>-</v>
      </c>
      <c r="BX76" s="93" t="str">
        <f t="shared" si="562"/>
        <v>-</v>
      </c>
      <c r="BY76" s="92" t="str">
        <f t="shared" si="562"/>
        <v>-</v>
      </c>
      <c r="BZ76" s="91" t="str">
        <f t="shared" si="562"/>
        <v>-</v>
      </c>
      <c r="CA76" s="93" t="str">
        <f t="shared" si="562"/>
        <v>-</v>
      </c>
      <c r="CB76" s="92" t="str">
        <f t="shared" si="562"/>
        <v>-</v>
      </c>
      <c r="CC76" s="91" t="str">
        <f t="shared" si="562"/>
        <v>-</v>
      </c>
      <c r="CD76" s="93" t="str">
        <f t="shared" si="562"/>
        <v>-</v>
      </c>
      <c r="CE76" s="433" t="str">
        <f t="shared" si="562"/>
        <v>-</v>
      </c>
      <c r="CF76" s="91" t="str">
        <f t="shared" si="562"/>
        <v>-</v>
      </c>
      <c r="CG76" s="184" t="str">
        <f t="shared" si="562"/>
        <v>-</v>
      </c>
      <c r="CH76" s="91" t="str">
        <f t="shared" si="562"/>
        <v>-</v>
      </c>
      <c r="CI76" s="91" t="str">
        <f t="shared" si="562"/>
        <v>-</v>
      </c>
      <c r="CJ76" s="93" t="str">
        <f t="shared" si="562"/>
        <v>-</v>
      </c>
      <c r="CK76" s="90" t="str">
        <f t="shared" si="562"/>
        <v>-</v>
      </c>
      <c r="CL76" s="91" t="str">
        <f t="shared" si="562"/>
        <v>-</v>
      </c>
      <c r="CM76" s="93" t="str">
        <f t="shared" si="562"/>
        <v>-</v>
      </c>
      <c r="CN76" s="90" t="str">
        <f t="shared" si="562"/>
        <v>-</v>
      </c>
      <c r="CO76" s="91" t="str">
        <f t="shared" si="562"/>
        <v>-</v>
      </c>
      <c r="CP76" s="93" t="str">
        <f t="shared" si="562"/>
        <v>-</v>
      </c>
      <c r="CQ76" s="90" t="str">
        <f t="shared" si="562"/>
        <v>-</v>
      </c>
      <c r="CR76" s="91" t="str">
        <f t="shared" si="562"/>
        <v>-</v>
      </c>
      <c r="CS76" s="93" t="str">
        <f t="shared" si="562"/>
        <v>-</v>
      </c>
      <c r="CT76" s="90" t="str">
        <f t="shared" si="562"/>
        <v>-</v>
      </c>
      <c r="CU76" s="91" t="str">
        <f t="shared" si="562"/>
        <v>-</v>
      </c>
      <c r="CV76" s="93" t="str">
        <f t="shared" si="562"/>
        <v>-</v>
      </c>
      <c r="CW76" s="90" t="str">
        <f t="shared" ref="CW76:DT76" si="563">IFERROR(CW64/CW70,"-")</f>
        <v>-</v>
      </c>
      <c r="CX76" s="91" t="str">
        <f t="shared" si="563"/>
        <v>-</v>
      </c>
      <c r="CY76" s="93" t="str">
        <f t="shared" si="563"/>
        <v>-</v>
      </c>
      <c r="CZ76" s="90" t="str">
        <f t="shared" si="563"/>
        <v>-</v>
      </c>
      <c r="DA76" s="91" t="str">
        <f t="shared" si="563"/>
        <v>-</v>
      </c>
      <c r="DB76" s="93" t="str">
        <f t="shared" si="563"/>
        <v>-</v>
      </c>
      <c r="DC76" s="90" t="str">
        <f t="shared" si="563"/>
        <v>-</v>
      </c>
      <c r="DD76" s="91" t="str">
        <f t="shared" si="563"/>
        <v>-</v>
      </c>
      <c r="DE76" s="93" t="str">
        <f t="shared" si="563"/>
        <v>-</v>
      </c>
      <c r="DF76" s="90" t="str">
        <f t="shared" si="563"/>
        <v>-</v>
      </c>
      <c r="DG76" s="91" t="str">
        <f t="shared" si="563"/>
        <v>-</v>
      </c>
      <c r="DH76" s="93" t="str">
        <f t="shared" si="563"/>
        <v>-</v>
      </c>
      <c r="DI76" s="90" t="str">
        <f t="shared" si="563"/>
        <v>-</v>
      </c>
      <c r="DJ76" s="91" t="str">
        <f t="shared" si="563"/>
        <v>-</v>
      </c>
      <c r="DK76" s="93" t="str">
        <f t="shared" si="563"/>
        <v>-</v>
      </c>
      <c r="DL76" s="90" t="str">
        <f t="shared" si="563"/>
        <v>-</v>
      </c>
      <c r="DM76" s="91" t="str">
        <f t="shared" si="563"/>
        <v>-</v>
      </c>
      <c r="DN76" s="93" t="str">
        <f t="shared" si="563"/>
        <v>-</v>
      </c>
      <c r="DO76" s="90" t="str">
        <f t="shared" si="563"/>
        <v>-</v>
      </c>
      <c r="DP76" s="91" t="str">
        <f t="shared" si="563"/>
        <v>-</v>
      </c>
      <c r="DQ76" s="93" t="str">
        <f t="shared" si="563"/>
        <v>-</v>
      </c>
      <c r="DR76" s="433" t="str">
        <f t="shared" si="563"/>
        <v>-</v>
      </c>
      <c r="DS76" s="91" t="str">
        <f t="shared" si="563"/>
        <v>-</v>
      </c>
      <c r="DT76" s="184" t="str">
        <f t="shared" si="563"/>
        <v>-</v>
      </c>
    </row>
    <row r="77" spans="1:124" ht="14.25" customHeight="1">
      <c r="A77" s="23"/>
      <c r="B77" s="87"/>
      <c r="C77" s="88"/>
      <c r="D77" s="89" t="s">
        <v>246</v>
      </c>
      <c r="E77" s="433" t="str">
        <f t="shared" ref="E77:AJ77" si="564">IFERROR(E65/E71,"-")</f>
        <v>-</v>
      </c>
      <c r="F77" s="91" t="str">
        <f t="shared" si="564"/>
        <v>-</v>
      </c>
      <c r="G77" s="184" t="str">
        <f t="shared" si="564"/>
        <v>-</v>
      </c>
      <c r="H77" s="91" t="str">
        <f t="shared" si="564"/>
        <v>-</v>
      </c>
      <c r="I77" s="91" t="str">
        <f t="shared" si="564"/>
        <v>-</v>
      </c>
      <c r="J77" s="93" t="str">
        <f t="shared" si="564"/>
        <v>-</v>
      </c>
      <c r="K77" s="91" t="str">
        <f t="shared" si="564"/>
        <v>-</v>
      </c>
      <c r="L77" s="91" t="str">
        <f t="shared" si="564"/>
        <v>-</v>
      </c>
      <c r="M77" s="93" t="str">
        <f t="shared" si="564"/>
        <v>-</v>
      </c>
      <c r="N77" s="92" t="str">
        <f t="shared" si="564"/>
        <v>-</v>
      </c>
      <c r="O77" s="91" t="str">
        <f t="shared" si="564"/>
        <v>-</v>
      </c>
      <c r="P77" s="93" t="str">
        <f t="shared" si="564"/>
        <v>-</v>
      </c>
      <c r="Q77" s="92" t="str">
        <f t="shared" si="564"/>
        <v>-</v>
      </c>
      <c r="R77" s="91" t="str">
        <f t="shared" si="564"/>
        <v>-</v>
      </c>
      <c r="S77" s="93" t="str">
        <f t="shared" si="564"/>
        <v>-</v>
      </c>
      <c r="T77" s="92" t="str">
        <f t="shared" si="564"/>
        <v>-</v>
      </c>
      <c r="U77" s="91" t="str">
        <f t="shared" si="564"/>
        <v>-</v>
      </c>
      <c r="V77" s="93" t="str">
        <f t="shared" si="564"/>
        <v>-</v>
      </c>
      <c r="W77" s="92" t="str">
        <f t="shared" si="564"/>
        <v>-</v>
      </c>
      <c r="X77" s="91" t="str">
        <f t="shared" si="564"/>
        <v>-</v>
      </c>
      <c r="Y77" s="93" t="str">
        <f t="shared" si="564"/>
        <v>-</v>
      </c>
      <c r="Z77" s="92" t="str">
        <f t="shared" si="564"/>
        <v>-</v>
      </c>
      <c r="AA77" s="91" t="str">
        <f t="shared" si="564"/>
        <v>-</v>
      </c>
      <c r="AB77" s="93" t="str">
        <f t="shared" si="564"/>
        <v>-</v>
      </c>
      <c r="AC77" s="92" t="str">
        <f t="shared" si="564"/>
        <v>-</v>
      </c>
      <c r="AD77" s="91" t="str">
        <f t="shared" si="564"/>
        <v>-</v>
      </c>
      <c r="AE77" s="93" t="str">
        <f t="shared" si="564"/>
        <v>-</v>
      </c>
      <c r="AF77" s="92" t="str">
        <f t="shared" si="564"/>
        <v>-</v>
      </c>
      <c r="AG77" s="91" t="str">
        <f t="shared" si="564"/>
        <v>-</v>
      </c>
      <c r="AH77" s="93" t="str">
        <f t="shared" si="564"/>
        <v>-</v>
      </c>
      <c r="AI77" s="92" t="str">
        <f t="shared" si="564"/>
        <v>-</v>
      </c>
      <c r="AJ77" s="91" t="str">
        <f t="shared" si="564"/>
        <v>-</v>
      </c>
      <c r="AK77" s="93" t="str">
        <f t="shared" ref="AK77:BP77" si="565">IFERROR(AK65/AK71,"-")</f>
        <v>-</v>
      </c>
      <c r="AL77" s="92" t="str">
        <f t="shared" si="565"/>
        <v>-</v>
      </c>
      <c r="AM77" s="91" t="str">
        <f t="shared" si="565"/>
        <v>-</v>
      </c>
      <c r="AN77" s="93" t="str">
        <f t="shared" si="565"/>
        <v>-</v>
      </c>
      <c r="AO77" s="92" t="str">
        <f t="shared" si="565"/>
        <v>-</v>
      </c>
      <c r="AP77" s="91" t="str">
        <f t="shared" si="565"/>
        <v>-</v>
      </c>
      <c r="AQ77" s="93" t="str">
        <f t="shared" si="565"/>
        <v>-</v>
      </c>
      <c r="AR77" s="433" t="str">
        <f t="shared" si="565"/>
        <v>-</v>
      </c>
      <c r="AS77" s="91" t="str">
        <f t="shared" si="565"/>
        <v>-</v>
      </c>
      <c r="AT77" s="184" t="str">
        <f t="shared" si="565"/>
        <v>-</v>
      </c>
      <c r="AU77" s="92" t="str">
        <f t="shared" si="565"/>
        <v>-</v>
      </c>
      <c r="AV77" s="91" t="str">
        <f t="shared" si="565"/>
        <v>-</v>
      </c>
      <c r="AW77" s="93" t="str">
        <f t="shared" si="565"/>
        <v>-</v>
      </c>
      <c r="AX77" s="92" t="str">
        <f t="shared" si="565"/>
        <v>-</v>
      </c>
      <c r="AY77" s="91" t="str">
        <f t="shared" si="565"/>
        <v>-</v>
      </c>
      <c r="AZ77" s="93" t="str">
        <f t="shared" si="565"/>
        <v>-</v>
      </c>
      <c r="BA77" s="92" t="str">
        <f t="shared" si="565"/>
        <v>-</v>
      </c>
      <c r="BB77" s="91" t="str">
        <f t="shared" si="565"/>
        <v>-</v>
      </c>
      <c r="BC77" s="93" t="str">
        <f t="shared" si="565"/>
        <v>-</v>
      </c>
      <c r="BD77" s="92" t="str">
        <f t="shared" si="565"/>
        <v>-</v>
      </c>
      <c r="BE77" s="91" t="str">
        <f t="shared" si="565"/>
        <v>-</v>
      </c>
      <c r="BF77" s="93" t="str">
        <f t="shared" si="565"/>
        <v>-</v>
      </c>
      <c r="BG77" s="92" t="str">
        <f t="shared" si="565"/>
        <v>-</v>
      </c>
      <c r="BH77" s="91" t="str">
        <f t="shared" si="565"/>
        <v>-</v>
      </c>
      <c r="BI77" s="93" t="str">
        <f t="shared" si="565"/>
        <v>-</v>
      </c>
      <c r="BJ77" s="92" t="str">
        <f t="shared" si="565"/>
        <v>-</v>
      </c>
      <c r="BK77" s="91" t="str">
        <f t="shared" si="565"/>
        <v>-</v>
      </c>
      <c r="BL77" s="93" t="str">
        <f t="shared" si="565"/>
        <v>-</v>
      </c>
      <c r="BM77" s="92" t="str">
        <f t="shared" si="565"/>
        <v>-</v>
      </c>
      <c r="BN77" s="91" t="str">
        <f t="shared" si="565"/>
        <v>-</v>
      </c>
      <c r="BO77" s="93" t="str">
        <f t="shared" si="565"/>
        <v>-</v>
      </c>
      <c r="BP77" s="92" t="str">
        <f t="shared" si="565"/>
        <v>-</v>
      </c>
      <c r="BQ77" s="91" t="str">
        <f t="shared" ref="BQ77:CV77" si="566">IFERROR(BQ65/BQ71,"-")</f>
        <v>-</v>
      </c>
      <c r="BR77" s="93" t="str">
        <f t="shared" si="566"/>
        <v>-</v>
      </c>
      <c r="BS77" s="92" t="str">
        <f t="shared" si="566"/>
        <v>-</v>
      </c>
      <c r="BT77" s="91" t="str">
        <f t="shared" si="566"/>
        <v>-</v>
      </c>
      <c r="BU77" s="93" t="str">
        <f t="shared" si="566"/>
        <v>-</v>
      </c>
      <c r="BV77" s="92" t="str">
        <f t="shared" si="566"/>
        <v>-</v>
      </c>
      <c r="BW77" s="91" t="str">
        <f t="shared" si="566"/>
        <v>-</v>
      </c>
      <c r="BX77" s="93" t="str">
        <f t="shared" si="566"/>
        <v>-</v>
      </c>
      <c r="BY77" s="92" t="str">
        <f t="shared" si="566"/>
        <v>-</v>
      </c>
      <c r="BZ77" s="91" t="str">
        <f t="shared" si="566"/>
        <v>-</v>
      </c>
      <c r="CA77" s="93" t="str">
        <f t="shared" si="566"/>
        <v>-</v>
      </c>
      <c r="CB77" s="92" t="str">
        <f t="shared" si="566"/>
        <v>-</v>
      </c>
      <c r="CC77" s="91" t="str">
        <f t="shared" si="566"/>
        <v>-</v>
      </c>
      <c r="CD77" s="93" t="str">
        <f t="shared" si="566"/>
        <v>-</v>
      </c>
      <c r="CE77" s="433" t="str">
        <f t="shared" si="566"/>
        <v>-</v>
      </c>
      <c r="CF77" s="91" t="str">
        <f t="shared" si="566"/>
        <v>-</v>
      </c>
      <c r="CG77" s="184" t="str">
        <f t="shared" si="566"/>
        <v>-</v>
      </c>
      <c r="CH77" s="91" t="str">
        <f t="shared" si="566"/>
        <v>-</v>
      </c>
      <c r="CI77" s="91" t="str">
        <f t="shared" si="566"/>
        <v>-</v>
      </c>
      <c r="CJ77" s="93" t="str">
        <f t="shared" si="566"/>
        <v>-</v>
      </c>
      <c r="CK77" s="90" t="str">
        <f t="shared" si="566"/>
        <v>-</v>
      </c>
      <c r="CL77" s="91" t="str">
        <f t="shared" si="566"/>
        <v>-</v>
      </c>
      <c r="CM77" s="93" t="str">
        <f t="shared" si="566"/>
        <v>-</v>
      </c>
      <c r="CN77" s="90" t="str">
        <f t="shared" si="566"/>
        <v>-</v>
      </c>
      <c r="CO77" s="91" t="str">
        <f t="shared" si="566"/>
        <v>-</v>
      </c>
      <c r="CP77" s="93" t="str">
        <f t="shared" si="566"/>
        <v>-</v>
      </c>
      <c r="CQ77" s="90" t="str">
        <f t="shared" si="566"/>
        <v>-</v>
      </c>
      <c r="CR77" s="91" t="str">
        <f t="shared" si="566"/>
        <v>-</v>
      </c>
      <c r="CS77" s="93" t="str">
        <f t="shared" si="566"/>
        <v>-</v>
      </c>
      <c r="CT77" s="90" t="str">
        <f t="shared" si="566"/>
        <v>-</v>
      </c>
      <c r="CU77" s="91" t="str">
        <f t="shared" si="566"/>
        <v>-</v>
      </c>
      <c r="CV77" s="93" t="str">
        <f t="shared" si="566"/>
        <v>-</v>
      </c>
      <c r="CW77" s="90" t="str">
        <f t="shared" ref="CW77:DT77" si="567">IFERROR(CW65/CW71,"-")</f>
        <v>-</v>
      </c>
      <c r="CX77" s="91" t="str">
        <f t="shared" si="567"/>
        <v>-</v>
      </c>
      <c r="CY77" s="93" t="str">
        <f t="shared" si="567"/>
        <v>-</v>
      </c>
      <c r="CZ77" s="90" t="str">
        <f t="shared" si="567"/>
        <v>-</v>
      </c>
      <c r="DA77" s="91" t="str">
        <f t="shared" si="567"/>
        <v>-</v>
      </c>
      <c r="DB77" s="93" t="str">
        <f t="shared" si="567"/>
        <v>-</v>
      </c>
      <c r="DC77" s="90" t="str">
        <f t="shared" si="567"/>
        <v>-</v>
      </c>
      <c r="DD77" s="91" t="str">
        <f t="shared" si="567"/>
        <v>-</v>
      </c>
      <c r="DE77" s="93" t="str">
        <f t="shared" si="567"/>
        <v>-</v>
      </c>
      <c r="DF77" s="90" t="str">
        <f t="shared" si="567"/>
        <v>-</v>
      </c>
      <c r="DG77" s="91" t="str">
        <f t="shared" si="567"/>
        <v>-</v>
      </c>
      <c r="DH77" s="93" t="str">
        <f t="shared" si="567"/>
        <v>-</v>
      </c>
      <c r="DI77" s="90" t="str">
        <f t="shared" si="567"/>
        <v>-</v>
      </c>
      <c r="DJ77" s="91" t="str">
        <f t="shared" si="567"/>
        <v>-</v>
      </c>
      <c r="DK77" s="93" t="str">
        <f t="shared" si="567"/>
        <v>-</v>
      </c>
      <c r="DL77" s="90" t="str">
        <f t="shared" si="567"/>
        <v>-</v>
      </c>
      <c r="DM77" s="91" t="str">
        <f t="shared" si="567"/>
        <v>-</v>
      </c>
      <c r="DN77" s="93" t="str">
        <f t="shared" si="567"/>
        <v>-</v>
      </c>
      <c r="DO77" s="90" t="str">
        <f t="shared" si="567"/>
        <v>-</v>
      </c>
      <c r="DP77" s="91" t="str">
        <f t="shared" si="567"/>
        <v>-</v>
      </c>
      <c r="DQ77" s="93" t="str">
        <f t="shared" si="567"/>
        <v>-</v>
      </c>
      <c r="DR77" s="433" t="str">
        <f t="shared" si="567"/>
        <v>-</v>
      </c>
      <c r="DS77" s="91" t="str">
        <f t="shared" si="567"/>
        <v>-</v>
      </c>
      <c r="DT77" s="184" t="str">
        <f t="shared" si="567"/>
        <v>-</v>
      </c>
    </row>
    <row r="78" spans="1:124" ht="14.25" customHeight="1">
      <c r="A78" s="23"/>
      <c r="B78" s="87"/>
      <c r="C78" s="88"/>
      <c r="D78" s="89"/>
      <c r="E78" s="433"/>
      <c r="F78" s="91"/>
      <c r="G78" s="184"/>
      <c r="H78" s="91"/>
      <c r="I78" s="91"/>
      <c r="J78" s="93"/>
      <c r="K78" s="91"/>
      <c r="L78" s="91"/>
      <c r="M78" s="93"/>
      <c r="N78" s="92"/>
      <c r="O78" s="91"/>
      <c r="P78" s="93"/>
      <c r="Q78" s="92"/>
      <c r="R78" s="91"/>
      <c r="S78" s="93"/>
      <c r="T78" s="92"/>
      <c r="U78" s="91"/>
      <c r="V78" s="93"/>
      <c r="W78" s="92"/>
      <c r="X78" s="91"/>
      <c r="Y78" s="93"/>
      <c r="Z78" s="92"/>
      <c r="AA78" s="91"/>
      <c r="AB78" s="93"/>
      <c r="AC78" s="92"/>
      <c r="AD78" s="91"/>
      <c r="AE78" s="93"/>
      <c r="AF78" s="92"/>
      <c r="AG78" s="91"/>
      <c r="AH78" s="93"/>
      <c r="AI78" s="92"/>
      <c r="AJ78" s="91"/>
      <c r="AK78" s="93"/>
      <c r="AL78" s="92"/>
      <c r="AM78" s="91"/>
      <c r="AN78" s="93"/>
      <c r="AO78" s="92"/>
      <c r="AP78" s="91"/>
      <c r="AQ78" s="93"/>
      <c r="AR78" s="433"/>
      <c r="AS78" s="91"/>
      <c r="AT78" s="184"/>
      <c r="AU78" s="92"/>
      <c r="AV78" s="91"/>
      <c r="AW78" s="93"/>
      <c r="AX78" s="92"/>
      <c r="AY78" s="91"/>
      <c r="AZ78" s="93"/>
      <c r="BA78" s="92"/>
      <c r="BB78" s="91"/>
      <c r="BC78" s="93"/>
      <c r="BD78" s="92"/>
      <c r="BE78" s="91"/>
      <c r="BF78" s="93"/>
      <c r="BG78" s="92"/>
      <c r="BH78" s="91"/>
      <c r="BI78" s="93"/>
      <c r="BJ78" s="92"/>
      <c r="BK78" s="91"/>
      <c r="BL78" s="93"/>
      <c r="BM78" s="92"/>
      <c r="BN78" s="91"/>
      <c r="BO78" s="93"/>
      <c r="BP78" s="92"/>
      <c r="BQ78" s="91"/>
      <c r="BR78" s="93"/>
      <c r="BS78" s="92"/>
      <c r="BT78" s="91"/>
      <c r="BU78" s="93"/>
      <c r="BV78" s="92"/>
      <c r="BW78" s="91"/>
      <c r="BX78" s="93"/>
      <c r="BY78" s="92"/>
      <c r="BZ78" s="91"/>
      <c r="CA78" s="93"/>
      <c r="CB78" s="92"/>
      <c r="CC78" s="91"/>
      <c r="CD78" s="93"/>
      <c r="CE78" s="433"/>
      <c r="CF78" s="91"/>
      <c r="CG78" s="184"/>
      <c r="CH78" s="91"/>
      <c r="CI78" s="91"/>
      <c r="CJ78" s="93"/>
      <c r="CK78" s="90"/>
      <c r="CL78" s="91"/>
      <c r="CM78" s="93"/>
      <c r="CN78" s="90"/>
      <c r="CO78" s="91"/>
      <c r="CP78" s="93"/>
      <c r="CQ78" s="90"/>
      <c r="CR78" s="91"/>
      <c r="CS78" s="93"/>
      <c r="CT78" s="90"/>
      <c r="CU78" s="91"/>
      <c r="CV78" s="93"/>
      <c r="CW78" s="90"/>
      <c r="CX78" s="91"/>
      <c r="CY78" s="93"/>
      <c r="CZ78" s="90"/>
      <c r="DA78" s="91"/>
      <c r="DB78" s="93"/>
      <c r="DC78" s="90"/>
      <c r="DD78" s="91"/>
      <c r="DE78" s="93"/>
      <c r="DF78" s="90"/>
      <c r="DG78" s="91"/>
      <c r="DH78" s="93"/>
      <c r="DI78" s="90"/>
      <c r="DJ78" s="91"/>
      <c r="DK78" s="93"/>
      <c r="DL78" s="90"/>
      <c r="DM78" s="91"/>
      <c r="DN78" s="93"/>
      <c r="DO78" s="90"/>
      <c r="DP78" s="91"/>
      <c r="DQ78" s="93"/>
      <c r="DR78" s="433"/>
      <c r="DS78" s="91"/>
      <c r="DT78" s="184"/>
    </row>
    <row r="79" spans="1:124" ht="14.25" customHeight="1">
      <c r="A79" s="23"/>
      <c r="B79" s="100" t="s">
        <v>81</v>
      </c>
      <c r="C79" s="101" t="s">
        <v>2</v>
      </c>
      <c r="D79" s="102" t="s">
        <v>244</v>
      </c>
      <c r="E79" s="435">
        <f t="shared" ref="E79" si="568">SUM(E80:E83)</f>
        <v>0</v>
      </c>
      <c r="F79" s="107">
        <f t="shared" ref="F79" si="569">SUM(F80:F83)</f>
        <v>0</v>
      </c>
      <c r="G79" s="183">
        <f t="shared" ref="G79" si="570">SUM(G80:G83)</f>
        <v>0</v>
      </c>
      <c r="H79" s="107">
        <f t="shared" ref="H79" si="571">SUM(H80:H83)</f>
        <v>0</v>
      </c>
      <c r="I79" s="107">
        <f t="shared" ref="I79" si="572">SUM(I80:I83)</f>
        <v>0</v>
      </c>
      <c r="J79" s="547">
        <f t="shared" ref="J79" si="573">SUM(J80:J83)</f>
        <v>0</v>
      </c>
      <c r="K79" s="107">
        <f t="shared" ref="K79" si="574">SUM(K80:K83)</f>
        <v>0</v>
      </c>
      <c r="L79" s="107">
        <f t="shared" ref="L79" si="575">SUM(L80:L83)</f>
        <v>0</v>
      </c>
      <c r="M79" s="547">
        <f t="shared" ref="M79" si="576">SUM(M80:M83)</f>
        <v>0</v>
      </c>
      <c r="N79" s="106">
        <f t="shared" ref="N79" si="577">SUM(N80:N83)</f>
        <v>0</v>
      </c>
      <c r="O79" s="107">
        <f t="shared" ref="O79" si="578">SUM(O80:O83)</f>
        <v>0</v>
      </c>
      <c r="P79" s="547">
        <f t="shared" ref="P79" si="579">SUM(P80:P83)</f>
        <v>0</v>
      </c>
      <c r="Q79" s="106">
        <f t="shared" ref="Q79" si="580">SUM(Q80:Q83)</f>
        <v>0</v>
      </c>
      <c r="R79" s="107">
        <f t="shared" ref="R79" si="581">SUM(R80:R83)</f>
        <v>0</v>
      </c>
      <c r="S79" s="547">
        <f t="shared" ref="S79" si="582">SUM(S80:S83)</f>
        <v>0</v>
      </c>
      <c r="T79" s="106">
        <f t="shared" ref="T79" si="583">SUM(T80:T83)</f>
        <v>0</v>
      </c>
      <c r="U79" s="107">
        <f t="shared" ref="U79" si="584">SUM(U80:U83)</f>
        <v>0</v>
      </c>
      <c r="V79" s="547">
        <f t="shared" ref="V79" si="585">SUM(V80:V83)</f>
        <v>0</v>
      </c>
      <c r="W79" s="106">
        <f t="shared" ref="W79" si="586">SUM(W80:W83)</f>
        <v>0</v>
      </c>
      <c r="X79" s="107">
        <f t="shared" ref="X79" si="587">SUM(X80:X83)</f>
        <v>0</v>
      </c>
      <c r="Y79" s="547">
        <f t="shared" ref="Y79" si="588">SUM(Y80:Y83)</f>
        <v>0</v>
      </c>
      <c r="Z79" s="106">
        <f t="shared" ref="Z79" si="589">SUM(Z80:Z83)</f>
        <v>0</v>
      </c>
      <c r="AA79" s="107">
        <f t="shared" ref="AA79" si="590">SUM(AA80:AA83)</f>
        <v>0</v>
      </c>
      <c r="AB79" s="547">
        <f t="shared" ref="AB79" si="591">SUM(AB80:AB83)</f>
        <v>0</v>
      </c>
      <c r="AC79" s="106">
        <f t="shared" ref="AC79" si="592">SUM(AC80:AC83)</f>
        <v>0</v>
      </c>
      <c r="AD79" s="107">
        <f t="shared" ref="AD79" si="593">SUM(AD80:AD83)</f>
        <v>0</v>
      </c>
      <c r="AE79" s="547">
        <f t="shared" ref="AE79" si="594">SUM(AE80:AE83)</f>
        <v>0</v>
      </c>
      <c r="AF79" s="106">
        <f t="shared" ref="AF79" si="595">SUM(AF80:AF83)</f>
        <v>0</v>
      </c>
      <c r="AG79" s="107">
        <f t="shared" ref="AG79" si="596">SUM(AG80:AG83)</f>
        <v>0</v>
      </c>
      <c r="AH79" s="547">
        <f t="shared" ref="AH79" si="597">SUM(AH80:AH83)</f>
        <v>0</v>
      </c>
      <c r="AI79" s="106">
        <f t="shared" ref="AI79" si="598">SUM(AI80:AI83)</f>
        <v>0</v>
      </c>
      <c r="AJ79" s="107">
        <f t="shared" ref="AJ79" si="599">SUM(AJ80:AJ83)</f>
        <v>0</v>
      </c>
      <c r="AK79" s="547">
        <f t="shared" ref="AK79" si="600">SUM(AK80:AK83)</f>
        <v>0</v>
      </c>
      <c r="AL79" s="106">
        <f t="shared" ref="AL79" si="601">SUM(AL80:AL83)</f>
        <v>0</v>
      </c>
      <c r="AM79" s="107">
        <f t="shared" ref="AM79" si="602">SUM(AM80:AM83)</f>
        <v>0</v>
      </c>
      <c r="AN79" s="547">
        <f t="shared" ref="AN79" si="603">SUM(AN80:AN83)</f>
        <v>0</v>
      </c>
      <c r="AO79" s="106">
        <f t="shared" ref="AO79" si="604">SUM(AO80:AO83)</f>
        <v>0</v>
      </c>
      <c r="AP79" s="107">
        <f t="shared" ref="AP79" si="605">SUM(AP80:AP83)</f>
        <v>0</v>
      </c>
      <c r="AQ79" s="547">
        <f t="shared" ref="AQ79" si="606">SUM(AQ80:AQ83)</f>
        <v>0</v>
      </c>
      <c r="AR79" s="435">
        <f t="shared" ref="AR79" si="607">SUM(AR80:AR83)</f>
        <v>0</v>
      </c>
      <c r="AS79" s="107">
        <f t="shared" ref="AS79" si="608">SUM(AS80:AS83)</f>
        <v>0</v>
      </c>
      <c r="AT79" s="183">
        <f t="shared" ref="AT79" si="609">SUM(AT80:AT83)</f>
        <v>0</v>
      </c>
      <c r="AU79" s="106">
        <f t="shared" ref="AU79" si="610">SUM(AU80:AU83)</f>
        <v>0</v>
      </c>
      <c r="AV79" s="107">
        <f t="shared" ref="AV79" si="611">SUM(AV80:AV83)</f>
        <v>4130351.82</v>
      </c>
      <c r="AW79" s="547">
        <f t="shared" ref="AW79" si="612">SUM(AW80:AW83)</f>
        <v>4130351.82</v>
      </c>
      <c r="AX79" s="106">
        <f t="shared" ref="AX79" si="613">SUM(AX80:AX83)</f>
        <v>0</v>
      </c>
      <c r="AY79" s="107">
        <f t="shared" ref="AY79" si="614">SUM(AY80:AY83)</f>
        <v>3639483</v>
      </c>
      <c r="AZ79" s="547">
        <f t="shared" ref="AZ79" si="615">SUM(AZ80:AZ83)</f>
        <v>3639483</v>
      </c>
      <c r="BA79" s="106">
        <f t="shared" ref="BA79" si="616">SUM(BA80:BA83)</f>
        <v>0</v>
      </c>
      <c r="BB79" s="107">
        <f t="shared" ref="BB79" si="617">SUM(BB80:BB83)</f>
        <v>2083498.1600000001</v>
      </c>
      <c r="BC79" s="547">
        <f t="shared" ref="BC79" si="618">SUM(BC80:BC83)</f>
        <v>2083498.1600000001</v>
      </c>
      <c r="BD79" s="106">
        <f t="shared" ref="BD79" si="619">SUM(BD80:BD83)</f>
        <v>0</v>
      </c>
      <c r="BE79" s="107">
        <f t="shared" ref="BE79" si="620">SUM(BE80:BE83)</f>
        <v>1160232.1499999999</v>
      </c>
      <c r="BF79" s="547">
        <f t="shared" ref="BF79" si="621">SUM(BF80:BF83)</f>
        <v>1160232.1499999999</v>
      </c>
      <c r="BG79" s="106">
        <f t="shared" ref="BG79" si="622">SUM(BG80:BG83)</f>
        <v>0</v>
      </c>
      <c r="BH79" s="107">
        <f t="shared" ref="BH79" si="623">SUM(BH80:BH83)</f>
        <v>1556476.12</v>
      </c>
      <c r="BI79" s="547">
        <f t="shared" ref="BI79" si="624">SUM(BI80:BI83)</f>
        <v>1556476.12</v>
      </c>
      <c r="BJ79" s="106">
        <f t="shared" ref="BJ79" si="625">SUM(BJ80:BJ83)</f>
        <v>0</v>
      </c>
      <c r="BK79" s="107">
        <f t="shared" ref="BK79" si="626">SUM(BK80:BK83)</f>
        <v>2298436.89</v>
      </c>
      <c r="BL79" s="547">
        <f t="shared" ref="BL79" si="627">SUM(BL80:BL83)</f>
        <v>2298436.89</v>
      </c>
      <c r="BM79" s="106">
        <f t="shared" ref="BM79" si="628">SUM(BM80:BM83)</f>
        <v>0</v>
      </c>
      <c r="BN79" s="107">
        <f t="shared" ref="BN79" si="629">SUM(BN80:BN83)</f>
        <v>2710073.87</v>
      </c>
      <c r="BO79" s="547">
        <f t="shared" ref="BO79" si="630">SUM(BO80:BO83)</f>
        <v>2710073.87</v>
      </c>
      <c r="BP79" s="106">
        <f t="shared" ref="BP79" si="631">SUM(BP80:BP83)</f>
        <v>0</v>
      </c>
      <c r="BQ79" s="107">
        <f t="shared" ref="BQ79" si="632">SUM(BQ80:BQ83)</f>
        <v>3421086.01</v>
      </c>
      <c r="BR79" s="547">
        <f t="shared" ref="BR79" si="633">SUM(BR80:BR83)</f>
        <v>3421086.01</v>
      </c>
      <c r="BS79" s="106">
        <f t="shared" ref="BS79" si="634">SUM(BS80:BS83)</f>
        <v>0</v>
      </c>
      <c r="BT79" s="107">
        <f t="shared" ref="BT79" si="635">SUM(BT80:BT83)</f>
        <v>4385315.6100000003</v>
      </c>
      <c r="BU79" s="547">
        <f t="shared" ref="BU79" si="636">SUM(BU80:BU83)</f>
        <v>4385315.6100000003</v>
      </c>
      <c r="BV79" s="106">
        <f t="shared" ref="BV79" si="637">SUM(BV80:BV83)</f>
        <v>0</v>
      </c>
      <c r="BW79" s="107">
        <f t="shared" ref="BW79" si="638">SUM(BW80:BW83)</f>
        <v>5646215.9299999997</v>
      </c>
      <c r="BX79" s="547">
        <f t="shared" ref="BX79" si="639">SUM(BX80:BX83)</f>
        <v>5646215.9299999997</v>
      </c>
      <c r="BY79" s="106">
        <f t="shared" ref="BY79" si="640">SUM(BY80:BY83)</f>
        <v>0</v>
      </c>
      <c r="BZ79" s="107">
        <f t="shared" ref="BZ79" si="641">SUM(BZ80:BZ83)</f>
        <v>7068793.2499999991</v>
      </c>
      <c r="CA79" s="547">
        <f t="shared" ref="CA79" si="642">SUM(CA80:CA83)</f>
        <v>7068793.2499999991</v>
      </c>
      <c r="CB79" s="106">
        <f t="shared" ref="CB79" si="643">SUM(CB80:CB83)</f>
        <v>0</v>
      </c>
      <c r="CC79" s="107">
        <f t="shared" ref="CC79" si="644">SUM(CC80:CC83)</f>
        <v>9598612.0500000007</v>
      </c>
      <c r="CD79" s="547">
        <f t="shared" ref="CD79" si="645">SUM(CD80:CD83)</f>
        <v>9598612.0500000007</v>
      </c>
      <c r="CE79" s="435">
        <f t="shared" ref="CE79" si="646">SUM(CE80:CE83)</f>
        <v>0</v>
      </c>
      <c r="CF79" s="107">
        <f t="shared" ref="CF79" si="647">SUM(CF80:CF83)</f>
        <v>47698574.859999999</v>
      </c>
      <c r="CG79" s="183">
        <f t="shared" ref="CG79" si="648">SUM(CG80:CG83)</f>
        <v>47698574.859999999</v>
      </c>
      <c r="CH79" s="107">
        <f t="shared" ref="CH79" si="649">SUM(CH80:CH83)</f>
        <v>307997</v>
      </c>
      <c r="CI79" s="107">
        <f t="shared" ref="CI79" si="650">SUM(CI80:CI83)</f>
        <v>6090579</v>
      </c>
      <c r="CJ79" s="547">
        <f t="shared" ref="CJ79" si="651">SUM(CJ80:CJ83)</f>
        <v>6398576</v>
      </c>
      <c r="CK79" s="106">
        <f t="shared" ref="CK79" si="652">SUM(CK80:CK83)</f>
        <v>0</v>
      </c>
      <c r="CL79" s="107">
        <f t="shared" ref="CL79" si="653">SUM(CL80:CL83)</f>
        <v>0</v>
      </c>
      <c r="CM79" s="547">
        <f t="shared" ref="CM79" si="654">SUM(CM80:CM83)</f>
        <v>0</v>
      </c>
      <c r="CN79" s="106">
        <f t="shared" ref="CN79" si="655">SUM(CN80:CN83)</f>
        <v>0</v>
      </c>
      <c r="CO79" s="107">
        <f t="shared" ref="CO79" si="656">SUM(CO80:CO83)</f>
        <v>0</v>
      </c>
      <c r="CP79" s="547">
        <f t="shared" ref="CP79" si="657">SUM(CP80:CP83)</f>
        <v>0</v>
      </c>
      <c r="CQ79" s="106">
        <f t="shared" ref="CQ79" si="658">SUM(CQ80:CQ83)</f>
        <v>0</v>
      </c>
      <c r="CR79" s="107">
        <f t="shared" ref="CR79" si="659">SUM(CR80:CR83)</f>
        <v>0</v>
      </c>
      <c r="CS79" s="547">
        <f t="shared" ref="CS79" si="660">SUM(CS80:CS83)</f>
        <v>0</v>
      </c>
      <c r="CT79" s="106">
        <f t="shared" ref="CT79" si="661">SUM(CT80:CT83)</f>
        <v>0</v>
      </c>
      <c r="CU79" s="107">
        <f t="shared" ref="CU79" si="662">SUM(CU80:CU83)</f>
        <v>0</v>
      </c>
      <c r="CV79" s="547">
        <f t="shared" ref="CV79" si="663">SUM(CV80:CV83)</f>
        <v>0</v>
      </c>
      <c r="CW79" s="106">
        <f t="shared" ref="CW79" si="664">SUM(CW80:CW83)</f>
        <v>0</v>
      </c>
      <c r="CX79" s="107">
        <f t="shared" ref="CX79" si="665">SUM(CX80:CX83)</f>
        <v>0</v>
      </c>
      <c r="CY79" s="547">
        <f t="shared" ref="CY79" si="666">SUM(CY80:CY83)</f>
        <v>0</v>
      </c>
      <c r="CZ79" s="106">
        <f t="shared" ref="CZ79" si="667">SUM(CZ80:CZ83)</f>
        <v>0</v>
      </c>
      <c r="DA79" s="107">
        <f t="shared" ref="DA79" si="668">SUM(DA80:DA83)</f>
        <v>0</v>
      </c>
      <c r="DB79" s="547">
        <f t="shared" ref="DB79" si="669">SUM(DB80:DB83)</f>
        <v>0</v>
      </c>
      <c r="DC79" s="106">
        <f t="shared" ref="DC79" si="670">SUM(DC80:DC83)</f>
        <v>0</v>
      </c>
      <c r="DD79" s="107">
        <f t="shared" ref="DD79" si="671">SUM(DD80:DD83)</f>
        <v>0</v>
      </c>
      <c r="DE79" s="547">
        <f t="shared" ref="DE79" si="672">SUM(DE80:DE83)</f>
        <v>0</v>
      </c>
      <c r="DF79" s="106">
        <f t="shared" ref="DF79" si="673">SUM(DF80:DF83)</f>
        <v>0</v>
      </c>
      <c r="DG79" s="107">
        <f t="shared" ref="DG79" si="674">SUM(DG80:DG83)</f>
        <v>0</v>
      </c>
      <c r="DH79" s="547">
        <f t="shared" ref="DH79" si="675">SUM(DH80:DH83)</f>
        <v>0</v>
      </c>
      <c r="DI79" s="106">
        <f t="shared" ref="DI79" si="676">SUM(DI80:DI83)</f>
        <v>0</v>
      </c>
      <c r="DJ79" s="107">
        <f t="shared" ref="DJ79" si="677">SUM(DJ80:DJ83)</f>
        <v>0</v>
      </c>
      <c r="DK79" s="547">
        <f t="shared" ref="DK79" si="678">SUM(DK80:DK83)</f>
        <v>0</v>
      </c>
      <c r="DL79" s="106">
        <f t="shared" ref="DL79" si="679">SUM(DL80:DL83)</f>
        <v>0</v>
      </c>
      <c r="DM79" s="107">
        <f t="shared" ref="DM79" si="680">SUM(DM80:DM83)</f>
        <v>0</v>
      </c>
      <c r="DN79" s="547">
        <f t="shared" ref="DN79" si="681">SUM(DN80:DN83)</f>
        <v>0</v>
      </c>
      <c r="DO79" s="106">
        <f t="shared" ref="DO79" si="682">SUM(DO80:DO83)</f>
        <v>0</v>
      </c>
      <c r="DP79" s="107">
        <f t="shared" ref="DP79" si="683">SUM(DP80:DP83)</f>
        <v>0</v>
      </c>
      <c r="DQ79" s="547">
        <f t="shared" ref="DQ79" si="684">SUM(DQ80:DQ83)</f>
        <v>0</v>
      </c>
      <c r="DR79" s="435">
        <f t="shared" ref="DR79" si="685">SUM(DR80:DR83)</f>
        <v>307997</v>
      </c>
      <c r="DS79" s="107">
        <f t="shared" ref="DS79" si="686">SUM(DS80:DS83)</f>
        <v>6090579</v>
      </c>
      <c r="DT79" s="183">
        <f t="shared" ref="DT79" si="687">SUM(DT80:DT83)</f>
        <v>6398576</v>
      </c>
    </row>
    <row r="80" spans="1:124" ht="14.25" customHeight="1">
      <c r="A80" s="23"/>
      <c r="B80" s="87"/>
      <c r="C80" s="88"/>
      <c r="D80" s="89" t="s">
        <v>188</v>
      </c>
      <c r="E80" s="433"/>
      <c r="F80" s="91"/>
      <c r="G80" s="184">
        <f>SUM(E80:F80)</f>
        <v>0</v>
      </c>
      <c r="H80" s="91"/>
      <c r="I80" s="91"/>
      <c r="J80" s="93">
        <f>SUM(H80:I80)</f>
        <v>0</v>
      </c>
      <c r="K80" s="91"/>
      <c r="L80" s="91"/>
      <c r="M80" s="93">
        <f>SUM(K80:L80)</f>
        <v>0</v>
      </c>
      <c r="N80" s="92"/>
      <c r="O80" s="91"/>
      <c r="P80" s="93">
        <f>SUM(N80:O80)</f>
        <v>0</v>
      </c>
      <c r="Q80" s="92"/>
      <c r="R80" s="91"/>
      <c r="S80" s="93">
        <f>SUM(Q80:R80)</f>
        <v>0</v>
      </c>
      <c r="T80" s="92"/>
      <c r="U80" s="91"/>
      <c r="V80" s="93">
        <f>SUM(T80:U80)</f>
        <v>0</v>
      </c>
      <c r="W80" s="92"/>
      <c r="X80" s="91"/>
      <c r="Y80" s="93">
        <f>SUM(W80:X80)</f>
        <v>0</v>
      </c>
      <c r="Z80" s="92"/>
      <c r="AA80" s="91"/>
      <c r="AB80" s="93">
        <f>SUM(Z80:AA80)</f>
        <v>0</v>
      </c>
      <c r="AC80" s="92"/>
      <c r="AD80" s="91"/>
      <c r="AE80" s="93">
        <f>SUM(AC80:AD80)</f>
        <v>0</v>
      </c>
      <c r="AF80" s="92"/>
      <c r="AG80" s="91"/>
      <c r="AH80" s="93">
        <f>SUM(AF80:AG80)</f>
        <v>0</v>
      </c>
      <c r="AI80" s="92"/>
      <c r="AJ80" s="91"/>
      <c r="AK80" s="93">
        <f>SUM(AI80:AJ80)</f>
        <v>0</v>
      </c>
      <c r="AL80" s="92"/>
      <c r="AM80" s="91"/>
      <c r="AN80" s="93">
        <f>SUM(AL80:AM80)</f>
        <v>0</v>
      </c>
      <c r="AO80" s="92"/>
      <c r="AP80" s="91"/>
      <c r="AQ80" s="93">
        <f>SUM(AO80:AP80)</f>
        <v>0</v>
      </c>
      <c r="AR80" s="433">
        <f>AO80+AL80+AI80+AF80+AC80+Z80+W80+T80+Q80+N80+K80+H80</f>
        <v>0</v>
      </c>
      <c r="AS80" s="91">
        <f>AP80+AM80+AJ80+AG80+AD80+AA80+X80+U80+R80+O80+L80+I80</f>
        <v>0</v>
      </c>
      <c r="AT80" s="184">
        <f>SUM(AR80:AS80)</f>
        <v>0</v>
      </c>
      <c r="AU80" s="92">
        <v>0</v>
      </c>
      <c r="AV80" s="91">
        <v>2159608.8313539671</v>
      </c>
      <c r="AW80" s="93">
        <f>SUM(AU80:AV80)</f>
        <v>2159608.8313539671</v>
      </c>
      <c r="AX80" s="92">
        <v>0</v>
      </c>
      <c r="AY80" s="91">
        <v>1365590.0699999998</v>
      </c>
      <c r="AZ80" s="93">
        <f>SUM(AX80:AY80)</f>
        <v>1365590.0699999998</v>
      </c>
      <c r="BA80" s="92">
        <v>0</v>
      </c>
      <c r="BB80" s="91">
        <v>985931.21</v>
      </c>
      <c r="BC80" s="93">
        <f>SUM(BA80:BB80)</f>
        <v>985931.21</v>
      </c>
      <c r="BD80" s="92">
        <v>0</v>
      </c>
      <c r="BE80" s="91">
        <v>198173.12</v>
      </c>
      <c r="BF80" s="93">
        <f>SUM(BD80:BE80)</f>
        <v>198173.12</v>
      </c>
      <c r="BG80" s="92">
        <v>0</v>
      </c>
      <c r="BH80" s="91">
        <v>622055</v>
      </c>
      <c r="BI80" s="93">
        <f>SUM(BG80:BH80)</f>
        <v>622055</v>
      </c>
      <c r="BJ80" s="92">
        <v>0</v>
      </c>
      <c r="BK80" s="91">
        <v>704646.85</v>
      </c>
      <c r="BL80" s="93">
        <f>SUM(BJ80:BK80)</f>
        <v>704646.85</v>
      </c>
      <c r="BM80" s="92">
        <v>0</v>
      </c>
      <c r="BN80" s="91">
        <v>916430.87</v>
      </c>
      <c r="BO80" s="93">
        <f>SUM(BM80:BN80)</f>
        <v>916430.87</v>
      </c>
      <c r="BP80" s="92">
        <v>0</v>
      </c>
      <c r="BQ80" s="91">
        <v>1274682.95</v>
      </c>
      <c r="BR80" s="93">
        <f>SUM(BP80:BQ80)</f>
        <v>1274682.95</v>
      </c>
      <c r="BS80" s="92">
        <v>0</v>
      </c>
      <c r="BT80" s="91">
        <v>1804217.83</v>
      </c>
      <c r="BU80" s="93">
        <f>SUM(BS80:BT80)</f>
        <v>1804217.83</v>
      </c>
      <c r="BV80" s="92">
        <v>0</v>
      </c>
      <c r="BW80" s="91">
        <v>2194866.0399999996</v>
      </c>
      <c r="BX80" s="93">
        <f>SUM(BV80:BW80)</f>
        <v>2194866.0399999996</v>
      </c>
      <c r="BY80" s="92">
        <v>0</v>
      </c>
      <c r="BZ80" s="91">
        <v>2326136.9900000002</v>
      </c>
      <c r="CA80" s="93">
        <f>SUM(BY80:BZ80)</f>
        <v>2326136.9900000002</v>
      </c>
      <c r="CB80" s="92">
        <v>0</v>
      </c>
      <c r="CC80" s="91">
        <v>2954601.95</v>
      </c>
      <c r="CD80" s="93">
        <f>SUM(CB80:CC80)</f>
        <v>2954601.95</v>
      </c>
      <c r="CE80" s="438">
        <f t="shared" ref="CE80:CE83" si="688">CB80+BY80+BV80+BS80+BP80+BM80+BJ80+BG80+BD80+BA80+AX80+AU80</f>
        <v>0</v>
      </c>
      <c r="CF80" s="175">
        <f t="shared" ref="CF80:CF83" si="689">CC80+BZ80+BW80+BT80+BQ80+BN80+BK80+BH80+BE80+BB80+AY80+AV80</f>
        <v>17506941.711353965</v>
      </c>
      <c r="CG80" s="439">
        <f t="shared" ref="CG80:CG83" si="690">SUM(CE80:CF80)</f>
        <v>17506941.711353965</v>
      </c>
      <c r="CH80" s="91">
        <v>49872</v>
      </c>
      <c r="CI80" s="91">
        <v>1725853</v>
      </c>
      <c r="CJ80" s="93">
        <f>SUM(CH80:CI80)</f>
        <v>1775725</v>
      </c>
      <c r="CK80" s="91"/>
      <c r="CL80" s="91"/>
      <c r="CM80" s="93">
        <f>SUM(CK80:CL80)</f>
        <v>0</v>
      </c>
      <c r="CN80" s="92"/>
      <c r="CO80" s="91"/>
      <c r="CP80" s="93">
        <f>SUM(CN80:CO80)</f>
        <v>0</v>
      </c>
      <c r="CQ80" s="92"/>
      <c r="CR80" s="91"/>
      <c r="CS80" s="93">
        <f>SUM(CQ80:CR80)</f>
        <v>0</v>
      </c>
      <c r="CT80" s="92"/>
      <c r="CU80" s="91"/>
      <c r="CV80" s="93">
        <f>SUM(CT80:CU80)</f>
        <v>0</v>
      </c>
      <c r="CW80" s="92"/>
      <c r="CX80" s="91"/>
      <c r="CY80" s="93">
        <f>SUM(CW80:CX80)</f>
        <v>0</v>
      </c>
      <c r="CZ80" s="92"/>
      <c r="DA80" s="91"/>
      <c r="DB80" s="93">
        <f>SUM(CZ80:DA80)</f>
        <v>0</v>
      </c>
      <c r="DC80" s="92"/>
      <c r="DD80" s="91"/>
      <c r="DE80" s="93">
        <f>SUM(DC80:DD80)</f>
        <v>0</v>
      </c>
      <c r="DF80" s="92"/>
      <c r="DG80" s="91"/>
      <c r="DH80" s="93">
        <f>SUM(DF80:DG80)</f>
        <v>0</v>
      </c>
      <c r="DI80" s="92"/>
      <c r="DJ80" s="91"/>
      <c r="DK80" s="93">
        <f>SUM(DI80:DJ80)</f>
        <v>0</v>
      </c>
      <c r="DL80" s="92"/>
      <c r="DM80" s="91"/>
      <c r="DN80" s="93">
        <f>SUM(DL80:DM80)</f>
        <v>0</v>
      </c>
      <c r="DO80" s="92"/>
      <c r="DP80" s="91"/>
      <c r="DQ80" s="93">
        <f>SUM(DO80:DP80)</f>
        <v>0</v>
      </c>
      <c r="DR80" s="438">
        <f t="shared" ref="DR80:DR83" si="691">DO80+DL80+DI80+DF80+DC80+CZ80+CW80+CT80+CQ80+CN80+CK80+CH80</f>
        <v>49872</v>
      </c>
      <c r="DS80" s="175">
        <f t="shared" ref="DS80:DS83" si="692">DP80+DM80+DJ80+DG80+DD80+DA80+CX80+CU80+CR80+CO80+CL80+CI80</f>
        <v>1725853</v>
      </c>
      <c r="DT80" s="439">
        <f t="shared" ref="DT80:DT83" si="693">SUM(DR80:DS80)</f>
        <v>1775725</v>
      </c>
    </row>
    <row r="81" spans="1:124" ht="14.25" customHeight="1">
      <c r="A81" s="23"/>
      <c r="B81" s="87"/>
      <c r="C81" s="88"/>
      <c r="D81" s="89" t="s">
        <v>189</v>
      </c>
      <c r="E81" s="433"/>
      <c r="F81" s="91"/>
      <c r="G81" s="184">
        <f t="shared" ref="G81:G83" si="694">SUM(E81:F81)</f>
        <v>0</v>
      </c>
      <c r="H81" s="91"/>
      <c r="I81" s="91"/>
      <c r="J81" s="93">
        <f t="shared" ref="J81:J83" si="695">SUM(H81:I81)</f>
        <v>0</v>
      </c>
      <c r="K81" s="91"/>
      <c r="L81" s="91"/>
      <c r="M81" s="93">
        <f t="shared" ref="M81:M83" si="696">SUM(K81:L81)</f>
        <v>0</v>
      </c>
      <c r="N81" s="92"/>
      <c r="O81" s="91"/>
      <c r="P81" s="93">
        <f t="shared" ref="P81:P83" si="697">SUM(N81:O81)</f>
        <v>0</v>
      </c>
      <c r="Q81" s="92"/>
      <c r="R81" s="91"/>
      <c r="S81" s="93">
        <f t="shared" ref="S81:S83" si="698">SUM(Q81:R81)</f>
        <v>0</v>
      </c>
      <c r="T81" s="92"/>
      <c r="U81" s="91"/>
      <c r="V81" s="93">
        <f t="shared" ref="V81:V83" si="699">SUM(T81:U81)</f>
        <v>0</v>
      </c>
      <c r="W81" s="92"/>
      <c r="X81" s="91"/>
      <c r="Y81" s="93">
        <f t="shared" ref="Y81:Y83" si="700">SUM(W81:X81)</f>
        <v>0</v>
      </c>
      <c r="Z81" s="92"/>
      <c r="AA81" s="91"/>
      <c r="AB81" s="93">
        <f t="shared" ref="AB81:AB83" si="701">SUM(Z81:AA81)</f>
        <v>0</v>
      </c>
      <c r="AC81" s="92"/>
      <c r="AD81" s="91"/>
      <c r="AE81" s="93">
        <f t="shared" ref="AE81:AE83" si="702">SUM(AC81:AD81)</f>
        <v>0</v>
      </c>
      <c r="AF81" s="92"/>
      <c r="AG81" s="91"/>
      <c r="AH81" s="93">
        <f t="shared" ref="AH81:AH83" si="703">SUM(AF81:AG81)</f>
        <v>0</v>
      </c>
      <c r="AI81" s="92"/>
      <c r="AJ81" s="91"/>
      <c r="AK81" s="93">
        <f t="shared" ref="AK81:AK83" si="704">SUM(AI81:AJ81)</f>
        <v>0</v>
      </c>
      <c r="AL81" s="92"/>
      <c r="AM81" s="91"/>
      <c r="AN81" s="93">
        <f t="shared" ref="AN81:AN83" si="705">SUM(AL81:AM81)</f>
        <v>0</v>
      </c>
      <c r="AO81" s="92"/>
      <c r="AP81" s="91"/>
      <c r="AQ81" s="93">
        <f t="shared" ref="AQ81:AQ83" si="706">SUM(AO81:AP81)</f>
        <v>0</v>
      </c>
      <c r="AR81" s="433">
        <f t="shared" ref="AR81:AR83" si="707">AO81+AL81+AI81+AF81+AC81+Z81+W81+T81+Q81+N81+K81+H81</f>
        <v>0</v>
      </c>
      <c r="AS81" s="91">
        <f t="shared" ref="AS81:AS83" si="708">AP81+AM81+AJ81+AG81+AD81+AA81+X81+U81+R81+O81+L81+I81</f>
        <v>0</v>
      </c>
      <c r="AT81" s="184">
        <f t="shared" ref="AT81:AT83" si="709">SUM(AR81:AS81)</f>
        <v>0</v>
      </c>
      <c r="AU81" s="92">
        <v>0</v>
      </c>
      <c r="AV81" s="91">
        <v>207542.22729165305</v>
      </c>
      <c r="AW81" s="93">
        <f t="shared" ref="AW81:AW83" si="710">SUM(AU81:AV81)</f>
        <v>207542.22729165305</v>
      </c>
      <c r="AX81" s="92">
        <v>0</v>
      </c>
      <c r="AY81" s="91">
        <v>253014</v>
      </c>
      <c r="AZ81" s="93">
        <f t="shared" ref="AZ81:AZ83" si="711">SUM(AX81:AY81)</f>
        <v>253014</v>
      </c>
      <c r="BA81" s="92">
        <v>0</v>
      </c>
      <c r="BB81" s="91">
        <v>128769</v>
      </c>
      <c r="BC81" s="93">
        <f t="shared" ref="BC81:BC83" si="712">SUM(BA81:BB81)</f>
        <v>128769</v>
      </c>
      <c r="BD81" s="92">
        <v>0</v>
      </c>
      <c r="BE81" s="91">
        <v>106527.02</v>
      </c>
      <c r="BF81" s="93">
        <f t="shared" ref="BF81:BF83" si="713">SUM(BD81:BE81)</f>
        <v>106527.02</v>
      </c>
      <c r="BG81" s="92">
        <v>0</v>
      </c>
      <c r="BH81" s="91">
        <v>89698</v>
      </c>
      <c r="BI81" s="93">
        <f t="shared" ref="BI81:BI83" si="714">SUM(BG81:BH81)</f>
        <v>89698</v>
      </c>
      <c r="BJ81" s="92">
        <v>0</v>
      </c>
      <c r="BK81" s="91">
        <v>153116.01</v>
      </c>
      <c r="BL81" s="93">
        <f t="shared" ref="BL81:BL83" si="715">SUM(BJ81:BK81)</f>
        <v>153116.01</v>
      </c>
      <c r="BM81" s="92">
        <v>0</v>
      </c>
      <c r="BN81" s="91">
        <v>136241</v>
      </c>
      <c r="BO81" s="93">
        <f t="shared" ref="BO81:BO83" si="716">SUM(BM81:BN81)</f>
        <v>136241</v>
      </c>
      <c r="BP81" s="92">
        <v>0</v>
      </c>
      <c r="BQ81" s="91">
        <v>151764.44</v>
      </c>
      <c r="BR81" s="93">
        <f t="shared" ref="BR81:BR83" si="717">SUM(BP81:BQ81)</f>
        <v>151764.44</v>
      </c>
      <c r="BS81" s="92">
        <v>0</v>
      </c>
      <c r="BT81" s="91">
        <v>166446.46</v>
      </c>
      <c r="BU81" s="93">
        <f t="shared" ref="BU81:BU83" si="718">SUM(BS81:BT81)</f>
        <v>166446.46</v>
      </c>
      <c r="BV81" s="92">
        <v>0</v>
      </c>
      <c r="BW81" s="91">
        <v>172584.14999999997</v>
      </c>
      <c r="BX81" s="93">
        <f t="shared" ref="BX81:BX83" si="719">SUM(BV81:BW81)</f>
        <v>172584.14999999997</v>
      </c>
      <c r="BY81" s="92">
        <v>0</v>
      </c>
      <c r="BZ81" s="91">
        <v>228217.4</v>
      </c>
      <c r="CA81" s="93">
        <f t="shared" ref="CA81:CA83" si="720">SUM(BY81:BZ81)</f>
        <v>228217.4</v>
      </c>
      <c r="CB81" s="92">
        <v>0</v>
      </c>
      <c r="CC81" s="91">
        <v>266525.98</v>
      </c>
      <c r="CD81" s="93">
        <f t="shared" ref="CD81:CD83" si="721">SUM(CB81:CC81)</f>
        <v>266525.98</v>
      </c>
      <c r="CE81" s="438">
        <f t="shared" si="688"/>
        <v>0</v>
      </c>
      <c r="CF81" s="175">
        <f t="shared" si="689"/>
        <v>2060445.6872916529</v>
      </c>
      <c r="CG81" s="439">
        <f t="shared" si="690"/>
        <v>2060445.6872916529</v>
      </c>
      <c r="CH81" s="91">
        <v>15743</v>
      </c>
      <c r="CI81" s="91">
        <v>250939</v>
      </c>
      <c r="CJ81" s="93">
        <f t="shared" ref="CJ81:CJ83" si="722">SUM(CH81:CI81)</f>
        <v>266682</v>
      </c>
      <c r="CK81" s="91"/>
      <c r="CL81" s="91"/>
      <c r="CM81" s="93">
        <f t="shared" ref="CM81:CM83" si="723">SUM(CK81:CL81)</f>
        <v>0</v>
      </c>
      <c r="CN81" s="92"/>
      <c r="CO81" s="91"/>
      <c r="CP81" s="93">
        <f t="shared" ref="CP81:CP83" si="724">SUM(CN81:CO81)</f>
        <v>0</v>
      </c>
      <c r="CQ81" s="92"/>
      <c r="CR81" s="91"/>
      <c r="CS81" s="93">
        <f t="shared" ref="CS81:CS83" si="725">SUM(CQ81:CR81)</f>
        <v>0</v>
      </c>
      <c r="CT81" s="92"/>
      <c r="CU81" s="91"/>
      <c r="CV81" s="93">
        <f t="shared" ref="CV81:CV83" si="726">SUM(CT81:CU81)</f>
        <v>0</v>
      </c>
      <c r="CW81" s="92"/>
      <c r="CX81" s="91"/>
      <c r="CY81" s="93">
        <f t="shared" ref="CY81:CY83" si="727">SUM(CW81:CX81)</f>
        <v>0</v>
      </c>
      <c r="CZ81" s="92"/>
      <c r="DA81" s="91"/>
      <c r="DB81" s="93">
        <f t="shared" ref="DB81:DB83" si="728">SUM(CZ81:DA81)</f>
        <v>0</v>
      </c>
      <c r="DC81" s="92"/>
      <c r="DD81" s="91"/>
      <c r="DE81" s="93">
        <f t="shared" ref="DE81:DE83" si="729">SUM(DC81:DD81)</f>
        <v>0</v>
      </c>
      <c r="DF81" s="92"/>
      <c r="DG81" s="91"/>
      <c r="DH81" s="93">
        <f t="shared" ref="DH81:DH83" si="730">SUM(DF81:DG81)</f>
        <v>0</v>
      </c>
      <c r="DI81" s="92"/>
      <c r="DJ81" s="91"/>
      <c r="DK81" s="93">
        <f t="shared" ref="DK81:DK83" si="731">SUM(DI81:DJ81)</f>
        <v>0</v>
      </c>
      <c r="DL81" s="92"/>
      <c r="DM81" s="91"/>
      <c r="DN81" s="93">
        <f t="shared" ref="DN81:DN83" si="732">SUM(DL81:DM81)</f>
        <v>0</v>
      </c>
      <c r="DO81" s="92"/>
      <c r="DP81" s="91"/>
      <c r="DQ81" s="93">
        <f t="shared" ref="DQ81:DQ83" si="733">SUM(DO81:DP81)</f>
        <v>0</v>
      </c>
      <c r="DR81" s="438">
        <f t="shared" si="691"/>
        <v>15743</v>
      </c>
      <c r="DS81" s="175">
        <f t="shared" si="692"/>
        <v>250939</v>
      </c>
      <c r="DT81" s="439">
        <f t="shared" si="693"/>
        <v>266682</v>
      </c>
    </row>
    <row r="82" spans="1:124" ht="14.25" customHeight="1">
      <c r="A82" s="23"/>
      <c r="B82" s="87"/>
      <c r="C82" s="88"/>
      <c r="D82" s="89" t="s">
        <v>190</v>
      </c>
      <c r="E82" s="433"/>
      <c r="F82" s="91"/>
      <c r="G82" s="184">
        <f t="shared" si="694"/>
        <v>0</v>
      </c>
      <c r="H82" s="91"/>
      <c r="I82" s="91"/>
      <c r="J82" s="93">
        <f t="shared" si="695"/>
        <v>0</v>
      </c>
      <c r="K82" s="91"/>
      <c r="L82" s="91"/>
      <c r="M82" s="93">
        <f t="shared" si="696"/>
        <v>0</v>
      </c>
      <c r="N82" s="90"/>
      <c r="O82" s="91"/>
      <c r="P82" s="93">
        <f t="shared" si="697"/>
        <v>0</v>
      </c>
      <c r="Q82" s="90"/>
      <c r="R82" s="91"/>
      <c r="S82" s="93">
        <f t="shared" si="698"/>
        <v>0</v>
      </c>
      <c r="T82" s="90"/>
      <c r="U82" s="91"/>
      <c r="V82" s="93">
        <f t="shared" si="699"/>
        <v>0</v>
      </c>
      <c r="W82" s="90"/>
      <c r="X82" s="91"/>
      <c r="Y82" s="93">
        <f t="shared" si="700"/>
        <v>0</v>
      </c>
      <c r="Z82" s="90"/>
      <c r="AA82" s="91"/>
      <c r="AB82" s="93">
        <f t="shared" si="701"/>
        <v>0</v>
      </c>
      <c r="AC82" s="90"/>
      <c r="AD82" s="91"/>
      <c r="AE82" s="93">
        <f t="shared" si="702"/>
        <v>0</v>
      </c>
      <c r="AF82" s="90"/>
      <c r="AG82" s="91"/>
      <c r="AH82" s="93">
        <f t="shared" si="703"/>
        <v>0</v>
      </c>
      <c r="AI82" s="90"/>
      <c r="AJ82" s="91"/>
      <c r="AK82" s="93">
        <f t="shared" si="704"/>
        <v>0</v>
      </c>
      <c r="AL82" s="90"/>
      <c r="AM82" s="91"/>
      <c r="AN82" s="93">
        <f t="shared" si="705"/>
        <v>0</v>
      </c>
      <c r="AO82" s="90"/>
      <c r="AP82" s="91"/>
      <c r="AQ82" s="93">
        <f t="shared" si="706"/>
        <v>0</v>
      </c>
      <c r="AR82" s="433">
        <f t="shared" si="707"/>
        <v>0</v>
      </c>
      <c r="AS82" s="91">
        <f t="shared" si="708"/>
        <v>0</v>
      </c>
      <c r="AT82" s="184">
        <f t="shared" si="709"/>
        <v>0</v>
      </c>
      <c r="AU82" s="90">
        <v>0</v>
      </c>
      <c r="AV82" s="91">
        <v>1739380.7613543798</v>
      </c>
      <c r="AW82" s="93">
        <f t="shared" si="710"/>
        <v>1739380.7613543798</v>
      </c>
      <c r="AX82" s="90">
        <v>0</v>
      </c>
      <c r="AY82" s="91">
        <v>1993248.93</v>
      </c>
      <c r="AZ82" s="93">
        <f t="shared" si="711"/>
        <v>1993248.93</v>
      </c>
      <c r="BA82" s="90">
        <v>0</v>
      </c>
      <c r="BB82" s="91">
        <v>953097.95000000007</v>
      </c>
      <c r="BC82" s="93">
        <f t="shared" si="712"/>
        <v>953097.95000000007</v>
      </c>
      <c r="BD82" s="90">
        <v>0</v>
      </c>
      <c r="BE82" s="91">
        <v>839192.01</v>
      </c>
      <c r="BF82" s="93">
        <f t="shared" si="713"/>
        <v>839192.01</v>
      </c>
      <c r="BG82" s="90">
        <v>0</v>
      </c>
      <c r="BH82" s="91">
        <v>844723.12000000011</v>
      </c>
      <c r="BI82" s="93">
        <f t="shared" si="714"/>
        <v>844723.12000000011</v>
      </c>
      <c r="BJ82" s="90">
        <v>0</v>
      </c>
      <c r="BK82" s="91">
        <v>1428444.03</v>
      </c>
      <c r="BL82" s="93">
        <f t="shared" si="715"/>
        <v>1428444.03</v>
      </c>
      <c r="BM82" s="90">
        <v>0</v>
      </c>
      <c r="BN82" s="91">
        <v>1623432</v>
      </c>
      <c r="BO82" s="93">
        <f t="shared" si="716"/>
        <v>1623432</v>
      </c>
      <c r="BP82" s="90">
        <v>0</v>
      </c>
      <c r="BQ82" s="91">
        <v>1947939.33</v>
      </c>
      <c r="BR82" s="93">
        <f t="shared" si="717"/>
        <v>1947939.33</v>
      </c>
      <c r="BS82" s="90">
        <v>0</v>
      </c>
      <c r="BT82" s="91">
        <v>2348332.38</v>
      </c>
      <c r="BU82" s="93">
        <f t="shared" si="718"/>
        <v>2348332.38</v>
      </c>
      <c r="BV82" s="90">
        <v>0</v>
      </c>
      <c r="BW82" s="91">
        <v>3227865.7399999998</v>
      </c>
      <c r="BX82" s="93">
        <f t="shared" si="719"/>
        <v>3227865.7399999998</v>
      </c>
      <c r="BY82" s="90">
        <v>0</v>
      </c>
      <c r="BZ82" s="91">
        <v>4467704.5599999996</v>
      </c>
      <c r="CA82" s="93">
        <f t="shared" si="720"/>
        <v>4467704.5599999996</v>
      </c>
      <c r="CB82" s="90">
        <v>0</v>
      </c>
      <c r="CC82" s="91">
        <v>6357387.7299999995</v>
      </c>
      <c r="CD82" s="93">
        <f t="shared" si="721"/>
        <v>6357387.7299999995</v>
      </c>
      <c r="CE82" s="438">
        <f t="shared" si="688"/>
        <v>0</v>
      </c>
      <c r="CF82" s="175">
        <f t="shared" si="689"/>
        <v>27770748.541354384</v>
      </c>
      <c r="CG82" s="439">
        <f t="shared" si="690"/>
        <v>27770748.541354384</v>
      </c>
      <c r="CH82" s="91">
        <v>242382</v>
      </c>
      <c r="CI82" s="91">
        <v>4004180</v>
      </c>
      <c r="CJ82" s="93">
        <f t="shared" si="722"/>
        <v>4246562</v>
      </c>
      <c r="CK82" s="91"/>
      <c r="CL82" s="91"/>
      <c r="CM82" s="93">
        <f t="shared" si="723"/>
        <v>0</v>
      </c>
      <c r="CN82" s="90"/>
      <c r="CO82" s="91"/>
      <c r="CP82" s="93">
        <f t="shared" si="724"/>
        <v>0</v>
      </c>
      <c r="CQ82" s="90"/>
      <c r="CR82" s="91"/>
      <c r="CS82" s="93">
        <f t="shared" si="725"/>
        <v>0</v>
      </c>
      <c r="CT82" s="90"/>
      <c r="CU82" s="91"/>
      <c r="CV82" s="93">
        <f t="shared" si="726"/>
        <v>0</v>
      </c>
      <c r="CW82" s="90"/>
      <c r="CX82" s="91"/>
      <c r="CY82" s="93">
        <f t="shared" si="727"/>
        <v>0</v>
      </c>
      <c r="CZ82" s="90"/>
      <c r="DA82" s="91"/>
      <c r="DB82" s="93">
        <f t="shared" si="728"/>
        <v>0</v>
      </c>
      <c r="DC82" s="90"/>
      <c r="DD82" s="91"/>
      <c r="DE82" s="93">
        <f t="shared" si="729"/>
        <v>0</v>
      </c>
      <c r="DF82" s="90"/>
      <c r="DG82" s="91"/>
      <c r="DH82" s="93">
        <f t="shared" si="730"/>
        <v>0</v>
      </c>
      <c r="DI82" s="90"/>
      <c r="DJ82" s="91"/>
      <c r="DK82" s="93">
        <f t="shared" si="731"/>
        <v>0</v>
      </c>
      <c r="DL82" s="90"/>
      <c r="DM82" s="91"/>
      <c r="DN82" s="93">
        <f t="shared" si="732"/>
        <v>0</v>
      </c>
      <c r="DO82" s="90"/>
      <c r="DP82" s="91"/>
      <c r="DQ82" s="93">
        <f t="shared" si="733"/>
        <v>0</v>
      </c>
      <c r="DR82" s="438">
        <f t="shared" si="691"/>
        <v>242382</v>
      </c>
      <c r="DS82" s="175">
        <f t="shared" si="692"/>
        <v>4004180</v>
      </c>
      <c r="DT82" s="439">
        <f t="shared" si="693"/>
        <v>4246562</v>
      </c>
    </row>
    <row r="83" spans="1:124" ht="14.25" customHeight="1">
      <c r="A83" s="23"/>
      <c r="B83" s="87"/>
      <c r="C83" s="88"/>
      <c r="D83" s="89" t="s">
        <v>246</v>
      </c>
      <c r="E83" s="433"/>
      <c r="F83" s="91"/>
      <c r="G83" s="184">
        <f t="shared" si="694"/>
        <v>0</v>
      </c>
      <c r="H83" s="91"/>
      <c r="I83" s="91"/>
      <c r="J83" s="93">
        <f t="shared" si="695"/>
        <v>0</v>
      </c>
      <c r="K83" s="91"/>
      <c r="L83" s="91"/>
      <c r="M83" s="93">
        <f t="shared" si="696"/>
        <v>0</v>
      </c>
      <c r="N83" s="92"/>
      <c r="O83" s="91"/>
      <c r="P83" s="93">
        <f t="shared" si="697"/>
        <v>0</v>
      </c>
      <c r="Q83" s="92"/>
      <c r="R83" s="91"/>
      <c r="S83" s="93">
        <f t="shared" si="698"/>
        <v>0</v>
      </c>
      <c r="T83" s="92"/>
      <c r="U83" s="91"/>
      <c r="V83" s="93">
        <f t="shared" si="699"/>
        <v>0</v>
      </c>
      <c r="W83" s="92"/>
      <c r="X83" s="91"/>
      <c r="Y83" s="93">
        <f t="shared" si="700"/>
        <v>0</v>
      </c>
      <c r="Z83" s="92"/>
      <c r="AA83" s="91"/>
      <c r="AB83" s="93">
        <f t="shared" si="701"/>
        <v>0</v>
      </c>
      <c r="AC83" s="92"/>
      <c r="AD83" s="91"/>
      <c r="AE83" s="93">
        <f t="shared" si="702"/>
        <v>0</v>
      </c>
      <c r="AF83" s="92"/>
      <c r="AG83" s="91"/>
      <c r="AH83" s="93">
        <f t="shared" si="703"/>
        <v>0</v>
      </c>
      <c r="AI83" s="92"/>
      <c r="AJ83" s="91"/>
      <c r="AK83" s="93">
        <f t="shared" si="704"/>
        <v>0</v>
      </c>
      <c r="AL83" s="92"/>
      <c r="AM83" s="91"/>
      <c r="AN83" s="93">
        <f t="shared" si="705"/>
        <v>0</v>
      </c>
      <c r="AO83" s="92"/>
      <c r="AP83" s="91"/>
      <c r="AQ83" s="93">
        <f t="shared" si="706"/>
        <v>0</v>
      </c>
      <c r="AR83" s="433">
        <f t="shared" si="707"/>
        <v>0</v>
      </c>
      <c r="AS83" s="91">
        <f t="shared" si="708"/>
        <v>0</v>
      </c>
      <c r="AT83" s="184">
        <f t="shared" si="709"/>
        <v>0</v>
      </c>
      <c r="AU83" s="92">
        <v>0</v>
      </c>
      <c r="AV83" s="91">
        <v>23820</v>
      </c>
      <c r="AW83" s="93">
        <f t="shared" si="710"/>
        <v>23820</v>
      </c>
      <c r="AX83" s="92">
        <v>0</v>
      </c>
      <c r="AY83" s="91">
        <v>27630</v>
      </c>
      <c r="AZ83" s="93">
        <f t="shared" si="711"/>
        <v>27630</v>
      </c>
      <c r="BA83" s="92">
        <v>0</v>
      </c>
      <c r="BB83" s="91">
        <v>15700</v>
      </c>
      <c r="BC83" s="93">
        <f t="shared" si="712"/>
        <v>15700</v>
      </c>
      <c r="BD83" s="92">
        <v>0</v>
      </c>
      <c r="BE83" s="91">
        <v>16340</v>
      </c>
      <c r="BF83" s="93">
        <f t="shared" si="713"/>
        <v>16340</v>
      </c>
      <c r="BG83" s="92">
        <v>0</v>
      </c>
      <c r="BH83" s="91">
        <v>0</v>
      </c>
      <c r="BI83" s="93">
        <f t="shared" si="714"/>
        <v>0</v>
      </c>
      <c r="BJ83" s="92">
        <v>0</v>
      </c>
      <c r="BK83" s="91">
        <v>12230</v>
      </c>
      <c r="BL83" s="93">
        <f t="shared" si="715"/>
        <v>12230</v>
      </c>
      <c r="BM83" s="92">
        <v>0</v>
      </c>
      <c r="BN83" s="91">
        <v>33970</v>
      </c>
      <c r="BO83" s="93">
        <f t="shared" si="716"/>
        <v>33970</v>
      </c>
      <c r="BP83" s="92">
        <v>0</v>
      </c>
      <c r="BQ83" s="91">
        <v>46699.29</v>
      </c>
      <c r="BR83" s="93">
        <f t="shared" si="717"/>
        <v>46699.29</v>
      </c>
      <c r="BS83" s="92">
        <v>0</v>
      </c>
      <c r="BT83" s="91">
        <v>66318.94</v>
      </c>
      <c r="BU83" s="93">
        <f t="shared" si="718"/>
        <v>66318.94</v>
      </c>
      <c r="BV83" s="92">
        <v>0</v>
      </c>
      <c r="BW83" s="91">
        <v>50900</v>
      </c>
      <c r="BX83" s="93">
        <f t="shared" si="719"/>
        <v>50900</v>
      </c>
      <c r="BY83" s="92">
        <v>0</v>
      </c>
      <c r="BZ83" s="91">
        <v>46734.3</v>
      </c>
      <c r="CA83" s="93">
        <f t="shared" si="720"/>
        <v>46734.3</v>
      </c>
      <c r="CB83" s="92">
        <v>0</v>
      </c>
      <c r="CC83" s="91">
        <v>20096.39</v>
      </c>
      <c r="CD83" s="93">
        <f t="shared" si="721"/>
        <v>20096.39</v>
      </c>
      <c r="CE83" s="438">
        <f t="shared" si="688"/>
        <v>0</v>
      </c>
      <c r="CF83" s="175">
        <f t="shared" si="689"/>
        <v>360438.92000000004</v>
      </c>
      <c r="CG83" s="439">
        <f t="shared" si="690"/>
        <v>360438.92000000004</v>
      </c>
      <c r="CH83" s="91"/>
      <c r="CI83" s="91">
        <v>109607</v>
      </c>
      <c r="CJ83" s="93">
        <f t="shared" si="722"/>
        <v>109607</v>
      </c>
      <c r="CK83" s="91"/>
      <c r="CL83" s="91"/>
      <c r="CM83" s="93">
        <f t="shared" si="723"/>
        <v>0</v>
      </c>
      <c r="CN83" s="92"/>
      <c r="CO83" s="91"/>
      <c r="CP83" s="93">
        <f t="shared" si="724"/>
        <v>0</v>
      </c>
      <c r="CQ83" s="92"/>
      <c r="CR83" s="91"/>
      <c r="CS83" s="93">
        <f t="shared" si="725"/>
        <v>0</v>
      </c>
      <c r="CT83" s="92"/>
      <c r="CU83" s="91"/>
      <c r="CV83" s="93">
        <f t="shared" si="726"/>
        <v>0</v>
      </c>
      <c r="CW83" s="92"/>
      <c r="CX83" s="91"/>
      <c r="CY83" s="93">
        <f t="shared" si="727"/>
        <v>0</v>
      </c>
      <c r="CZ83" s="92"/>
      <c r="DA83" s="91"/>
      <c r="DB83" s="93">
        <f t="shared" si="728"/>
        <v>0</v>
      </c>
      <c r="DC83" s="92"/>
      <c r="DD83" s="91"/>
      <c r="DE83" s="93">
        <f t="shared" si="729"/>
        <v>0</v>
      </c>
      <c r="DF83" s="92"/>
      <c r="DG83" s="91"/>
      <c r="DH83" s="93">
        <f t="shared" si="730"/>
        <v>0</v>
      </c>
      <c r="DI83" s="92"/>
      <c r="DJ83" s="91"/>
      <c r="DK83" s="93">
        <f t="shared" si="731"/>
        <v>0</v>
      </c>
      <c r="DL83" s="92"/>
      <c r="DM83" s="91"/>
      <c r="DN83" s="93">
        <f t="shared" si="732"/>
        <v>0</v>
      </c>
      <c r="DO83" s="92"/>
      <c r="DP83" s="91"/>
      <c r="DQ83" s="93">
        <f t="shared" si="733"/>
        <v>0</v>
      </c>
      <c r="DR83" s="438">
        <f t="shared" si="691"/>
        <v>0</v>
      </c>
      <c r="DS83" s="175">
        <f t="shared" si="692"/>
        <v>109607</v>
      </c>
      <c r="DT83" s="439">
        <f t="shared" si="693"/>
        <v>109607</v>
      </c>
    </row>
    <row r="84" spans="1:124" ht="14.25" customHeight="1">
      <c r="A84" s="23"/>
      <c r="B84" s="87"/>
      <c r="C84" s="88"/>
      <c r="D84" s="89"/>
      <c r="E84" s="438"/>
      <c r="F84" s="175"/>
      <c r="G84" s="439"/>
      <c r="H84" s="175"/>
      <c r="I84" s="175"/>
      <c r="J84" s="177"/>
      <c r="K84" s="175"/>
      <c r="L84" s="175"/>
      <c r="M84" s="177"/>
      <c r="N84" s="176"/>
      <c r="O84" s="175"/>
      <c r="P84" s="177"/>
      <c r="Q84" s="176"/>
      <c r="R84" s="175"/>
      <c r="S84" s="177"/>
      <c r="T84" s="176"/>
      <c r="U84" s="175"/>
      <c r="V84" s="177"/>
      <c r="W84" s="176"/>
      <c r="X84" s="175"/>
      <c r="Y84" s="177"/>
      <c r="Z84" s="176"/>
      <c r="AA84" s="175"/>
      <c r="AB84" s="177"/>
      <c r="AC84" s="176"/>
      <c r="AD84" s="175"/>
      <c r="AE84" s="177"/>
      <c r="AF84" s="176"/>
      <c r="AG84" s="175"/>
      <c r="AH84" s="177"/>
      <c r="AI84" s="176"/>
      <c r="AJ84" s="175"/>
      <c r="AK84" s="177"/>
      <c r="AL84" s="176"/>
      <c r="AM84" s="175"/>
      <c r="AN84" s="177"/>
      <c r="AO84" s="176"/>
      <c r="AP84" s="175"/>
      <c r="AQ84" s="177"/>
      <c r="AR84" s="438"/>
      <c r="AS84" s="175"/>
      <c r="AT84" s="439"/>
      <c r="AU84" s="176"/>
      <c r="AV84" s="175"/>
      <c r="AW84" s="177"/>
      <c r="AX84" s="176"/>
      <c r="AY84" s="175"/>
      <c r="AZ84" s="177"/>
      <c r="BA84" s="176"/>
      <c r="BB84" s="175"/>
      <c r="BC84" s="177"/>
      <c r="BD84" s="176"/>
      <c r="BE84" s="175"/>
      <c r="BF84" s="177"/>
      <c r="BG84" s="176"/>
      <c r="BH84" s="175"/>
      <c r="BI84" s="177"/>
      <c r="BJ84" s="176"/>
      <c r="BK84" s="175"/>
      <c r="BL84" s="177"/>
      <c r="BM84" s="176"/>
      <c r="BN84" s="175"/>
      <c r="BO84" s="177"/>
      <c r="BP84" s="176"/>
      <c r="BQ84" s="175"/>
      <c r="BR84" s="177"/>
      <c r="BS84" s="176"/>
      <c r="BT84" s="175"/>
      <c r="BU84" s="177"/>
      <c r="BV84" s="176"/>
      <c r="BW84" s="175"/>
      <c r="BX84" s="177"/>
      <c r="BY84" s="176"/>
      <c r="BZ84" s="175"/>
      <c r="CA84" s="177"/>
      <c r="CB84" s="176"/>
      <c r="CC84" s="175"/>
      <c r="CD84" s="177"/>
      <c r="CE84" s="438"/>
      <c r="CF84" s="175"/>
      <c r="CG84" s="439"/>
      <c r="CH84" s="175"/>
      <c r="CI84" s="175"/>
      <c r="CJ84" s="177"/>
      <c r="CK84" s="174"/>
      <c r="CL84" s="175"/>
      <c r="CM84" s="177"/>
      <c r="CN84" s="174"/>
      <c r="CO84" s="175"/>
      <c r="CP84" s="177"/>
      <c r="CQ84" s="174"/>
      <c r="CR84" s="175"/>
      <c r="CS84" s="177"/>
      <c r="CT84" s="174"/>
      <c r="CU84" s="175"/>
      <c r="CV84" s="177"/>
      <c r="CW84" s="174"/>
      <c r="CX84" s="175"/>
      <c r="CY84" s="177"/>
      <c r="CZ84" s="174"/>
      <c r="DA84" s="175"/>
      <c r="DB84" s="177"/>
      <c r="DC84" s="174"/>
      <c r="DD84" s="175"/>
      <c r="DE84" s="177"/>
      <c r="DF84" s="174"/>
      <c r="DG84" s="175"/>
      <c r="DH84" s="177"/>
      <c r="DI84" s="174"/>
      <c r="DJ84" s="175"/>
      <c r="DK84" s="177"/>
      <c r="DL84" s="174"/>
      <c r="DM84" s="175"/>
      <c r="DN84" s="177"/>
      <c r="DO84" s="174"/>
      <c r="DP84" s="175"/>
      <c r="DQ84" s="177"/>
      <c r="DR84" s="438"/>
      <c r="DS84" s="175"/>
      <c r="DT84" s="439"/>
    </row>
    <row r="85" spans="1:124" ht="14.25" customHeight="1">
      <c r="A85" s="23"/>
      <c r="B85" s="100"/>
      <c r="C85" s="101" t="s">
        <v>3</v>
      </c>
      <c r="D85" s="102" t="s">
        <v>236</v>
      </c>
      <c r="E85" s="435">
        <f t="shared" ref="E85" si="734">SUM(E86:E89)</f>
        <v>0</v>
      </c>
      <c r="F85" s="107">
        <f t="shared" ref="F85" si="735">SUM(F86:F89)</f>
        <v>0</v>
      </c>
      <c r="G85" s="183">
        <f t="shared" ref="G85" si="736">SUM(G86:G89)</f>
        <v>0</v>
      </c>
      <c r="H85" s="107">
        <f t="shared" ref="H85" si="737">SUM(H86:H89)</f>
        <v>0</v>
      </c>
      <c r="I85" s="107">
        <f t="shared" ref="I85" si="738">SUM(I86:I89)</f>
        <v>0</v>
      </c>
      <c r="J85" s="547">
        <f t="shared" ref="J85" si="739">SUM(J86:J89)</f>
        <v>0</v>
      </c>
      <c r="K85" s="107">
        <f t="shared" ref="K85" si="740">SUM(K86:K89)</f>
        <v>0</v>
      </c>
      <c r="L85" s="107">
        <f t="shared" ref="L85" si="741">SUM(L86:L89)</f>
        <v>0</v>
      </c>
      <c r="M85" s="547">
        <f t="shared" ref="M85" si="742">SUM(M86:M89)</f>
        <v>0</v>
      </c>
      <c r="N85" s="106">
        <f t="shared" ref="N85" si="743">SUM(N86:N89)</f>
        <v>0</v>
      </c>
      <c r="O85" s="107">
        <f t="shared" ref="O85" si="744">SUM(O86:O89)</f>
        <v>0</v>
      </c>
      <c r="P85" s="547">
        <f t="shared" ref="P85" si="745">SUM(P86:P89)</f>
        <v>0</v>
      </c>
      <c r="Q85" s="106">
        <f t="shared" ref="Q85" si="746">SUM(Q86:Q89)</f>
        <v>0</v>
      </c>
      <c r="R85" s="107">
        <f t="shared" ref="R85" si="747">SUM(R86:R89)</f>
        <v>0</v>
      </c>
      <c r="S85" s="547">
        <f t="shared" ref="S85" si="748">SUM(S86:S89)</f>
        <v>0</v>
      </c>
      <c r="T85" s="106">
        <f t="shared" ref="T85" si="749">SUM(T86:T89)</f>
        <v>0</v>
      </c>
      <c r="U85" s="107">
        <f t="shared" ref="U85" si="750">SUM(U86:U89)</f>
        <v>0</v>
      </c>
      <c r="V85" s="547">
        <f t="shared" ref="V85" si="751">SUM(V86:V89)</f>
        <v>0</v>
      </c>
      <c r="W85" s="106">
        <f t="shared" ref="W85" si="752">SUM(W86:W89)</f>
        <v>0</v>
      </c>
      <c r="X85" s="107">
        <f t="shared" ref="X85" si="753">SUM(X86:X89)</f>
        <v>0</v>
      </c>
      <c r="Y85" s="547">
        <f t="shared" ref="Y85" si="754">SUM(Y86:Y89)</f>
        <v>0</v>
      </c>
      <c r="Z85" s="106">
        <f t="shared" ref="Z85" si="755">SUM(Z86:Z89)</f>
        <v>0</v>
      </c>
      <c r="AA85" s="107">
        <f t="shared" ref="AA85" si="756">SUM(AA86:AA89)</f>
        <v>0</v>
      </c>
      <c r="AB85" s="547">
        <f t="shared" ref="AB85" si="757">SUM(AB86:AB89)</f>
        <v>0</v>
      </c>
      <c r="AC85" s="106">
        <f t="shared" ref="AC85" si="758">SUM(AC86:AC89)</f>
        <v>0</v>
      </c>
      <c r="AD85" s="107">
        <f t="shared" ref="AD85" si="759">SUM(AD86:AD89)</f>
        <v>0</v>
      </c>
      <c r="AE85" s="547">
        <f t="shared" ref="AE85" si="760">SUM(AE86:AE89)</f>
        <v>0</v>
      </c>
      <c r="AF85" s="106">
        <f t="shared" ref="AF85" si="761">SUM(AF86:AF89)</f>
        <v>0</v>
      </c>
      <c r="AG85" s="107">
        <f t="shared" ref="AG85" si="762">SUM(AG86:AG89)</f>
        <v>0</v>
      </c>
      <c r="AH85" s="547">
        <f t="shared" ref="AH85" si="763">SUM(AH86:AH89)</f>
        <v>0</v>
      </c>
      <c r="AI85" s="106">
        <f t="shared" ref="AI85" si="764">SUM(AI86:AI89)</f>
        <v>0</v>
      </c>
      <c r="AJ85" s="107">
        <f t="shared" ref="AJ85" si="765">SUM(AJ86:AJ89)</f>
        <v>0</v>
      </c>
      <c r="AK85" s="547">
        <f t="shared" ref="AK85" si="766">SUM(AK86:AK89)</f>
        <v>0</v>
      </c>
      <c r="AL85" s="106">
        <f t="shared" ref="AL85" si="767">SUM(AL86:AL89)</f>
        <v>0</v>
      </c>
      <c r="AM85" s="107">
        <f t="shared" ref="AM85" si="768">SUM(AM86:AM89)</f>
        <v>0</v>
      </c>
      <c r="AN85" s="547">
        <f t="shared" ref="AN85" si="769">SUM(AN86:AN89)</f>
        <v>0</v>
      </c>
      <c r="AO85" s="106">
        <f t="shared" ref="AO85" si="770">SUM(AO86:AO89)</f>
        <v>0</v>
      </c>
      <c r="AP85" s="107">
        <f t="shared" ref="AP85" si="771">SUM(AP86:AP89)</f>
        <v>0</v>
      </c>
      <c r="AQ85" s="547">
        <f t="shared" ref="AQ85" si="772">SUM(AQ86:AQ89)</f>
        <v>0</v>
      </c>
      <c r="AR85" s="435">
        <f t="shared" ref="AR85" si="773">SUM(AR86:AR89)</f>
        <v>0</v>
      </c>
      <c r="AS85" s="107">
        <f t="shared" ref="AS85" si="774">SUM(AS86:AS89)</f>
        <v>0</v>
      </c>
      <c r="AT85" s="183">
        <f t="shared" ref="AT85" si="775">SUM(AT86:AT89)</f>
        <v>0</v>
      </c>
      <c r="AU85" s="106">
        <f t="shared" ref="AU85" si="776">SUM(AU86:AU89)</f>
        <v>0</v>
      </c>
      <c r="AV85" s="107">
        <f t="shared" ref="AV85" si="777">SUM(AV86:AV89)</f>
        <v>0</v>
      </c>
      <c r="AW85" s="547">
        <f t="shared" ref="AW85" si="778">SUM(AW86:AW89)</f>
        <v>0</v>
      </c>
      <c r="AX85" s="106">
        <f t="shared" ref="AX85" si="779">SUM(AX86:AX89)</f>
        <v>0</v>
      </c>
      <c r="AY85" s="107">
        <f t="shared" ref="AY85" si="780">SUM(AY86:AY89)</f>
        <v>0</v>
      </c>
      <c r="AZ85" s="547">
        <f t="shared" ref="AZ85" si="781">SUM(AZ86:AZ89)</f>
        <v>0</v>
      </c>
      <c r="BA85" s="106">
        <f t="shared" ref="BA85" si="782">SUM(BA86:BA89)</f>
        <v>0</v>
      </c>
      <c r="BB85" s="107">
        <f t="shared" ref="BB85" si="783">SUM(BB86:BB89)</f>
        <v>0</v>
      </c>
      <c r="BC85" s="547">
        <f t="shared" ref="BC85" si="784">SUM(BC86:BC89)</f>
        <v>0</v>
      </c>
      <c r="BD85" s="106">
        <f t="shared" ref="BD85" si="785">SUM(BD86:BD89)</f>
        <v>0</v>
      </c>
      <c r="BE85" s="107">
        <f t="shared" ref="BE85" si="786">SUM(BE86:BE89)</f>
        <v>0</v>
      </c>
      <c r="BF85" s="547">
        <f t="shared" ref="BF85" si="787">SUM(BF86:BF89)</f>
        <v>0</v>
      </c>
      <c r="BG85" s="106">
        <f t="shared" ref="BG85" si="788">SUM(BG86:BG89)</f>
        <v>0</v>
      </c>
      <c r="BH85" s="107">
        <f t="shared" ref="BH85" si="789">SUM(BH86:BH89)</f>
        <v>0</v>
      </c>
      <c r="BI85" s="547">
        <f t="shared" ref="BI85" si="790">SUM(BI86:BI89)</f>
        <v>0</v>
      </c>
      <c r="BJ85" s="106">
        <f t="shared" ref="BJ85" si="791">SUM(BJ86:BJ89)</f>
        <v>0</v>
      </c>
      <c r="BK85" s="107">
        <f t="shared" ref="BK85" si="792">SUM(BK86:BK89)</f>
        <v>0</v>
      </c>
      <c r="BL85" s="547">
        <f t="shared" ref="BL85" si="793">SUM(BL86:BL89)</f>
        <v>0</v>
      </c>
      <c r="BM85" s="106">
        <f t="shared" ref="BM85" si="794">SUM(BM86:BM89)</f>
        <v>0</v>
      </c>
      <c r="BN85" s="107">
        <f t="shared" ref="BN85" si="795">SUM(BN86:BN89)</f>
        <v>0</v>
      </c>
      <c r="BO85" s="547">
        <f t="shared" ref="BO85" si="796">SUM(BO86:BO89)</f>
        <v>0</v>
      </c>
      <c r="BP85" s="106">
        <f t="shared" ref="BP85" si="797">SUM(BP86:BP89)</f>
        <v>0</v>
      </c>
      <c r="BQ85" s="107">
        <f t="shared" ref="BQ85" si="798">SUM(BQ86:BQ89)</f>
        <v>0</v>
      </c>
      <c r="BR85" s="547">
        <f t="shared" ref="BR85" si="799">SUM(BR86:BR89)</f>
        <v>0</v>
      </c>
      <c r="BS85" s="106">
        <f t="shared" ref="BS85" si="800">SUM(BS86:BS89)</f>
        <v>0</v>
      </c>
      <c r="BT85" s="107">
        <f t="shared" ref="BT85" si="801">SUM(BT86:BT89)</f>
        <v>0</v>
      </c>
      <c r="BU85" s="547">
        <f t="shared" ref="BU85" si="802">SUM(BU86:BU89)</f>
        <v>0</v>
      </c>
      <c r="BV85" s="106">
        <f t="shared" ref="BV85" si="803">SUM(BV86:BV89)</f>
        <v>0</v>
      </c>
      <c r="BW85" s="107">
        <f t="shared" ref="BW85" si="804">SUM(BW86:BW89)</f>
        <v>0</v>
      </c>
      <c r="BX85" s="547">
        <f t="shared" ref="BX85" si="805">SUM(BX86:BX89)</f>
        <v>0</v>
      </c>
      <c r="BY85" s="106">
        <f t="shared" ref="BY85" si="806">SUM(BY86:BY89)</f>
        <v>0</v>
      </c>
      <c r="BZ85" s="107">
        <f t="shared" ref="BZ85" si="807">SUM(BZ86:BZ89)</f>
        <v>0</v>
      </c>
      <c r="CA85" s="547">
        <f t="shared" ref="CA85" si="808">SUM(CA86:CA89)</f>
        <v>0</v>
      </c>
      <c r="CB85" s="106">
        <f t="shared" ref="CB85" si="809">SUM(CB86:CB89)</f>
        <v>0</v>
      </c>
      <c r="CC85" s="107">
        <f t="shared" ref="CC85" si="810">SUM(CC86:CC89)</f>
        <v>0</v>
      </c>
      <c r="CD85" s="547">
        <f t="shared" ref="CD85" si="811">SUM(CD86:CD89)</f>
        <v>0</v>
      </c>
      <c r="CE85" s="435">
        <f t="shared" ref="CE85" si="812">SUM(CE86:CE89)</f>
        <v>0</v>
      </c>
      <c r="CF85" s="107">
        <f t="shared" ref="CF85" si="813">SUM(CF86:CF89)</f>
        <v>0</v>
      </c>
      <c r="CG85" s="183">
        <f t="shared" ref="CG85" si="814">SUM(CG86:CG89)</f>
        <v>0</v>
      </c>
      <c r="CH85" s="107">
        <f t="shared" ref="CH85" si="815">SUM(CH86:CH89)</f>
        <v>0</v>
      </c>
      <c r="CI85" s="107">
        <f t="shared" ref="CI85" si="816">SUM(CI86:CI89)</f>
        <v>0</v>
      </c>
      <c r="CJ85" s="547">
        <f t="shared" ref="CJ85" si="817">SUM(CJ86:CJ89)</f>
        <v>0</v>
      </c>
      <c r="CK85" s="106">
        <f t="shared" ref="CK85" si="818">SUM(CK86:CK89)</f>
        <v>0</v>
      </c>
      <c r="CL85" s="107">
        <f t="shared" ref="CL85" si="819">SUM(CL86:CL89)</f>
        <v>0</v>
      </c>
      <c r="CM85" s="547">
        <f t="shared" ref="CM85" si="820">SUM(CM86:CM89)</f>
        <v>0</v>
      </c>
      <c r="CN85" s="106">
        <f t="shared" ref="CN85" si="821">SUM(CN86:CN89)</f>
        <v>0</v>
      </c>
      <c r="CO85" s="107">
        <f t="shared" ref="CO85" si="822">SUM(CO86:CO89)</f>
        <v>0</v>
      </c>
      <c r="CP85" s="547">
        <f t="shared" ref="CP85" si="823">SUM(CP86:CP89)</f>
        <v>0</v>
      </c>
      <c r="CQ85" s="106">
        <f t="shared" ref="CQ85" si="824">SUM(CQ86:CQ89)</f>
        <v>0</v>
      </c>
      <c r="CR85" s="107">
        <f t="shared" ref="CR85" si="825">SUM(CR86:CR89)</f>
        <v>0</v>
      </c>
      <c r="CS85" s="547">
        <f t="shared" ref="CS85" si="826">SUM(CS86:CS89)</f>
        <v>0</v>
      </c>
      <c r="CT85" s="106">
        <f t="shared" ref="CT85" si="827">SUM(CT86:CT89)</f>
        <v>0</v>
      </c>
      <c r="CU85" s="107">
        <f t="shared" ref="CU85" si="828">SUM(CU86:CU89)</f>
        <v>0</v>
      </c>
      <c r="CV85" s="547">
        <f t="shared" ref="CV85" si="829">SUM(CV86:CV89)</f>
        <v>0</v>
      </c>
      <c r="CW85" s="106">
        <f t="shared" ref="CW85" si="830">SUM(CW86:CW89)</f>
        <v>0</v>
      </c>
      <c r="CX85" s="107">
        <f t="shared" ref="CX85" si="831">SUM(CX86:CX89)</f>
        <v>0</v>
      </c>
      <c r="CY85" s="547">
        <f t="shared" ref="CY85" si="832">SUM(CY86:CY89)</f>
        <v>0</v>
      </c>
      <c r="CZ85" s="106">
        <f t="shared" ref="CZ85" si="833">SUM(CZ86:CZ89)</f>
        <v>0</v>
      </c>
      <c r="DA85" s="107">
        <f t="shared" ref="DA85" si="834">SUM(DA86:DA89)</f>
        <v>0</v>
      </c>
      <c r="DB85" s="547">
        <f t="shared" ref="DB85" si="835">SUM(DB86:DB89)</f>
        <v>0</v>
      </c>
      <c r="DC85" s="106">
        <f t="shared" ref="DC85" si="836">SUM(DC86:DC89)</f>
        <v>0</v>
      </c>
      <c r="DD85" s="107">
        <f t="shared" ref="DD85" si="837">SUM(DD86:DD89)</f>
        <v>0</v>
      </c>
      <c r="DE85" s="547">
        <f t="shared" ref="DE85" si="838">SUM(DE86:DE89)</f>
        <v>0</v>
      </c>
      <c r="DF85" s="106">
        <f t="shared" ref="DF85" si="839">SUM(DF86:DF89)</f>
        <v>0</v>
      </c>
      <c r="DG85" s="107">
        <f t="shared" ref="DG85" si="840">SUM(DG86:DG89)</f>
        <v>0</v>
      </c>
      <c r="DH85" s="547">
        <f t="shared" ref="DH85" si="841">SUM(DH86:DH89)</f>
        <v>0</v>
      </c>
      <c r="DI85" s="106">
        <f t="shared" ref="DI85" si="842">SUM(DI86:DI89)</f>
        <v>0</v>
      </c>
      <c r="DJ85" s="107">
        <f t="shared" ref="DJ85" si="843">SUM(DJ86:DJ89)</f>
        <v>0</v>
      </c>
      <c r="DK85" s="547">
        <f t="shared" ref="DK85" si="844">SUM(DK86:DK89)</f>
        <v>0</v>
      </c>
      <c r="DL85" s="106">
        <f t="shared" ref="DL85" si="845">SUM(DL86:DL89)</f>
        <v>0</v>
      </c>
      <c r="DM85" s="107">
        <f t="shared" ref="DM85" si="846">SUM(DM86:DM89)</f>
        <v>0</v>
      </c>
      <c r="DN85" s="547">
        <f t="shared" ref="DN85" si="847">SUM(DN86:DN89)</f>
        <v>0</v>
      </c>
      <c r="DO85" s="106">
        <f t="shared" ref="DO85" si="848">SUM(DO86:DO89)</f>
        <v>0</v>
      </c>
      <c r="DP85" s="107">
        <f t="shared" ref="DP85" si="849">SUM(DP86:DP89)</f>
        <v>0</v>
      </c>
      <c r="DQ85" s="547">
        <f t="shared" ref="DQ85" si="850">SUM(DQ86:DQ89)</f>
        <v>0</v>
      </c>
      <c r="DR85" s="435">
        <f t="shared" ref="DR85" si="851">SUM(DR86:DR89)</f>
        <v>0</v>
      </c>
      <c r="DS85" s="107">
        <f t="shared" ref="DS85" si="852">SUM(DS86:DS89)</f>
        <v>0</v>
      </c>
      <c r="DT85" s="183">
        <f t="shared" ref="DT85" si="853">SUM(DT86:DT89)</f>
        <v>0</v>
      </c>
    </row>
    <row r="86" spans="1:124" ht="14.25" customHeight="1">
      <c r="A86" s="23"/>
      <c r="B86" s="87"/>
      <c r="C86" s="88"/>
      <c r="D86" s="89" t="s">
        <v>188</v>
      </c>
      <c r="E86" s="438"/>
      <c r="F86" s="175"/>
      <c r="G86" s="184">
        <f>SUM(E86:F86)</f>
        <v>0</v>
      </c>
      <c r="H86" s="175"/>
      <c r="I86" s="175"/>
      <c r="J86" s="93">
        <f>SUM(H86:I86)</f>
        <v>0</v>
      </c>
      <c r="K86" s="91"/>
      <c r="L86" s="91"/>
      <c r="M86" s="93">
        <f>SUM(K86:L86)</f>
        <v>0</v>
      </c>
      <c r="N86" s="92"/>
      <c r="O86" s="91"/>
      <c r="P86" s="93">
        <f>SUM(N86:O86)</f>
        <v>0</v>
      </c>
      <c r="Q86" s="92"/>
      <c r="R86" s="91"/>
      <c r="S86" s="93">
        <f>SUM(Q86:R86)</f>
        <v>0</v>
      </c>
      <c r="T86" s="92"/>
      <c r="U86" s="91"/>
      <c r="V86" s="93">
        <f>SUM(T86:U86)</f>
        <v>0</v>
      </c>
      <c r="W86" s="92"/>
      <c r="X86" s="91"/>
      <c r="Y86" s="93">
        <f>SUM(W86:X86)</f>
        <v>0</v>
      </c>
      <c r="Z86" s="92"/>
      <c r="AA86" s="91"/>
      <c r="AB86" s="93">
        <f>SUM(Z86:AA86)</f>
        <v>0</v>
      </c>
      <c r="AC86" s="92"/>
      <c r="AD86" s="91"/>
      <c r="AE86" s="93">
        <f>SUM(AC86:AD86)</f>
        <v>0</v>
      </c>
      <c r="AF86" s="92"/>
      <c r="AG86" s="91"/>
      <c r="AH86" s="93">
        <f>SUM(AF86:AG86)</f>
        <v>0</v>
      </c>
      <c r="AI86" s="92"/>
      <c r="AJ86" s="91"/>
      <c r="AK86" s="93">
        <f>SUM(AI86:AJ86)</f>
        <v>0</v>
      </c>
      <c r="AL86" s="92"/>
      <c r="AM86" s="91"/>
      <c r="AN86" s="93">
        <f>SUM(AL86:AM86)</f>
        <v>0</v>
      </c>
      <c r="AO86" s="92"/>
      <c r="AP86" s="91"/>
      <c r="AQ86" s="93">
        <f>SUM(AO86:AP86)</f>
        <v>0</v>
      </c>
      <c r="AR86" s="438">
        <f>AO86+AL86+AI86+AF86+AC86+Z86+W86+T86+Q86+N86+K86+H86</f>
        <v>0</v>
      </c>
      <c r="AS86" s="175">
        <f>AP86+AM86+AJ86+AG86+AD86+AA86+X86+U86+R86+O86+L86+I86</f>
        <v>0</v>
      </c>
      <c r="AT86" s="184">
        <f>SUM(AR86:AS86)</f>
        <v>0</v>
      </c>
      <c r="AU86" s="176"/>
      <c r="AV86" s="175"/>
      <c r="AW86" s="93">
        <f>SUM(AU86:AV86)</f>
        <v>0</v>
      </c>
      <c r="AX86" s="91"/>
      <c r="AY86" s="91"/>
      <c r="AZ86" s="93">
        <f>SUM(AX86:AY86)</f>
        <v>0</v>
      </c>
      <c r="BA86" s="92"/>
      <c r="BB86" s="91"/>
      <c r="BC86" s="93">
        <f>SUM(BA86:BB86)</f>
        <v>0</v>
      </c>
      <c r="BD86" s="92"/>
      <c r="BE86" s="91"/>
      <c r="BF86" s="93">
        <f>SUM(BD86:BE86)</f>
        <v>0</v>
      </c>
      <c r="BG86" s="92"/>
      <c r="BH86" s="91"/>
      <c r="BI86" s="93">
        <f>SUM(BG86:BH86)</f>
        <v>0</v>
      </c>
      <c r="BJ86" s="92"/>
      <c r="BK86" s="91"/>
      <c r="BL86" s="93">
        <f>SUM(BJ86:BK86)</f>
        <v>0</v>
      </c>
      <c r="BM86" s="92"/>
      <c r="BN86" s="91"/>
      <c r="BO86" s="93">
        <f>SUM(BM86:BN86)</f>
        <v>0</v>
      </c>
      <c r="BP86" s="92"/>
      <c r="BQ86" s="91"/>
      <c r="BR86" s="93">
        <f>SUM(BP86:BQ86)</f>
        <v>0</v>
      </c>
      <c r="BS86" s="92"/>
      <c r="BT86" s="91"/>
      <c r="BU86" s="93">
        <f>SUM(BS86:BT86)</f>
        <v>0</v>
      </c>
      <c r="BV86" s="92"/>
      <c r="BW86" s="91"/>
      <c r="BX86" s="93">
        <f>SUM(BV86:BW86)</f>
        <v>0</v>
      </c>
      <c r="BY86" s="92"/>
      <c r="BZ86" s="91"/>
      <c r="CA86" s="93">
        <f>SUM(BY86:BZ86)</f>
        <v>0</v>
      </c>
      <c r="CB86" s="92"/>
      <c r="CC86" s="91"/>
      <c r="CD86" s="93">
        <f>SUM(CB86:CC86)</f>
        <v>0</v>
      </c>
      <c r="CE86" s="438">
        <f t="shared" ref="CE86:CE89" si="854">CB86+BY86+BV86+BS86+BP86+BM86+BJ86+BG86+BD86+BA86+AX86+AU86</f>
        <v>0</v>
      </c>
      <c r="CF86" s="175">
        <f t="shared" ref="CF86:CF89" si="855">CC86+BZ86+BW86+BT86+BQ86+BN86+BK86+BH86+BE86+BB86+AY86+AV86</f>
        <v>0</v>
      </c>
      <c r="CG86" s="439">
        <f t="shared" ref="CG86:CG89" si="856">SUM(CE86:CF86)</f>
        <v>0</v>
      </c>
      <c r="CH86" s="175"/>
      <c r="CI86" s="175"/>
      <c r="CJ86" s="93">
        <f>SUM(CH86:CI86)</f>
        <v>0</v>
      </c>
      <c r="CK86" s="91"/>
      <c r="CL86" s="91"/>
      <c r="CM86" s="93">
        <f>SUM(CK86:CL86)</f>
        <v>0</v>
      </c>
      <c r="CN86" s="92"/>
      <c r="CO86" s="91"/>
      <c r="CP86" s="93">
        <f>SUM(CN86:CO86)</f>
        <v>0</v>
      </c>
      <c r="CQ86" s="92"/>
      <c r="CR86" s="91"/>
      <c r="CS86" s="93">
        <f>SUM(CQ86:CR86)</f>
        <v>0</v>
      </c>
      <c r="CT86" s="92"/>
      <c r="CU86" s="91"/>
      <c r="CV86" s="93">
        <f>SUM(CT86:CU86)</f>
        <v>0</v>
      </c>
      <c r="CW86" s="92"/>
      <c r="CX86" s="91"/>
      <c r="CY86" s="93">
        <f>SUM(CW86:CX86)</f>
        <v>0</v>
      </c>
      <c r="CZ86" s="92"/>
      <c r="DA86" s="91"/>
      <c r="DB86" s="93">
        <f>SUM(CZ86:DA86)</f>
        <v>0</v>
      </c>
      <c r="DC86" s="92"/>
      <c r="DD86" s="91"/>
      <c r="DE86" s="93">
        <f>SUM(DC86:DD86)</f>
        <v>0</v>
      </c>
      <c r="DF86" s="92"/>
      <c r="DG86" s="91"/>
      <c r="DH86" s="93">
        <f>SUM(DF86:DG86)</f>
        <v>0</v>
      </c>
      <c r="DI86" s="92"/>
      <c r="DJ86" s="91"/>
      <c r="DK86" s="93">
        <f>SUM(DI86:DJ86)</f>
        <v>0</v>
      </c>
      <c r="DL86" s="92"/>
      <c r="DM86" s="91"/>
      <c r="DN86" s="93">
        <f>SUM(DL86:DM86)</f>
        <v>0</v>
      </c>
      <c r="DO86" s="92"/>
      <c r="DP86" s="91"/>
      <c r="DQ86" s="93">
        <f>SUM(DO86:DP86)</f>
        <v>0</v>
      </c>
      <c r="DR86" s="438">
        <f t="shared" ref="DR86:DR89" si="857">DO86+DL86+DI86+DF86+DC86+CZ86+CW86+CT86+CQ86+CN86+CK86+CH86</f>
        <v>0</v>
      </c>
      <c r="DS86" s="175">
        <f t="shared" ref="DS86:DS89" si="858">DP86+DM86+DJ86+DG86+DD86+DA86+CX86+CU86+CR86+CO86+CL86+CI86</f>
        <v>0</v>
      </c>
      <c r="DT86" s="439">
        <f t="shared" ref="DT86:DT89" si="859">SUM(DR86:DS86)</f>
        <v>0</v>
      </c>
    </row>
    <row r="87" spans="1:124" ht="14.25" customHeight="1">
      <c r="A87" s="23"/>
      <c r="B87" s="87"/>
      <c r="C87" s="88"/>
      <c r="D87" s="89" t="s">
        <v>189</v>
      </c>
      <c r="E87" s="438"/>
      <c r="F87" s="175"/>
      <c r="G87" s="184">
        <f t="shared" ref="G87:G89" si="860">SUM(E87:F87)</f>
        <v>0</v>
      </c>
      <c r="H87" s="175"/>
      <c r="I87" s="175"/>
      <c r="J87" s="93">
        <f t="shared" ref="J87:J89" si="861">SUM(H87:I87)</f>
        <v>0</v>
      </c>
      <c r="K87" s="91"/>
      <c r="L87" s="91"/>
      <c r="M87" s="93">
        <f t="shared" ref="M87:M89" si="862">SUM(K87:L87)</f>
        <v>0</v>
      </c>
      <c r="N87" s="92"/>
      <c r="O87" s="91"/>
      <c r="P87" s="93">
        <f t="shared" ref="P87:P89" si="863">SUM(N87:O87)</f>
        <v>0</v>
      </c>
      <c r="Q87" s="92"/>
      <c r="R87" s="91"/>
      <c r="S87" s="93">
        <f t="shared" ref="S87:S89" si="864">SUM(Q87:R87)</f>
        <v>0</v>
      </c>
      <c r="T87" s="92"/>
      <c r="U87" s="91"/>
      <c r="V87" s="93">
        <f t="shared" ref="V87:V89" si="865">SUM(T87:U87)</f>
        <v>0</v>
      </c>
      <c r="W87" s="92"/>
      <c r="X87" s="91"/>
      <c r="Y87" s="93">
        <f t="shared" ref="Y87:Y89" si="866">SUM(W87:X87)</f>
        <v>0</v>
      </c>
      <c r="Z87" s="92"/>
      <c r="AA87" s="91"/>
      <c r="AB87" s="93">
        <f t="shared" ref="AB87:AB89" si="867">SUM(Z87:AA87)</f>
        <v>0</v>
      </c>
      <c r="AC87" s="92"/>
      <c r="AD87" s="91"/>
      <c r="AE87" s="93">
        <f t="shared" ref="AE87:AE89" si="868">SUM(AC87:AD87)</f>
        <v>0</v>
      </c>
      <c r="AF87" s="92"/>
      <c r="AG87" s="91"/>
      <c r="AH87" s="93">
        <f t="shared" ref="AH87:AH89" si="869">SUM(AF87:AG87)</f>
        <v>0</v>
      </c>
      <c r="AI87" s="92"/>
      <c r="AJ87" s="91"/>
      <c r="AK87" s="93">
        <f t="shared" ref="AK87:AK89" si="870">SUM(AI87:AJ87)</f>
        <v>0</v>
      </c>
      <c r="AL87" s="92"/>
      <c r="AM87" s="91"/>
      <c r="AN87" s="93">
        <f t="shared" ref="AN87:AN89" si="871">SUM(AL87:AM87)</f>
        <v>0</v>
      </c>
      <c r="AO87" s="92"/>
      <c r="AP87" s="91"/>
      <c r="AQ87" s="93">
        <f t="shared" ref="AQ87:AQ89" si="872">SUM(AO87:AP87)</f>
        <v>0</v>
      </c>
      <c r="AR87" s="438">
        <f t="shared" ref="AR87:AR89" si="873">AO87+AL87+AI87+AF87+AC87+Z87+W87+T87+Q87+N87+K87+H87</f>
        <v>0</v>
      </c>
      <c r="AS87" s="175">
        <f t="shared" ref="AS87:AS89" si="874">AP87+AM87+AJ87+AG87+AD87+AA87+X87+U87+R87+O87+L87+I87</f>
        <v>0</v>
      </c>
      <c r="AT87" s="184">
        <f t="shared" ref="AT87:AT89" si="875">SUM(AR87:AS87)</f>
        <v>0</v>
      </c>
      <c r="AU87" s="176"/>
      <c r="AV87" s="175"/>
      <c r="AW87" s="93">
        <f t="shared" ref="AW87:AW89" si="876">SUM(AU87:AV87)</f>
        <v>0</v>
      </c>
      <c r="AX87" s="91"/>
      <c r="AY87" s="91"/>
      <c r="AZ87" s="93">
        <f t="shared" ref="AZ87:AZ89" si="877">SUM(AX87:AY87)</f>
        <v>0</v>
      </c>
      <c r="BA87" s="92"/>
      <c r="BB87" s="91"/>
      <c r="BC87" s="93">
        <f t="shared" ref="BC87:BC89" si="878">SUM(BA87:BB87)</f>
        <v>0</v>
      </c>
      <c r="BD87" s="92"/>
      <c r="BE87" s="91"/>
      <c r="BF87" s="93">
        <f t="shared" ref="BF87:BF89" si="879">SUM(BD87:BE87)</f>
        <v>0</v>
      </c>
      <c r="BG87" s="92"/>
      <c r="BH87" s="91"/>
      <c r="BI87" s="93">
        <f t="shared" ref="BI87:BI89" si="880">SUM(BG87:BH87)</f>
        <v>0</v>
      </c>
      <c r="BJ87" s="92"/>
      <c r="BK87" s="91"/>
      <c r="BL87" s="93">
        <f t="shared" ref="BL87:BL89" si="881">SUM(BJ87:BK87)</f>
        <v>0</v>
      </c>
      <c r="BM87" s="92"/>
      <c r="BN87" s="91"/>
      <c r="BO87" s="93">
        <f t="shared" ref="BO87:BO89" si="882">SUM(BM87:BN87)</f>
        <v>0</v>
      </c>
      <c r="BP87" s="92"/>
      <c r="BQ87" s="91"/>
      <c r="BR87" s="93">
        <f t="shared" ref="BR87:BR89" si="883">SUM(BP87:BQ87)</f>
        <v>0</v>
      </c>
      <c r="BS87" s="92"/>
      <c r="BT87" s="91"/>
      <c r="BU87" s="93">
        <f t="shared" ref="BU87:BU89" si="884">SUM(BS87:BT87)</f>
        <v>0</v>
      </c>
      <c r="BV87" s="92"/>
      <c r="BW87" s="91"/>
      <c r="BX87" s="93">
        <f t="shared" ref="BX87:BX89" si="885">SUM(BV87:BW87)</f>
        <v>0</v>
      </c>
      <c r="BY87" s="92"/>
      <c r="BZ87" s="91"/>
      <c r="CA87" s="93">
        <f t="shared" ref="CA87:CA89" si="886">SUM(BY87:BZ87)</f>
        <v>0</v>
      </c>
      <c r="CB87" s="92"/>
      <c r="CC87" s="91"/>
      <c r="CD87" s="93">
        <f t="shared" ref="CD87:CD89" si="887">SUM(CB87:CC87)</f>
        <v>0</v>
      </c>
      <c r="CE87" s="438">
        <f t="shared" si="854"/>
        <v>0</v>
      </c>
      <c r="CF87" s="175">
        <f t="shared" si="855"/>
        <v>0</v>
      </c>
      <c r="CG87" s="439">
        <f t="shared" si="856"/>
        <v>0</v>
      </c>
      <c r="CH87" s="175"/>
      <c r="CI87" s="175"/>
      <c r="CJ87" s="93">
        <f t="shared" ref="CJ87:CJ89" si="888">SUM(CH87:CI87)</f>
        <v>0</v>
      </c>
      <c r="CK87" s="91"/>
      <c r="CL87" s="91"/>
      <c r="CM87" s="93">
        <f t="shared" ref="CM87:CM89" si="889">SUM(CK87:CL87)</f>
        <v>0</v>
      </c>
      <c r="CN87" s="92"/>
      <c r="CO87" s="91"/>
      <c r="CP87" s="93">
        <f t="shared" ref="CP87:CP89" si="890">SUM(CN87:CO87)</f>
        <v>0</v>
      </c>
      <c r="CQ87" s="92"/>
      <c r="CR87" s="91"/>
      <c r="CS87" s="93">
        <f t="shared" ref="CS87:CS89" si="891">SUM(CQ87:CR87)</f>
        <v>0</v>
      </c>
      <c r="CT87" s="92"/>
      <c r="CU87" s="91"/>
      <c r="CV87" s="93">
        <f t="shared" ref="CV87:CV89" si="892">SUM(CT87:CU87)</f>
        <v>0</v>
      </c>
      <c r="CW87" s="92"/>
      <c r="CX87" s="91"/>
      <c r="CY87" s="93">
        <f t="shared" ref="CY87:CY89" si="893">SUM(CW87:CX87)</f>
        <v>0</v>
      </c>
      <c r="CZ87" s="92"/>
      <c r="DA87" s="91"/>
      <c r="DB87" s="93">
        <f t="shared" ref="DB87:DB89" si="894">SUM(CZ87:DA87)</f>
        <v>0</v>
      </c>
      <c r="DC87" s="92"/>
      <c r="DD87" s="91"/>
      <c r="DE87" s="93">
        <f t="shared" ref="DE87:DE89" si="895">SUM(DC87:DD87)</f>
        <v>0</v>
      </c>
      <c r="DF87" s="92"/>
      <c r="DG87" s="91"/>
      <c r="DH87" s="93">
        <f t="shared" ref="DH87:DH89" si="896">SUM(DF87:DG87)</f>
        <v>0</v>
      </c>
      <c r="DI87" s="92"/>
      <c r="DJ87" s="91"/>
      <c r="DK87" s="93">
        <f t="shared" ref="DK87:DK89" si="897">SUM(DI87:DJ87)</f>
        <v>0</v>
      </c>
      <c r="DL87" s="92"/>
      <c r="DM87" s="91"/>
      <c r="DN87" s="93">
        <f t="shared" ref="DN87:DN89" si="898">SUM(DL87:DM87)</f>
        <v>0</v>
      </c>
      <c r="DO87" s="92"/>
      <c r="DP87" s="91"/>
      <c r="DQ87" s="93">
        <f t="shared" ref="DQ87:DQ89" si="899">SUM(DO87:DP87)</f>
        <v>0</v>
      </c>
      <c r="DR87" s="438">
        <f t="shared" si="857"/>
        <v>0</v>
      </c>
      <c r="DS87" s="175">
        <f t="shared" si="858"/>
        <v>0</v>
      </c>
      <c r="DT87" s="439">
        <f t="shared" si="859"/>
        <v>0</v>
      </c>
    </row>
    <row r="88" spans="1:124" ht="14.25" customHeight="1">
      <c r="A88" s="23"/>
      <c r="B88" s="87"/>
      <c r="C88" s="88"/>
      <c r="D88" s="89" t="s">
        <v>190</v>
      </c>
      <c r="E88" s="433"/>
      <c r="F88" s="91"/>
      <c r="G88" s="184">
        <f t="shared" si="860"/>
        <v>0</v>
      </c>
      <c r="H88" s="91"/>
      <c r="I88" s="91"/>
      <c r="J88" s="93">
        <f t="shared" si="861"/>
        <v>0</v>
      </c>
      <c r="K88" s="91"/>
      <c r="L88" s="91"/>
      <c r="M88" s="93">
        <f t="shared" si="862"/>
        <v>0</v>
      </c>
      <c r="N88" s="90"/>
      <c r="O88" s="91"/>
      <c r="P88" s="93">
        <f t="shared" si="863"/>
        <v>0</v>
      </c>
      <c r="Q88" s="90"/>
      <c r="R88" s="91"/>
      <c r="S88" s="93">
        <f t="shared" si="864"/>
        <v>0</v>
      </c>
      <c r="T88" s="90"/>
      <c r="U88" s="91"/>
      <c r="V88" s="93">
        <f t="shared" si="865"/>
        <v>0</v>
      </c>
      <c r="W88" s="90"/>
      <c r="X88" s="91"/>
      <c r="Y88" s="93">
        <f t="shared" si="866"/>
        <v>0</v>
      </c>
      <c r="Z88" s="90"/>
      <c r="AA88" s="91"/>
      <c r="AB88" s="93">
        <f t="shared" si="867"/>
        <v>0</v>
      </c>
      <c r="AC88" s="90"/>
      <c r="AD88" s="91"/>
      <c r="AE88" s="93">
        <f t="shared" si="868"/>
        <v>0</v>
      </c>
      <c r="AF88" s="90"/>
      <c r="AG88" s="91"/>
      <c r="AH88" s="93">
        <f t="shared" si="869"/>
        <v>0</v>
      </c>
      <c r="AI88" s="90"/>
      <c r="AJ88" s="91"/>
      <c r="AK88" s="93">
        <f t="shared" si="870"/>
        <v>0</v>
      </c>
      <c r="AL88" s="90"/>
      <c r="AM88" s="91"/>
      <c r="AN88" s="93">
        <f t="shared" si="871"/>
        <v>0</v>
      </c>
      <c r="AO88" s="90"/>
      <c r="AP88" s="91"/>
      <c r="AQ88" s="93">
        <f t="shared" si="872"/>
        <v>0</v>
      </c>
      <c r="AR88" s="433">
        <f t="shared" si="873"/>
        <v>0</v>
      </c>
      <c r="AS88" s="91">
        <f t="shared" si="874"/>
        <v>0</v>
      </c>
      <c r="AT88" s="184">
        <f t="shared" si="875"/>
        <v>0</v>
      </c>
      <c r="AU88" s="90"/>
      <c r="AV88" s="91"/>
      <c r="AW88" s="93">
        <f t="shared" si="876"/>
        <v>0</v>
      </c>
      <c r="AX88" s="91"/>
      <c r="AY88" s="91"/>
      <c r="AZ88" s="93">
        <f t="shared" si="877"/>
        <v>0</v>
      </c>
      <c r="BA88" s="90"/>
      <c r="BB88" s="91"/>
      <c r="BC88" s="93">
        <f t="shared" si="878"/>
        <v>0</v>
      </c>
      <c r="BD88" s="90"/>
      <c r="BE88" s="91"/>
      <c r="BF88" s="93">
        <f t="shared" si="879"/>
        <v>0</v>
      </c>
      <c r="BG88" s="90"/>
      <c r="BH88" s="91"/>
      <c r="BI88" s="93">
        <f t="shared" si="880"/>
        <v>0</v>
      </c>
      <c r="BJ88" s="90"/>
      <c r="BK88" s="91"/>
      <c r="BL88" s="93">
        <f t="shared" si="881"/>
        <v>0</v>
      </c>
      <c r="BM88" s="90"/>
      <c r="BN88" s="91"/>
      <c r="BO88" s="93">
        <f t="shared" si="882"/>
        <v>0</v>
      </c>
      <c r="BP88" s="90"/>
      <c r="BQ88" s="91"/>
      <c r="BR88" s="93">
        <f t="shared" si="883"/>
        <v>0</v>
      </c>
      <c r="BS88" s="90"/>
      <c r="BT88" s="91"/>
      <c r="BU88" s="93">
        <f t="shared" si="884"/>
        <v>0</v>
      </c>
      <c r="BV88" s="90"/>
      <c r="BW88" s="91"/>
      <c r="BX88" s="93">
        <f t="shared" si="885"/>
        <v>0</v>
      </c>
      <c r="BY88" s="90"/>
      <c r="BZ88" s="91"/>
      <c r="CA88" s="93">
        <f t="shared" si="886"/>
        <v>0</v>
      </c>
      <c r="CB88" s="90"/>
      <c r="CC88" s="91"/>
      <c r="CD88" s="93">
        <f t="shared" si="887"/>
        <v>0</v>
      </c>
      <c r="CE88" s="438">
        <f t="shared" si="854"/>
        <v>0</v>
      </c>
      <c r="CF88" s="175">
        <f t="shared" si="855"/>
        <v>0</v>
      </c>
      <c r="CG88" s="439">
        <f t="shared" si="856"/>
        <v>0</v>
      </c>
      <c r="CH88" s="91"/>
      <c r="CI88" s="91"/>
      <c r="CJ88" s="93">
        <f t="shared" si="888"/>
        <v>0</v>
      </c>
      <c r="CK88" s="91"/>
      <c r="CL88" s="91"/>
      <c r="CM88" s="93">
        <f t="shared" si="889"/>
        <v>0</v>
      </c>
      <c r="CN88" s="90"/>
      <c r="CO88" s="91"/>
      <c r="CP88" s="93">
        <f t="shared" si="890"/>
        <v>0</v>
      </c>
      <c r="CQ88" s="90"/>
      <c r="CR88" s="91"/>
      <c r="CS88" s="93">
        <f t="shared" si="891"/>
        <v>0</v>
      </c>
      <c r="CT88" s="90"/>
      <c r="CU88" s="91"/>
      <c r="CV88" s="93">
        <f t="shared" si="892"/>
        <v>0</v>
      </c>
      <c r="CW88" s="90"/>
      <c r="CX88" s="91"/>
      <c r="CY88" s="93">
        <f t="shared" si="893"/>
        <v>0</v>
      </c>
      <c r="CZ88" s="90"/>
      <c r="DA88" s="91"/>
      <c r="DB88" s="93">
        <f t="shared" si="894"/>
        <v>0</v>
      </c>
      <c r="DC88" s="90"/>
      <c r="DD88" s="91"/>
      <c r="DE88" s="93">
        <f t="shared" si="895"/>
        <v>0</v>
      </c>
      <c r="DF88" s="90"/>
      <c r="DG88" s="91"/>
      <c r="DH88" s="93">
        <f t="shared" si="896"/>
        <v>0</v>
      </c>
      <c r="DI88" s="90"/>
      <c r="DJ88" s="91"/>
      <c r="DK88" s="93">
        <f t="shared" si="897"/>
        <v>0</v>
      </c>
      <c r="DL88" s="90"/>
      <c r="DM88" s="91"/>
      <c r="DN88" s="93">
        <f t="shared" si="898"/>
        <v>0</v>
      </c>
      <c r="DO88" s="90"/>
      <c r="DP88" s="91"/>
      <c r="DQ88" s="93">
        <f t="shared" si="899"/>
        <v>0</v>
      </c>
      <c r="DR88" s="438">
        <f t="shared" si="857"/>
        <v>0</v>
      </c>
      <c r="DS88" s="175">
        <f t="shared" si="858"/>
        <v>0</v>
      </c>
      <c r="DT88" s="439">
        <f t="shared" si="859"/>
        <v>0</v>
      </c>
    </row>
    <row r="89" spans="1:124" ht="14.25" customHeight="1">
      <c r="A89" s="23"/>
      <c r="B89" s="87"/>
      <c r="C89" s="88"/>
      <c r="D89" s="89" t="s">
        <v>246</v>
      </c>
      <c r="E89" s="438"/>
      <c r="F89" s="175"/>
      <c r="G89" s="184">
        <f t="shared" si="860"/>
        <v>0</v>
      </c>
      <c r="H89" s="175"/>
      <c r="I89" s="175"/>
      <c r="J89" s="93">
        <f t="shared" si="861"/>
        <v>0</v>
      </c>
      <c r="K89" s="91"/>
      <c r="L89" s="91"/>
      <c r="M89" s="93">
        <f t="shared" si="862"/>
        <v>0</v>
      </c>
      <c r="N89" s="92"/>
      <c r="O89" s="91"/>
      <c r="P89" s="93">
        <f t="shared" si="863"/>
        <v>0</v>
      </c>
      <c r="Q89" s="92"/>
      <c r="R89" s="91"/>
      <c r="S89" s="93">
        <f t="shared" si="864"/>
        <v>0</v>
      </c>
      <c r="T89" s="92"/>
      <c r="U89" s="91"/>
      <c r="V89" s="93">
        <f t="shared" si="865"/>
        <v>0</v>
      </c>
      <c r="W89" s="92"/>
      <c r="X89" s="91"/>
      <c r="Y89" s="93">
        <f t="shared" si="866"/>
        <v>0</v>
      </c>
      <c r="Z89" s="92"/>
      <c r="AA89" s="91"/>
      <c r="AB89" s="93">
        <f t="shared" si="867"/>
        <v>0</v>
      </c>
      <c r="AC89" s="92"/>
      <c r="AD89" s="91"/>
      <c r="AE89" s="93">
        <f t="shared" si="868"/>
        <v>0</v>
      </c>
      <c r="AF89" s="92"/>
      <c r="AG89" s="91"/>
      <c r="AH89" s="93">
        <f t="shared" si="869"/>
        <v>0</v>
      </c>
      <c r="AI89" s="92"/>
      <c r="AJ89" s="91"/>
      <c r="AK89" s="93">
        <f t="shared" si="870"/>
        <v>0</v>
      </c>
      <c r="AL89" s="92"/>
      <c r="AM89" s="91"/>
      <c r="AN89" s="93">
        <f t="shared" si="871"/>
        <v>0</v>
      </c>
      <c r="AO89" s="92"/>
      <c r="AP89" s="91"/>
      <c r="AQ89" s="93">
        <f t="shared" si="872"/>
        <v>0</v>
      </c>
      <c r="AR89" s="438">
        <f t="shared" si="873"/>
        <v>0</v>
      </c>
      <c r="AS89" s="175">
        <f t="shared" si="874"/>
        <v>0</v>
      </c>
      <c r="AT89" s="184">
        <f t="shared" si="875"/>
        <v>0</v>
      </c>
      <c r="AU89" s="176"/>
      <c r="AV89" s="175"/>
      <c r="AW89" s="93">
        <f t="shared" si="876"/>
        <v>0</v>
      </c>
      <c r="AX89" s="91"/>
      <c r="AY89" s="91"/>
      <c r="AZ89" s="93">
        <f t="shared" si="877"/>
        <v>0</v>
      </c>
      <c r="BA89" s="92"/>
      <c r="BB89" s="91"/>
      <c r="BC89" s="93">
        <f t="shared" si="878"/>
        <v>0</v>
      </c>
      <c r="BD89" s="92"/>
      <c r="BE89" s="91"/>
      <c r="BF89" s="93">
        <f t="shared" si="879"/>
        <v>0</v>
      </c>
      <c r="BG89" s="92"/>
      <c r="BH89" s="91"/>
      <c r="BI89" s="93">
        <f t="shared" si="880"/>
        <v>0</v>
      </c>
      <c r="BJ89" s="92"/>
      <c r="BK89" s="91"/>
      <c r="BL89" s="93">
        <f t="shared" si="881"/>
        <v>0</v>
      </c>
      <c r="BM89" s="92"/>
      <c r="BN89" s="91"/>
      <c r="BO89" s="93">
        <f t="shared" si="882"/>
        <v>0</v>
      </c>
      <c r="BP89" s="92"/>
      <c r="BQ89" s="91"/>
      <c r="BR89" s="93">
        <f t="shared" si="883"/>
        <v>0</v>
      </c>
      <c r="BS89" s="92"/>
      <c r="BT89" s="91"/>
      <c r="BU89" s="93">
        <f t="shared" si="884"/>
        <v>0</v>
      </c>
      <c r="BV89" s="92"/>
      <c r="BW89" s="91"/>
      <c r="BX89" s="93">
        <f t="shared" si="885"/>
        <v>0</v>
      </c>
      <c r="BY89" s="92"/>
      <c r="BZ89" s="91"/>
      <c r="CA89" s="93">
        <f t="shared" si="886"/>
        <v>0</v>
      </c>
      <c r="CB89" s="92"/>
      <c r="CC89" s="91"/>
      <c r="CD89" s="93">
        <f t="shared" si="887"/>
        <v>0</v>
      </c>
      <c r="CE89" s="438">
        <f t="shared" si="854"/>
        <v>0</v>
      </c>
      <c r="CF89" s="175">
        <f t="shared" si="855"/>
        <v>0</v>
      </c>
      <c r="CG89" s="439">
        <f t="shared" si="856"/>
        <v>0</v>
      </c>
      <c r="CH89" s="175"/>
      <c r="CI89" s="175"/>
      <c r="CJ89" s="93">
        <f t="shared" si="888"/>
        <v>0</v>
      </c>
      <c r="CK89" s="91"/>
      <c r="CL89" s="91"/>
      <c r="CM89" s="93">
        <f t="shared" si="889"/>
        <v>0</v>
      </c>
      <c r="CN89" s="92"/>
      <c r="CO89" s="91"/>
      <c r="CP89" s="93">
        <f t="shared" si="890"/>
        <v>0</v>
      </c>
      <c r="CQ89" s="92"/>
      <c r="CR89" s="91"/>
      <c r="CS89" s="93">
        <f t="shared" si="891"/>
        <v>0</v>
      </c>
      <c r="CT89" s="92"/>
      <c r="CU89" s="91"/>
      <c r="CV89" s="93">
        <f t="shared" si="892"/>
        <v>0</v>
      </c>
      <c r="CW89" s="92"/>
      <c r="CX89" s="91"/>
      <c r="CY89" s="93">
        <f t="shared" si="893"/>
        <v>0</v>
      </c>
      <c r="CZ89" s="92"/>
      <c r="DA89" s="91"/>
      <c r="DB89" s="93">
        <f t="shared" si="894"/>
        <v>0</v>
      </c>
      <c r="DC89" s="92"/>
      <c r="DD89" s="91"/>
      <c r="DE89" s="93">
        <f t="shared" si="895"/>
        <v>0</v>
      </c>
      <c r="DF89" s="92"/>
      <c r="DG89" s="91"/>
      <c r="DH89" s="93">
        <f t="shared" si="896"/>
        <v>0</v>
      </c>
      <c r="DI89" s="92"/>
      <c r="DJ89" s="91"/>
      <c r="DK89" s="93">
        <f t="shared" si="897"/>
        <v>0</v>
      </c>
      <c r="DL89" s="92"/>
      <c r="DM89" s="91"/>
      <c r="DN89" s="93">
        <f t="shared" si="898"/>
        <v>0</v>
      </c>
      <c r="DO89" s="92"/>
      <c r="DP89" s="91"/>
      <c r="DQ89" s="93">
        <f t="shared" si="899"/>
        <v>0</v>
      </c>
      <c r="DR89" s="438">
        <f t="shared" si="857"/>
        <v>0</v>
      </c>
      <c r="DS89" s="175">
        <f t="shared" si="858"/>
        <v>0</v>
      </c>
      <c r="DT89" s="439">
        <f t="shared" si="859"/>
        <v>0</v>
      </c>
    </row>
    <row r="90" spans="1:124" ht="14.25" customHeight="1">
      <c r="A90" s="23"/>
      <c r="B90" s="87"/>
      <c r="C90" s="88"/>
      <c r="D90" s="89"/>
      <c r="E90" s="433"/>
      <c r="F90" s="91"/>
      <c r="G90" s="184"/>
      <c r="H90" s="91"/>
      <c r="I90" s="91"/>
      <c r="J90" s="93"/>
      <c r="K90" s="91"/>
      <c r="L90" s="91"/>
      <c r="M90" s="93"/>
      <c r="N90" s="92"/>
      <c r="O90" s="91"/>
      <c r="P90" s="93"/>
      <c r="Q90" s="92"/>
      <c r="R90" s="91"/>
      <c r="S90" s="93"/>
      <c r="T90" s="92"/>
      <c r="U90" s="91"/>
      <c r="V90" s="93"/>
      <c r="W90" s="92"/>
      <c r="X90" s="91"/>
      <c r="Y90" s="93"/>
      <c r="Z90" s="92"/>
      <c r="AA90" s="91"/>
      <c r="AB90" s="93"/>
      <c r="AC90" s="92"/>
      <c r="AD90" s="91"/>
      <c r="AE90" s="93"/>
      <c r="AF90" s="92"/>
      <c r="AG90" s="91"/>
      <c r="AH90" s="93"/>
      <c r="AI90" s="92"/>
      <c r="AJ90" s="91"/>
      <c r="AK90" s="93"/>
      <c r="AL90" s="92"/>
      <c r="AM90" s="91"/>
      <c r="AN90" s="93"/>
      <c r="AO90" s="92"/>
      <c r="AP90" s="91"/>
      <c r="AQ90" s="93"/>
      <c r="AR90" s="433"/>
      <c r="AS90" s="91"/>
      <c r="AT90" s="184"/>
      <c r="AU90" s="92"/>
      <c r="AV90" s="91"/>
      <c r="AW90" s="93"/>
      <c r="AX90" s="92"/>
      <c r="AY90" s="91"/>
      <c r="AZ90" s="93"/>
      <c r="BA90" s="92"/>
      <c r="BB90" s="91"/>
      <c r="BC90" s="93"/>
      <c r="BD90" s="92"/>
      <c r="BE90" s="91"/>
      <c r="BF90" s="93"/>
      <c r="BG90" s="92"/>
      <c r="BH90" s="91"/>
      <c r="BI90" s="93"/>
      <c r="BJ90" s="92"/>
      <c r="BK90" s="91"/>
      <c r="BL90" s="93"/>
      <c r="BM90" s="92"/>
      <c r="BN90" s="91"/>
      <c r="BO90" s="93"/>
      <c r="BP90" s="92"/>
      <c r="BQ90" s="91"/>
      <c r="BR90" s="93"/>
      <c r="BS90" s="92"/>
      <c r="BT90" s="91"/>
      <c r="BU90" s="93"/>
      <c r="BV90" s="92"/>
      <c r="BW90" s="91"/>
      <c r="BX90" s="93"/>
      <c r="BY90" s="92"/>
      <c r="BZ90" s="91"/>
      <c r="CA90" s="93"/>
      <c r="CB90" s="92"/>
      <c r="CC90" s="91"/>
      <c r="CD90" s="93"/>
      <c r="CE90" s="433"/>
      <c r="CF90" s="91"/>
      <c r="CG90" s="184"/>
      <c r="CH90" s="91"/>
      <c r="CI90" s="91"/>
      <c r="CJ90" s="93"/>
      <c r="CK90" s="90"/>
      <c r="CL90" s="91"/>
      <c r="CM90" s="93"/>
      <c r="CN90" s="90"/>
      <c r="CO90" s="91"/>
      <c r="CP90" s="93"/>
      <c r="CQ90" s="90"/>
      <c r="CR90" s="91"/>
      <c r="CS90" s="93"/>
      <c r="CT90" s="90"/>
      <c r="CU90" s="91"/>
      <c r="CV90" s="93"/>
      <c r="CW90" s="90"/>
      <c r="CX90" s="91"/>
      <c r="CY90" s="93"/>
      <c r="CZ90" s="90"/>
      <c r="DA90" s="91"/>
      <c r="DB90" s="93"/>
      <c r="DC90" s="90"/>
      <c r="DD90" s="91"/>
      <c r="DE90" s="93"/>
      <c r="DF90" s="90"/>
      <c r="DG90" s="91"/>
      <c r="DH90" s="93"/>
      <c r="DI90" s="90"/>
      <c r="DJ90" s="91"/>
      <c r="DK90" s="93"/>
      <c r="DL90" s="90"/>
      <c r="DM90" s="91"/>
      <c r="DN90" s="93"/>
      <c r="DO90" s="90"/>
      <c r="DP90" s="91"/>
      <c r="DQ90" s="93"/>
      <c r="DR90" s="433"/>
      <c r="DS90" s="91"/>
      <c r="DT90" s="184"/>
    </row>
    <row r="91" spans="1:124" ht="14.25" customHeight="1">
      <c r="A91" s="23"/>
      <c r="B91" s="103"/>
      <c r="C91" s="104" t="s">
        <v>4</v>
      </c>
      <c r="D91" s="105" t="s">
        <v>245</v>
      </c>
      <c r="E91" s="436" t="str">
        <f t="shared" ref="E91:BP91" si="900">IFERROR(E79/E85,"-")</f>
        <v>-</v>
      </c>
      <c r="F91" s="172" t="str">
        <f t="shared" si="900"/>
        <v>-</v>
      </c>
      <c r="G91" s="437" t="str">
        <f t="shared" si="900"/>
        <v>-</v>
      </c>
      <c r="H91" s="172" t="str">
        <f t="shared" si="900"/>
        <v>-</v>
      </c>
      <c r="I91" s="172" t="str">
        <f t="shared" si="900"/>
        <v>-</v>
      </c>
      <c r="J91" s="548" t="str">
        <f t="shared" si="900"/>
        <v>-</v>
      </c>
      <c r="K91" s="172" t="str">
        <f t="shared" si="900"/>
        <v>-</v>
      </c>
      <c r="L91" s="172" t="str">
        <f t="shared" si="900"/>
        <v>-</v>
      </c>
      <c r="M91" s="548" t="str">
        <f t="shared" si="900"/>
        <v>-</v>
      </c>
      <c r="N91" s="173" t="str">
        <f t="shared" si="900"/>
        <v>-</v>
      </c>
      <c r="O91" s="172" t="str">
        <f t="shared" si="900"/>
        <v>-</v>
      </c>
      <c r="P91" s="548" t="str">
        <f t="shared" si="900"/>
        <v>-</v>
      </c>
      <c r="Q91" s="173" t="str">
        <f t="shared" si="900"/>
        <v>-</v>
      </c>
      <c r="R91" s="172" t="str">
        <f t="shared" si="900"/>
        <v>-</v>
      </c>
      <c r="S91" s="548" t="str">
        <f t="shared" si="900"/>
        <v>-</v>
      </c>
      <c r="T91" s="173" t="str">
        <f t="shared" si="900"/>
        <v>-</v>
      </c>
      <c r="U91" s="172" t="str">
        <f t="shared" si="900"/>
        <v>-</v>
      </c>
      <c r="V91" s="548" t="str">
        <f t="shared" si="900"/>
        <v>-</v>
      </c>
      <c r="W91" s="173" t="str">
        <f t="shared" si="900"/>
        <v>-</v>
      </c>
      <c r="X91" s="172" t="str">
        <f t="shared" si="900"/>
        <v>-</v>
      </c>
      <c r="Y91" s="548" t="str">
        <f t="shared" si="900"/>
        <v>-</v>
      </c>
      <c r="Z91" s="173" t="str">
        <f t="shared" si="900"/>
        <v>-</v>
      </c>
      <c r="AA91" s="172" t="str">
        <f t="shared" si="900"/>
        <v>-</v>
      </c>
      <c r="AB91" s="548" t="str">
        <f t="shared" si="900"/>
        <v>-</v>
      </c>
      <c r="AC91" s="173" t="str">
        <f t="shared" si="900"/>
        <v>-</v>
      </c>
      <c r="AD91" s="172" t="str">
        <f t="shared" si="900"/>
        <v>-</v>
      </c>
      <c r="AE91" s="548" t="str">
        <f t="shared" si="900"/>
        <v>-</v>
      </c>
      <c r="AF91" s="173" t="str">
        <f t="shared" si="900"/>
        <v>-</v>
      </c>
      <c r="AG91" s="172" t="str">
        <f t="shared" si="900"/>
        <v>-</v>
      </c>
      <c r="AH91" s="548" t="str">
        <f t="shared" si="900"/>
        <v>-</v>
      </c>
      <c r="AI91" s="173" t="str">
        <f t="shared" si="900"/>
        <v>-</v>
      </c>
      <c r="AJ91" s="172" t="str">
        <f t="shared" si="900"/>
        <v>-</v>
      </c>
      <c r="AK91" s="548" t="str">
        <f t="shared" si="900"/>
        <v>-</v>
      </c>
      <c r="AL91" s="173" t="str">
        <f t="shared" si="900"/>
        <v>-</v>
      </c>
      <c r="AM91" s="172" t="str">
        <f t="shared" si="900"/>
        <v>-</v>
      </c>
      <c r="AN91" s="548" t="str">
        <f t="shared" si="900"/>
        <v>-</v>
      </c>
      <c r="AO91" s="173" t="str">
        <f t="shared" si="900"/>
        <v>-</v>
      </c>
      <c r="AP91" s="172" t="str">
        <f t="shared" si="900"/>
        <v>-</v>
      </c>
      <c r="AQ91" s="548" t="str">
        <f t="shared" si="900"/>
        <v>-</v>
      </c>
      <c r="AR91" s="436" t="str">
        <f t="shared" si="900"/>
        <v>-</v>
      </c>
      <c r="AS91" s="172" t="str">
        <f t="shared" si="900"/>
        <v>-</v>
      </c>
      <c r="AT91" s="437" t="str">
        <f t="shared" si="900"/>
        <v>-</v>
      </c>
      <c r="AU91" s="173" t="str">
        <f t="shared" si="900"/>
        <v>-</v>
      </c>
      <c r="AV91" s="172" t="str">
        <f t="shared" si="900"/>
        <v>-</v>
      </c>
      <c r="AW91" s="548" t="str">
        <f t="shared" si="900"/>
        <v>-</v>
      </c>
      <c r="AX91" s="173" t="str">
        <f t="shared" si="900"/>
        <v>-</v>
      </c>
      <c r="AY91" s="172" t="str">
        <f t="shared" si="900"/>
        <v>-</v>
      </c>
      <c r="AZ91" s="548" t="str">
        <f t="shared" si="900"/>
        <v>-</v>
      </c>
      <c r="BA91" s="173" t="str">
        <f t="shared" si="900"/>
        <v>-</v>
      </c>
      <c r="BB91" s="172" t="str">
        <f t="shared" si="900"/>
        <v>-</v>
      </c>
      <c r="BC91" s="548" t="str">
        <f t="shared" si="900"/>
        <v>-</v>
      </c>
      <c r="BD91" s="173" t="str">
        <f t="shared" si="900"/>
        <v>-</v>
      </c>
      <c r="BE91" s="172" t="str">
        <f t="shared" si="900"/>
        <v>-</v>
      </c>
      <c r="BF91" s="548" t="str">
        <f t="shared" si="900"/>
        <v>-</v>
      </c>
      <c r="BG91" s="173" t="str">
        <f t="shared" si="900"/>
        <v>-</v>
      </c>
      <c r="BH91" s="172" t="str">
        <f t="shared" si="900"/>
        <v>-</v>
      </c>
      <c r="BI91" s="548" t="str">
        <f t="shared" si="900"/>
        <v>-</v>
      </c>
      <c r="BJ91" s="173" t="str">
        <f t="shared" si="900"/>
        <v>-</v>
      </c>
      <c r="BK91" s="172" t="str">
        <f t="shared" si="900"/>
        <v>-</v>
      </c>
      <c r="BL91" s="548" t="str">
        <f t="shared" si="900"/>
        <v>-</v>
      </c>
      <c r="BM91" s="173" t="str">
        <f t="shared" si="900"/>
        <v>-</v>
      </c>
      <c r="BN91" s="172" t="str">
        <f t="shared" si="900"/>
        <v>-</v>
      </c>
      <c r="BO91" s="548" t="str">
        <f t="shared" si="900"/>
        <v>-</v>
      </c>
      <c r="BP91" s="173" t="str">
        <f t="shared" si="900"/>
        <v>-</v>
      </c>
      <c r="BQ91" s="172" t="str">
        <f t="shared" ref="BQ91:DT91" si="901">IFERROR(BQ79/BQ85,"-")</f>
        <v>-</v>
      </c>
      <c r="BR91" s="548" t="str">
        <f t="shared" si="901"/>
        <v>-</v>
      </c>
      <c r="BS91" s="173" t="str">
        <f t="shared" si="901"/>
        <v>-</v>
      </c>
      <c r="BT91" s="172" t="str">
        <f t="shared" si="901"/>
        <v>-</v>
      </c>
      <c r="BU91" s="548" t="str">
        <f t="shared" si="901"/>
        <v>-</v>
      </c>
      <c r="BV91" s="173" t="str">
        <f t="shared" si="901"/>
        <v>-</v>
      </c>
      <c r="BW91" s="172" t="str">
        <f t="shared" si="901"/>
        <v>-</v>
      </c>
      <c r="BX91" s="548" t="str">
        <f t="shared" si="901"/>
        <v>-</v>
      </c>
      <c r="BY91" s="173" t="str">
        <f t="shared" si="901"/>
        <v>-</v>
      </c>
      <c r="BZ91" s="172" t="str">
        <f t="shared" si="901"/>
        <v>-</v>
      </c>
      <c r="CA91" s="548" t="str">
        <f t="shared" si="901"/>
        <v>-</v>
      </c>
      <c r="CB91" s="173" t="str">
        <f t="shared" si="901"/>
        <v>-</v>
      </c>
      <c r="CC91" s="172" t="str">
        <f t="shared" si="901"/>
        <v>-</v>
      </c>
      <c r="CD91" s="548" t="str">
        <f t="shared" si="901"/>
        <v>-</v>
      </c>
      <c r="CE91" s="436" t="str">
        <f t="shared" si="901"/>
        <v>-</v>
      </c>
      <c r="CF91" s="172" t="str">
        <f t="shared" si="901"/>
        <v>-</v>
      </c>
      <c r="CG91" s="437" t="str">
        <f t="shared" si="901"/>
        <v>-</v>
      </c>
      <c r="CH91" s="172" t="str">
        <f t="shared" si="901"/>
        <v>-</v>
      </c>
      <c r="CI91" s="172" t="str">
        <f t="shared" si="901"/>
        <v>-</v>
      </c>
      <c r="CJ91" s="548" t="str">
        <f t="shared" si="901"/>
        <v>-</v>
      </c>
      <c r="CK91" s="171" t="str">
        <f t="shared" si="901"/>
        <v>-</v>
      </c>
      <c r="CL91" s="172" t="str">
        <f t="shared" si="901"/>
        <v>-</v>
      </c>
      <c r="CM91" s="548" t="str">
        <f t="shared" si="901"/>
        <v>-</v>
      </c>
      <c r="CN91" s="171" t="str">
        <f t="shared" si="901"/>
        <v>-</v>
      </c>
      <c r="CO91" s="172" t="str">
        <f t="shared" si="901"/>
        <v>-</v>
      </c>
      <c r="CP91" s="548" t="str">
        <f t="shared" si="901"/>
        <v>-</v>
      </c>
      <c r="CQ91" s="171" t="str">
        <f t="shared" si="901"/>
        <v>-</v>
      </c>
      <c r="CR91" s="172" t="str">
        <f t="shared" si="901"/>
        <v>-</v>
      </c>
      <c r="CS91" s="548" t="str">
        <f t="shared" si="901"/>
        <v>-</v>
      </c>
      <c r="CT91" s="171" t="str">
        <f t="shared" si="901"/>
        <v>-</v>
      </c>
      <c r="CU91" s="172" t="str">
        <f t="shared" si="901"/>
        <v>-</v>
      </c>
      <c r="CV91" s="548" t="str">
        <f t="shared" si="901"/>
        <v>-</v>
      </c>
      <c r="CW91" s="171" t="str">
        <f t="shared" si="901"/>
        <v>-</v>
      </c>
      <c r="CX91" s="172" t="str">
        <f t="shared" si="901"/>
        <v>-</v>
      </c>
      <c r="CY91" s="548" t="str">
        <f t="shared" si="901"/>
        <v>-</v>
      </c>
      <c r="CZ91" s="171" t="str">
        <f t="shared" si="901"/>
        <v>-</v>
      </c>
      <c r="DA91" s="172" t="str">
        <f t="shared" si="901"/>
        <v>-</v>
      </c>
      <c r="DB91" s="548" t="str">
        <f t="shared" si="901"/>
        <v>-</v>
      </c>
      <c r="DC91" s="171" t="str">
        <f t="shared" si="901"/>
        <v>-</v>
      </c>
      <c r="DD91" s="172" t="str">
        <f t="shared" si="901"/>
        <v>-</v>
      </c>
      <c r="DE91" s="548" t="str">
        <f t="shared" si="901"/>
        <v>-</v>
      </c>
      <c r="DF91" s="171" t="str">
        <f t="shared" si="901"/>
        <v>-</v>
      </c>
      <c r="DG91" s="172" t="str">
        <f t="shared" si="901"/>
        <v>-</v>
      </c>
      <c r="DH91" s="548" t="str">
        <f t="shared" si="901"/>
        <v>-</v>
      </c>
      <c r="DI91" s="171" t="str">
        <f t="shared" si="901"/>
        <v>-</v>
      </c>
      <c r="DJ91" s="172" t="str">
        <f t="shared" si="901"/>
        <v>-</v>
      </c>
      <c r="DK91" s="548" t="str">
        <f t="shared" si="901"/>
        <v>-</v>
      </c>
      <c r="DL91" s="171" t="str">
        <f t="shared" si="901"/>
        <v>-</v>
      </c>
      <c r="DM91" s="172" t="str">
        <f t="shared" si="901"/>
        <v>-</v>
      </c>
      <c r="DN91" s="548" t="str">
        <f t="shared" si="901"/>
        <v>-</v>
      </c>
      <c r="DO91" s="171" t="str">
        <f t="shared" si="901"/>
        <v>-</v>
      </c>
      <c r="DP91" s="172" t="str">
        <f t="shared" si="901"/>
        <v>-</v>
      </c>
      <c r="DQ91" s="548" t="str">
        <f t="shared" si="901"/>
        <v>-</v>
      </c>
      <c r="DR91" s="436" t="str">
        <f t="shared" si="901"/>
        <v>-</v>
      </c>
      <c r="DS91" s="172" t="str">
        <f t="shared" si="901"/>
        <v>-</v>
      </c>
      <c r="DT91" s="437" t="str">
        <f t="shared" si="901"/>
        <v>-</v>
      </c>
    </row>
    <row r="92" spans="1:124" ht="14.25" customHeight="1">
      <c r="A92" s="23"/>
      <c r="B92" s="87"/>
      <c r="C92" s="88"/>
      <c r="D92" s="89" t="s">
        <v>188</v>
      </c>
      <c r="E92" s="433" t="str">
        <f t="shared" ref="E92:BP92" si="902">IFERROR(E80/E86,"-")</f>
        <v>-</v>
      </c>
      <c r="F92" s="91" t="str">
        <f t="shared" si="902"/>
        <v>-</v>
      </c>
      <c r="G92" s="184" t="str">
        <f t="shared" si="902"/>
        <v>-</v>
      </c>
      <c r="H92" s="91" t="str">
        <f t="shared" si="902"/>
        <v>-</v>
      </c>
      <c r="I92" s="91" t="str">
        <f t="shared" si="902"/>
        <v>-</v>
      </c>
      <c r="J92" s="93" t="str">
        <f t="shared" si="902"/>
        <v>-</v>
      </c>
      <c r="K92" s="91" t="str">
        <f t="shared" si="902"/>
        <v>-</v>
      </c>
      <c r="L92" s="91" t="str">
        <f t="shared" si="902"/>
        <v>-</v>
      </c>
      <c r="M92" s="93" t="str">
        <f t="shared" si="902"/>
        <v>-</v>
      </c>
      <c r="N92" s="92" t="str">
        <f t="shared" si="902"/>
        <v>-</v>
      </c>
      <c r="O92" s="91" t="str">
        <f t="shared" si="902"/>
        <v>-</v>
      </c>
      <c r="P92" s="93" t="str">
        <f t="shared" si="902"/>
        <v>-</v>
      </c>
      <c r="Q92" s="92" t="str">
        <f t="shared" si="902"/>
        <v>-</v>
      </c>
      <c r="R92" s="91" t="str">
        <f t="shared" si="902"/>
        <v>-</v>
      </c>
      <c r="S92" s="93" t="str">
        <f t="shared" si="902"/>
        <v>-</v>
      </c>
      <c r="T92" s="92" t="str">
        <f t="shared" si="902"/>
        <v>-</v>
      </c>
      <c r="U92" s="91" t="str">
        <f t="shared" si="902"/>
        <v>-</v>
      </c>
      <c r="V92" s="93" t="str">
        <f t="shared" si="902"/>
        <v>-</v>
      </c>
      <c r="W92" s="92" t="str">
        <f t="shared" si="902"/>
        <v>-</v>
      </c>
      <c r="X92" s="91" t="str">
        <f t="shared" si="902"/>
        <v>-</v>
      </c>
      <c r="Y92" s="93" t="str">
        <f t="shared" si="902"/>
        <v>-</v>
      </c>
      <c r="Z92" s="92" t="str">
        <f t="shared" si="902"/>
        <v>-</v>
      </c>
      <c r="AA92" s="91" t="str">
        <f t="shared" si="902"/>
        <v>-</v>
      </c>
      <c r="AB92" s="93" t="str">
        <f t="shared" si="902"/>
        <v>-</v>
      </c>
      <c r="AC92" s="92" t="str">
        <f t="shared" si="902"/>
        <v>-</v>
      </c>
      <c r="AD92" s="91" t="str">
        <f t="shared" si="902"/>
        <v>-</v>
      </c>
      <c r="AE92" s="93" t="str">
        <f t="shared" si="902"/>
        <v>-</v>
      </c>
      <c r="AF92" s="92" t="str">
        <f t="shared" si="902"/>
        <v>-</v>
      </c>
      <c r="AG92" s="91" t="str">
        <f t="shared" si="902"/>
        <v>-</v>
      </c>
      <c r="AH92" s="93" t="str">
        <f t="shared" si="902"/>
        <v>-</v>
      </c>
      <c r="AI92" s="92" t="str">
        <f t="shared" si="902"/>
        <v>-</v>
      </c>
      <c r="AJ92" s="91" t="str">
        <f t="shared" si="902"/>
        <v>-</v>
      </c>
      <c r="AK92" s="93" t="str">
        <f t="shared" si="902"/>
        <v>-</v>
      </c>
      <c r="AL92" s="92" t="str">
        <f t="shared" si="902"/>
        <v>-</v>
      </c>
      <c r="AM92" s="91" t="str">
        <f t="shared" si="902"/>
        <v>-</v>
      </c>
      <c r="AN92" s="93" t="str">
        <f t="shared" si="902"/>
        <v>-</v>
      </c>
      <c r="AO92" s="92" t="str">
        <f t="shared" si="902"/>
        <v>-</v>
      </c>
      <c r="AP92" s="91" t="str">
        <f t="shared" si="902"/>
        <v>-</v>
      </c>
      <c r="AQ92" s="93" t="str">
        <f t="shared" si="902"/>
        <v>-</v>
      </c>
      <c r="AR92" s="433" t="str">
        <f t="shared" si="902"/>
        <v>-</v>
      </c>
      <c r="AS92" s="91" t="str">
        <f t="shared" si="902"/>
        <v>-</v>
      </c>
      <c r="AT92" s="184" t="str">
        <f t="shared" si="902"/>
        <v>-</v>
      </c>
      <c r="AU92" s="92" t="str">
        <f t="shared" si="902"/>
        <v>-</v>
      </c>
      <c r="AV92" s="91" t="str">
        <f t="shared" si="902"/>
        <v>-</v>
      </c>
      <c r="AW92" s="93" t="str">
        <f t="shared" si="902"/>
        <v>-</v>
      </c>
      <c r="AX92" s="92" t="str">
        <f t="shared" si="902"/>
        <v>-</v>
      </c>
      <c r="AY92" s="91" t="str">
        <f t="shared" si="902"/>
        <v>-</v>
      </c>
      <c r="AZ92" s="93" t="str">
        <f t="shared" si="902"/>
        <v>-</v>
      </c>
      <c r="BA92" s="92" t="str">
        <f t="shared" si="902"/>
        <v>-</v>
      </c>
      <c r="BB92" s="91" t="str">
        <f t="shared" si="902"/>
        <v>-</v>
      </c>
      <c r="BC92" s="93" t="str">
        <f t="shared" si="902"/>
        <v>-</v>
      </c>
      <c r="BD92" s="92" t="str">
        <f t="shared" si="902"/>
        <v>-</v>
      </c>
      <c r="BE92" s="91" t="str">
        <f t="shared" si="902"/>
        <v>-</v>
      </c>
      <c r="BF92" s="93" t="str">
        <f t="shared" si="902"/>
        <v>-</v>
      </c>
      <c r="BG92" s="92" t="str">
        <f t="shared" si="902"/>
        <v>-</v>
      </c>
      <c r="BH92" s="91" t="str">
        <f t="shared" si="902"/>
        <v>-</v>
      </c>
      <c r="BI92" s="93" t="str">
        <f t="shared" si="902"/>
        <v>-</v>
      </c>
      <c r="BJ92" s="92" t="str">
        <f t="shared" si="902"/>
        <v>-</v>
      </c>
      <c r="BK92" s="91" t="str">
        <f t="shared" si="902"/>
        <v>-</v>
      </c>
      <c r="BL92" s="93" t="str">
        <f t="shared" si="902"/>
        <v>-</v>
      </c>
      <c r="BM92" s="92" t="str">
        <f t="shared" si="902"/>
        <v>-</v>
      </c>
      <c r="BN92" s="91" t="str">
        <f t="shared" si="902"/>
        <v>-</v>
      </c>
      <c r="BO92" s="93" t="str">
        <f t="shared" si="902"/>
        <v>-</v>
      </c>
      <c r="BP92" s="92" t="str">
        <f t="shared" si="902"/>
        <v>-</v>
      </c>
      <c r="BQ92" s="91" t="str">
        <f t="shared" ref="BQ92:DT92" si="903">IFERROR(BQ80/BQ86,"-")</f>
        <v>-</v>
      </c>
      <c r="BR92" s="93" t="str">
        <f t="shared" si="903"/>
        <v>-</v>
      </c>
      <c r="BS92" s="92" t="str">
        <f t="shared" si="903"/>
        <v>-</v>
      </c>
      <c r="BT92" s="91" t="str">
        <f t="shared" si="903"/>
        <v>-</v>
      </c>
      <c r="BU92" s="93" t="str">
        <f t="shared" si="903"/>
        <v>-</v>
      </c>
      <c r="BV92" s="92" t="str">
        <f t="shared" si="903"/>
        <v>-</v>
      </c>
      <c r="BW92" s="91" t="str">
        <f t="shared" si="903"/>
        <v>-</v>
      </c>
      <c r="BX92" s="93" t="str">
        <f t="shared" si="903"/>
        <v>-</v>
      </c>
      <c r="BY92" s="92" t="str">
        <f t="shared" si="903"/>
        <v>-</v>
      </c>
      <c r="BZ92" s="91" t="str">
        <f t="shared" si="903"/>
        <v>-</v>
      </c>
      <c r="CA92" s="93" t="str">
        <f t="shared" si="903"/>
        <v>-</v>
      </c>
      <c r="CB92" s="92" t="str">
        <f t="shared" si="903"/>
        <v>-</v>
      </c>
      <c r="CC92" s="91" t="str">
        <f t="shared" si="903"/>
        <v>-</v>
      </c>
      <c r="CD92" s="93" t="str">
        <f t="shared" si="903"/>
        <v>-</v>
      </c>
      <c r="CE92" s="433" t="str">
        <f t="shared" si="903"/>
        <v>-</v>
      </c>
      <c r="CF92" s="91" t="str">
        <f t="shared" si="903"/>
        <v>-</v>
      </c>
      <c r="CG92" s="184" t="str">
        <f t="shared" si="903"/>
        <v>-</v>
      </c>
      <c r="CH92" s="91" t="str">
        <f t="shared" si="903"/>
        <v>-</v>
      </c>
      <c r="CI92" s="91" t="str">
        <f t="shared" si="903"/>
        <v>-</v>
      </c>
      <c r="CJ92" s="93" t="str">
        <f t="shared" si="903"/>
        <v>-</v>
      </c>
      <c r="CK92" s="90" t="str">
        <f t="shared" si="903"/>
        <v>-</v>
      </c>
      <c r="CL92" s="91" t="str">
        <f t="shared" si="903"/>
        <v>-</v>
      </c>
      <c r="CM92" s="93" t="str">
        <f t="shared" si="903"/>
        <v>-</v>
      </c>
      <c r="CN92" s="90" t="str">
        <f t="shared" si="903"/>
        <v>-</v>
      </c>
      <c r="CO92" s="91" t="str">
        <f t="shared" si="903"/>
        <v>-</v>
      </c>
      <c r="CP92" s="93" t="str">
        <f t="shared" si="903"/>
        <v>-</v>
      </c>
      <c r="CQ92" s="90" t="str">
        <f t="shared" si="903"/>
        <v>-</v>
      </c>
      <c r="CR92" s="91" t="str">
        <f t="shared" si="903"/>
        <v>-</v>
      </c>
      <c r="CS92" s="93" t="str">
        <f t="shared" si="903"/>
        <v>-</v>
      </c>
      <c r="CT92" s="90" t="str">
        <f t="shared" si="903"/>
        <v>-</v>
      </c>
      <c r="CU92" s="91" t="str">
        <f t="shared" si="903"/>
        <v>-</v>
      </c>
      <c r="CV92" s="93" t="str">
        <f t="shared" si="903"/>
        <v>-</v>
      </c>
      <c r="CW92" s="90" t="str">
        <f t="shared" si="903"/>
        <v>-</v>
      </c>
      <c r="CX92" s="91" t="str">
        <f t="shared" si="903"/>
        <v>-</v>
      </c>
      <c r="CY92" s="93" t="str">
        <f t="shared" si="903"/>
        <v>-</v>
      </c>
      <c r="CZ92" s="90" t="str">
        <f t="shared" si="903"/>
        <v>-</v>
      </c>
      <c r="DA92" s="91" t="str">
        <f t="shared" si="903"/>
        <v>-</v>
      </c>
      <c r="DB92" s="93" t="str">
        <f t="shared" si="903"/>
        <v>-</v>
      </c>
      <c r="DC92" s="90" t="str">
        <f t="shared" si="903"/>
        <v>-</v>
      </c>
      <c r="DD92" s="91" t="str">
        <f t="shared" si="903"/>
        <v>-</v>
      </c>
      <c r="DE92" s="93" t="str">
        <f t="shared" si="903"/>
        <v>-</v>
      </c>
      <c r="DF92" s="90" t="str">
        <f t="shared" si="903"/>
        <v>-</v>
      </c>
      <c r="DG92" s="91" t="str">
        <f t="shared" si="903"/>
        <v>-</v>
      </c>
      <c r="DH92" s="93" t="str">
        <f t="shared" si="903"/>
        <v>-</v>
      </c>
      <c r="DI92" s="90" t="str">
        <f t="shared" si="903"/>
        <v>-</v>
      </c>
      <c r="DJ92" s="91" t="str">
        <f t="shared" si="903"/>
        <v>-</v>
      </c>
      <c r="DK92" s="93" t="str">
        <f t="shared" si="903"/>
        <v>-</v>
      </c>
      <c r="DL92" s="90" t="str">
        <f t="shared" si="903"/>
        <v>-</v>
      </c>
      <c r="DM92" s="91" t="str">
        <f t="shared" si="903"/>
        <v>-</v>
      </c>
      <c r="DN92" s="93" t="str">
        <f t="shared" si="903"/>
        <v>-</v>
      </c>
      <c r="DO92" s="90" t="str">
        <f t="shared" si="903"/>
        <v>-</v>
      </c>
      <c r="DP92" s="91" t="str">
        <f t="shared" si="903"/>
        <v>-</v>
      </c>
      <c r="DQ92" s="93" t="str">
        <f t="shared" si="903"/>
        <v>-</v>
      </c>
      <c r="DR92" s="433" t="str">
        <f t="shared" si="903"/>
        <v>-</v>
      </c>
      <c r="DS92" s="91" t="str">
        <f t="shared" si="903"/>
        <v>-</v>
      </c>
      <c r="DT92" s="184" t="str">
        <f t="shared" si="903"/>
        <v>-</v>
      </c>
    </row>
    <row r="93" spans="1:124" ht="14.25" customHeight="1">
      <c r="A93" s="23"/>
      <c r="B93" s="87"/>
      <c r="C93" s="88"/>
      <c r="D93" s="89" t="s">
        <v>189</v>
      </c>
      <c r="E93" s="433" t="str">
        <f t="shared" ref="E93:BP93" si="904">IFERROR(E81/E87,"-")</f>
        <v>-</v>
      </c>
      <c r="F93" s="91" t="str">
        <f t="shared" si="904"/>
        <v>-</v>
      </c>
      <c r="G93" s="184" t="str">
        <f t="shared" si="904"/>
        <v>-</v>
      </c>
      <c r="H93" s="91" t="str">
        <f t="shared" si="904"/>
        <v>-</v>
      </c>
      <c r="I93" s="91" t="str">
        <f t="shared" si="904"/>
        <v>-</v>
      </c>
      <c r="J93" s="93" t="str">
        <f t="shared" si="904"/>
        <v>-</v>
      </c>
      <c r="K93" s="91" t="str">
        <f t="shared" si="904"/>
        <v>-</v>
      </c>
      <c r="L93" s="91" t="str">
        <f t="shared" si="904"/>
        <v>-</v>
      </c>
      <c r="M93" s="93" t="str">
        <f t="shared" si="904"/>
        <v>-</v>
      </c>
      <c r="N93" s="92" t="str">
        <f t="shared" si="904"/>
        <v>-</v>
      </c>
      <c r="O93" s="91" t="str">
        <f t="shared" si="904"/>
        <v>-</v>
      </c>
      <c r="P93" s="93" t="str">
        <f t="shared" si="904"/>
        <v>-</v>
      </c>
      <c r="Q93" s="92" t="str">
        <f t="shared" si="904"/>
        <v>-</v>
      </c>
      <c r="R93" s="91" t="str">
        <f t="shared" si="904"/>
        <v>-</v>
      </c>
      <c r="S93" s="93" t="str">
        <f t="shared" si="904"/>
        <v>-</v>
      </c>
      <c r="T93" s="92" t="str">
        <f t="shared" si="904"/>
        <v>-</v>
      </c>
      <c r="U93" s="91" t="str">
        <f t="shared" si="904"/>
        <v>-</v>
      </c>
      <c r="V93" s="93" t="str">
        <f t="shared" si="904"/>
        <v>-</v>
      </c>
      <c r="W93" s="92" t="str">
        <f t="shared" si="904"/>
        <v>-</v>
      </c>
      <c r="X93" s="91" t="str">
        <f t="shared" si="904"/>
        <v>-</v>
      </c>
      <c r="Y93" s="93" t="str">
        <f t="shared" si="904"/>
        <v>-</v>
      </c>
      <c r="Z93" s="92" t="str">
        <f t="shared" si="904"/>
        <v>-</v>
      </c>
      <c r="AA93" s="91" t="str">
        <f t="shared" si="904"/>
        <v>-</v>
      </c>
      <c r="AB93" s="93" t="str">
        <f t="shared" si="904"/>
        <v>-</v>
      </c>
      <c r="AC93" s="92" t="str">
        <f t="shared" si="904"/>
        <v>-</v>
      </c>
      <c r="AD93" s="91" t="str">
        <f t="shared" si="904"/>
        <v>-</v>
      </c>
      <c r="AE93" s="93" t="str">
        <f t="shared" si="904"/>
        <v>-</v>
      </c>
      <c r="AF93" s="92" t="str">
        <f t="shared" si="904"/>
        <v>-</v>
      </c>
      <c r="AG93" s="91" t="str">
        <f t="shared" si="904"/>
        <v>-</v>
      </c>
      <c r="AH93" s="93" t="str">
        <f t="shared" si="904"/>
        <v>-</v>
      </c>
      <c r="AI93" s="92" t="str">
        <f t="shared" si="904"/>
        <v>-</v>
      </c>
      <c r="AJ93" s="91" t="str">
        <f t="shared" si="904"/>
        <v>-</v>
      </c>
      <c r="AK93" s="93" t="str">
        <f t="shared" si="904"/>
        <v>-</v>
      </c>
      <c r="AL93" s="92" t="str">
        <f t="shared" si="904"/>
        <v>-</v>
      </c>
      <c r="AM93" s="91" t="str">
        <f t="shared" si="904"/>
        <v>-</v>
      </c>
      <c r="AN93" s="93" t="str">
        <f t="shared" si="904"/>
        <v>-</v>
      </c>
      <c r="AO93" s="92" t="str">
        <f t="shared" si="904"/>
        <v>-</v>
      </c>
      <c r="AP93" s="91" t="str">
        <f t="shared" si="904"/>
        <v>-</v>
      </c>
      <c r="AQ93" s="93" t="str">
        <f t="shared" si="904"/>
        <v>-</v>
      </c>
      <c r="AR93" s="433" t="str">
        <f t="shared" si="904"/>
        <v>-</v>
      </c>
      <c r="AS93" s="91" t="str">
        <f t="shared" si="904"/>
        <v>-</v>
      </c>
      <c r="AT93" s="184" t="str">
        <f t="shared" si="904"/>
        <v>-</v>
      </c>
      <c r="AU93" s="92" t="str">
        <f t="shared" si="904"/>
        <v>-</v>
      </c>
      <c r="AV93" s="91" t="str">
        <f t="shared" si="904"/>
        <v>-</v>
      </c>
      <c r="AW93" s="93" t="str">
        <f t="shared" si="904"/>
        <v>-</v>
      </c>
      <c r="AX93" s="92" t="str">
        <f t="shared" si="904"/>
        <v>-</v>
      </c>
      <c r="AY93" s="91" t="str">
        <f t="shared" si="904"/>
        <v>-</v>
      </c>
      <c r="AZ93" s="93" t="str">
        <f t="shared" si="904"/>
        <v>-</v>
      </c>
      <c r="BA93" s="92" t="str">
        <f t="shared" si="904"/>
        <v>-</v>
      </c>
      <c r="BB93" s="91" t="str">
        <f t="shared" si="904"/>
        <v>-</v>
      </c>
      <c r="BC93" s="93" t="str">
        <f t="shared" si="904"/>
        <v>-</v>
      </c>
      <c r="BD93" s="92" t="str">
        <f t="shared" si="904"/>
        <v>-</v>
      </c>
      <c r="BE93" s="91" t="str">
        <f t="shared" si="904"/>
        <v>-</v>
      </c>
      <c r="BF93" s="93" t="str">
        <f t="shared" si="904"/>
        <v>-</v>
      </c>
      <c r="BG93" s="92" t="str">
        <f t="shared" si="904"/>
        <v>-</v>
      </c>
      <c r="BH93" s="91" t="str">
        <f t="shared" si="904"/>
        <v>-</v>
      </c>
      <c r="BI93" s="93" t="str">
        <f t="shared" si="904"/>
        <v>-</v>
      </c>
      <c r="BJ93" s="92" t="str">
        <f t="shared" si="904"/>
        <v>-</v>
      </c>
      <c r="BK93" s="91" t="str">
        <f t="shared" si="904"/>
        <v>-</v>
      </c>
      <c r="BL93" s="93" t="str">
        <f t="shared" si="904"/>
        <v>-</v>
      </c>
      <c r="BM93" s="92" t="str">
        <f t="shared" si="904"/>
        <v>-</v>
      </c>
      <c r="BN93" s="91" t="str">
        <f t="shared" si="904"/>
        <v>-</v>
      </c>
      <c r="BO93" s="93" t="str">
        <f t="shared" si="904"/>
        <v>-</v>
      </c>
      <c r="BP93" s="92" t="str">
        <f t="shared" si="904"/>
        <v>-</v>
      </c>
      <c r="BQ93" s="91" t="str">
        <f t="shared" ref="BQ93:DT93" si="905">IFERROR(BQ81/BQ87,"-")</f>
        <v>-</v>
      </c>
      <c r="BR93" s="93" t="str">
        <f t="shared" si="905"/>
        <v>-</v>
      </c>
      <c r="BS93" s="92" t="str">
        <f t="shared" si="905"/>
        <v>-</v>
      </c>
      <c r="BT93" s="91" t="str">
        <f t="shared" si="905"/>
        <v>-</v>
      </c>
      <c r="BU93" s="93" t="str">
        <f t="shared" si="905"/>
        <v>-</v>
      </c>
      <c r="BV93" s="92" t="str">
        <f t="shared" si="905"/>
        <v>-</v>
      </c>
      <c r="BW93" s="91" t="str">
        <f t="shared" si="905"/>
        <v>-</v>
      </c>
      <c r="BX93" s="93" t="str">
        <f t="shared" si="905"/>
        <v>-</v>
      </c>
      <c r="BY93" s="92" t="str">
        <f t="shared" si="905"/>
        <v>-</v>
      </c>
      <c r="BZ93" s="91" t="str">
        <f t="shared" si="905"/>
        <v>-</v>
      </c>
      <c r="CA93" s="93" t="str">
        <f t="shared" si="905"/>
        <v>-</v>
      </c>
      <c r="CB93" s="92" t="str">
        <f t="shared" si="905"/>
        <v>-</v>
      </c>
      <c r="CC93" s="91" t="str">
        <f t="shared" si="905"/>
        <v>-</v>
      </c>
      <c r="CD93" s="93" t="str">
        <f t="shared" si="905"/>
        <v>-</v>
      </c>
      <c r="CE93" s="433" t="str">
        <f t="shared" si="905"/>
        <v>-</v>
      </c>
      <c r="CF93" s="91" t="str">
        <f t="shared" si="905"/>
        <v>-</v>
      </c>
      <c r="CG93" s="184" t="str">
        <f t="shared" si="905"/>
        <v>-</v>
      </c>
      <c r="CH93" s="91" t="str">
        <f t="shared" si="905"/>
        <v>-</v>
      </c>
      <c r="CI93" s="91" t="str">
        <f t="shared" si="905"/>
        <v>-</v>
      </c>
      <c r="CJ93" s="93" t="str">
        <f t="shared" si="905"/>
        <v>-</v>
      </c>
      <c r="CK93" s="90" t="str">
        <f t="shared" si="905"/>
        <v>-</v>
      </c>
      <c r="CL93" s="91" t="str">
        <f t="shared" si="905"/>
        <v>-</v>
      </c>
      <c r="CM93" s="93" t="str">
        <f t="shared" si="905"/>
        <v>-</v>
      </c>
      <c r="CN93" s="90" t="str">
        <f t="shared" si="905"/>
        <v>-</v>
      </c>
      <c r="CO93" s="91" t="str">
        <f t="shared" si="905"/>
        <v>-</v>
      </c>
      <c r="CP93" s="93" t="str">
        <f t="shared" si="905"/>
        <v>-</v>
      </c>
      <c r="CQ93" s="90" t="str">
        <f t="shared" si="905"/>
        <v>-</v>
      </c>
      <c r="CR93" s="91" t="str">
        <f t="shared" si="905"/>
        <v>-</v>
      </c>
      <c r="CS93" s="93" t="str">
        <f t="shared" si="905"/>
        <v>-</v>
      </c>
      <c r="CT93" s="90" t="str">
        <f t="shared" si="905"/>
        <v>-</v>
      </c>
      <c r="CU93" s="91" t="str">
        <f t="shared" si="905"/>
        <v>-</v>
      </c>
      <c r="CV93" s="93" t="str">
        <f t="shared" si="905"/>
        <v>-</v>
      </c>
      <c r="CW93" s="90" t="str">
        <f t="shared" si="905"/>
        <v>-</v>
      </c>
      <c r="CX93" s="91" t="str">
        <f t="shared" si="905"/>
        <v>-</v>
      </c>
      <c r="CY93" s="93" t="str">
        <f t="shared" si="905"/>
        <v>-</v>
      </c>
      <c r="CZ93" s="90" t="str">
        <f t="shared" si="905"/>
        <v>-</v>
      </c>
      <c r="DA93" s="91" t="str">
        <f t="shared" si="905"/>
        <v>-</v>
      </c>
      <c r="DB93" s="93" t="str">
        <f t="shared" si="905"/>
        <v>-</v>
      </c>
      <c r="DC93" s="90" t="str">
        <f t="shared" si="905"/>
        <v>-</v>
      </c>
      <c r="DD93" s="91" t="str">
        <f t="shared" si="905"/>
        <v>-</v>
      </c>
      <c r="DE93" s="93" t="str">
        <f t="shared" si="905"/>
        <v>-</v>
      </c>
      <c r="DF93" s="90" t="str">
        <f t="shared" si="905"/>
        <v>-</v>
      </c>
      <c r="DG93" s="91" t="str">
        <f t="shared" si="905"/>
        <v>-</v>
      </c>
      <c r="DH93" s="93" t="str">
        <f t="shared" si="905"/>
        <v>-</v>
      </c>
      <c r="DI93" s="90" t="str">
        <f t="shared" si="905"/>
        <v>-</v>
      </c>
      <c r="DJ93" s="91" t="str">
        <f t="shared" si="905"/>
        <v>-</v>
      </c>
      <c r="DK93" s="93" t="str">
        <f t="shared" si="905"/>
        <v>-</v>
      </c>
      <c r="DL93" s="90" t="str">
        <f t="shared" si="905"/>
        <v>-</v>
      </c>
      <c r="DM93" s="91" t="str">
        <f t="shared" si="905"/>
        <v>-</v>
      </c>
      <c r="DN93" s="93" t="str">
        <f t="shared" si="905"/>
        <v>-</v>
      </c>
      <c r="DO93" s="90" t="str">
        <f t="shared" si="905"/>
        <v>-</v>
      </c>
      <c r="DP93" s="91" t="str">
        <f t="shared" si="905"/>
        <v>-</v>
      </c>
      <c r="DQ93" s="93" t="str">
        <f t="shared" si="905"/>
        <v>-</v>
      </c>
      <c r="DR93" s="433" t="str">
        <f t="shared" si="905"/>
        <v>-</v>
      </c>
      <c r="DS93" s="91" t="str">
        <f t="shared" si="905"/>
        <v>-</v>
      </c>
      <c r="DT93" s="184" t="str">
        <f t="shared" si="905"/>
        <v>-</v>
      </c>
    </row>
    <row r="94" spans="1:124" ht="14.25" customHeight="1">
      <c r="A94" s="23"/>
      <c r="B94" s="87"/>
      <c r="C94" s="88"/>
      <c r="D94" s="89" t="s">
        <v>190</v>
      </c>
      <c r="E94" s="433" t="str">
        <f t="shared" ref="E94:BP94" si="906">IFERROR(E82/E88,"-")</f>
        <v>-</v>
      </c>
      <c r="F94" s="91" t="str">
        <f t="shared" si="906"/>
        <v>-</v>
      </c>
      <c r="G94" s="184" t="str">
        <f t="shared" si="906"/>
        <v>-</v>
      </c>
      <c r="H94" s="91" t="str">
        <f t="shared" si="906"/>
        <v>-</v>
      </c>
      <c r="I94" s="91" t="str">
        <f t="shared" si="906"/>
        <v>-</v>
      </c>
      <c r="J94" s="93" t="str">
        <f t="shared" si="906"/>
        <v>-</v>
      </c>
      <c r="K94" s="91" t="str">
        <f t="shared" si="906"/>
        <v>-</v>
      </c>
      <c r="L94" s="91" t="str">
        <f t="shared" si="906"/>
        <v>-</v>
      </c>
      <c r="M94" s="93" t="str">
        <f t="shared" si="906"/>
        <v>-</v>
      </c>
      <c r="N94" s="92" t="str">
        <f t="shared" si="906"/>
        <v>-</v>
      </c>
      <c r="O94" s="91" t="str">
        <f t="shared" si="906"/>
        <v>-</v>
      </c>
      <c r="P94" s="93" t="str">
        <f t="shared" si="906"/>
        <v>-</v>
      </c>
      <c r="Q94" s="92" t="str">
        <f t="shared" si="906"/>
        <v>-</v>
      </c>
      <c r="R94" s="91" t="str">
        <f t="shared" si="906"/>
        <v>-</v>
      </c>
      <c r="S94" s="93" t="str">
        <f t="shared" si="906"/>
        <v>-</v>
      </c>
      <c r="T94" s="92" t="str">
        <f t="shared" si="906"/>
        <v>-</v>
      </c>
      <c r="U94" s="91" t="str">
        <f t="shared" si="906"/>
        <v>-</v>
      </c>
      <c r="V94" s="93" t="str">
        <f t="shared" si="906"/>
        <v>-</v>
      </c>
      <c r="W94" s="92" t="str">
        <f t="shared" si="906"/>
        <v>-</v>
      </c>
      <c r="X94" s="91" t="str">
        <f t="shared" si="906"/>
        <v>-</v>
      </c>
      <c r="Y94" s="93" t="str">
        <f t="shared" si="906"/>
        <v>-</v>
      </c>
      <c r="Z94" s="92" t="str">
        <f t="shared" si="906"/>
        <v>-</v>
      </c>
      <c r="AA94" s="91" t="str">
        <f t="shared" si="906"/>
        <v>-</v>
      </c>
      <c r="AB94" s="93" t="str">
        <f t="shared" si="906"/>
        <v>-</v>
      </c>
      <c r="AC94" s="92" t="str">
        <f t="shared" si="906"/>
        <v>-</v>
      </c>
      <c r="AD94" s="91" t="str">
        <f t="shared" si="906"/>
        <v>-</v>
      </c>
      <c r="AE94" s="93" t="str">
        <f t="shared" si="906"/>
        <v>-</v>
      </c>
      <c r="AF94" s="92" t="str">
        <f t="shared" si="906"/>
        <v>-</v>
      </c>
      <c r="AG94" s="91" t="str">
        <f t="shared" si="906"/>
        <v>-</v>
      </c>
      <c r="AH94" s="93" t="str">
        <f t="shared" si="906"/>
        <v>-</v>
      </c>
      <c r="AI94" s="92" t="str">
        <f t="shared" si="906"/>
        <v>-</v>
      </c>
      <c r="AJ94" s="91" t="str">
        <f t="shared" si="906"/>
        <v>-</v>
      </c>
      <c r="AK94" s="93" t="str">
        <f t="shared" si="906"/>
        <v>-</v>
      </c>
      <c r="AL94" s="92" t="str">
        <f t="shared" si="906"/>
        <v>-</v>
      </c>
      <c r="AM94" s="91" t="str">
        <f t="shared" si="906"/>
        <v>-</v>
      </c>
      <c r="AN94" s="93" t="str">
        <f t="shared" si="906"/>
        <v>-</v>
      </c>
      <c r="AO94" s="92" t="str">
        <f t="shared" si="906"/>
        <v>-</v>
      </c>
      <c r="AP94" s="91" t="str">
        <f t="shared" si="906"/>
        <v>-</v>
      </c>
      <c r="AQ94" s="93" t="str">
        <f t="shared" si="906"/>
        <v>-</v>
      </c>
      <c r="AR94" s="433" t="str">
        <f t="shared" si="906"/>
        <v>-</v>
      </c>
      <c r="AS94" s="91" t="str">
        <f t="shared" si="906"/>
        <v>-</v>
      </c>
      <c r="AT94" s="184" t="str">
        <f t="shared" si="906"/>
        <v>-</v>
      </c>
      <c r="AU94" s="92" t="str">
        <f t="shared" si="906"/>
        <v>-</v>
      </c>
      <c r="AV94" s="91" t="str">
        <f t="shared" si="906"/>
        <v>-</v>
      </c>
      <c r="AW94" s="93" t="str">
        <f t="shared" si="906"/>
        <v>-</v>
      </c>
      <c r="AX94" s="92" t="str">
        <f t="shared" si="906"/>
        <v>-</v>
      </c>
      <c r="AY94" s="91" t="str">
        <f t="shared" si="906"/>
        <v>-</v>
      </c>
      <c r="AZ94" s="93" t="str">
        <f t="shared" si="906"/>
        <v>-</v>
      </c>
      <c r="BA94" s="92" t="str">
        <f t="shared" si="906"/>
        <v>-</v>
      </c>
      <c r="BB94" s="91" t="str">
        <f t="shared" si="906"/>
        <v>-</v>
      </c>
      <c r="BC94" s="93" t="str">
        <f t="shared" si="906"/>
        <v>-</v>
      </c>
      <c r="BD94" s="92" t="str">
        <f t="shared" si="906"/>
        <v>-</v>
      </c>
      <c r="BE94" s="91" t="str">
        <f t="shared" si="906"/>
        <v>-</v>
      </c>
      <c r="BF94" s="93" t="str">
        <f t="shared" si="906"/>
        <v>-</v>
      </c>
      <c r="BG94" s="92" t="str">
        <f t="shared" si="906"/>
        <v>-</v>
      </c>
      <c r="BH94" s="91" t="str">
        <f t="shared" si="906"/>
        <v>-</v>
      </c>
      <c r="BI94" s="93" t="str">
        <f t="shared" si="906"/>
        <v>-</v>
      </c>
      <c r="BJ94" s="92" t="str">
        <f t="shared" si="906"/>
        <v>-</v>
      </c>
      <c r="BK94" s="91" t="str">
        <f t="shared" si="906"/>
        <v>-</v>
      </c>
      <c r="BL94" s="93" t="str">
        <f t="shared" si="906"/>
        <v>-</v>
      </c>
      <c r="BM94" s="92" t="str">
        <f t="shared" si="906"/>
        <v>-</v>
      </c>
      <c r="BN94" s="91" t="str">
        <f t="shared" si="906"/>
        <v>-</v>
      </c>
      <c r="BO94" s="93" t="str">
        <f t="shared" si="906"/>
        <v>-</v>
      </c>
      <c r="BP94" s="92" t="str">
        <f t="shared" si="906"/>
        <v>-</v>
      </c>
      <c r="BQ94" s="91" t="str">
        <f t="shared" ref="BQ94:DT94" si="907">IFERROR(BQ82/BQ88,"-")</f>
        <v>-</v>
      </c>
      <c r="BR94" s="93" t="str">
        <f t="shared" si="907"/>
        <v>-</v>
      </c>
      <c r="BS94" s="92" t="str">
        <f t="shared" si="907"/>
        <v>-</v>
      </c>
      <c r="BT94" s="91" t="str">
        <f t="shared" si="907"/>
        <v>-</v>
      </c>
      <c r="BU94" s="93" t="str">
        <f t="shared" si="907"/>
        <v>-</v>
      </c>
      <c r="BV94" s="92" t="str">
        <f t="shared" si="907"/>
        <v>-</v>
      </c>
      <c r="BW94" s="91" t="str">
        <f t="shared" si="907"/>
        <v>-</v>
      </c>
      <c r="BX94" s="93" t="str">
        <f t="shared" si="907"/>
        <v>-</v>
      </c>
      <c r="BY94" s="92" t="str">
        <f t="shared" si="907"/>
        <v>-</v>
      </c>
      <c r="BZ94" s="91" t="str">
        <f t="shared" si="907"/>
        <v>-</v>
      </c>
      <c r="CA94" s="93" t="str">
        <f t="shared" si="907"/>
        <v>-</v>
      </c>
      <c r="CB94" s="92" t="str">
        <f t="shared" si="907"/>
        <v>-</v>
      </c>
      <c r="CC94" s="91" t="str">
        <f t="shared" si="907"/>
        <v>-</v>
      </c>
      <c r="CD94" s="93" t="str">
        <f t="shared" si="907"/>
        <v>-</v>
      </c>
      <c r="CE94" s="433" t="str">
        <f t="shared" si="907"/>
        <v>-</v>
      </c>
      <c r="CF94" s="91" t="str">
        <f t="shared" si="907"/>
        <v>-</v>
      </c>
      <c r="CG94" s="184" t="str">
        <f t="shared" si="907"/>
        <v>-</v>
      </c>
      <c r="CH94" s="91" t="str">
        <f t="shared" si="907"/>
        <v>-</v>
      </c>
      <c r="CI94" s="91" t="str">
        <f t="shared" si="907"/>
        <v>-</v>
      </c>
      <c r="CJ94" s="93" t="str">
        <f t="shared" si="907"/>
        <v>-</v>
      </c>
      <c r="CK94" s="90" t="str">
        <f t="shared" si="907"/>
        <v>-</v>
      </c>
      <c r="CL94" s="91" t="str">
        <f t="shared" si="907"/>
        <v>-</v>
      </c>
      <c r="CM94" s="93" t="str">
        <f t="shared" si="907"/>
        <v>-</v>
      </c>
      <c r="CN94" s="90" t="str">
        <f t="shared" si="907"/>
        <v>-</v>
      </c>
      <c r="CO94" s="91" t="str">
        <f t="shared" si="907"/>
        <v>-</v>
      </c>
      <c r="CP94" s="93" t="str">
        <f t="shared" si="907"/>
        <v>-</v>
      </c>
      <c r="CQ94" s="90" t="str">
        <f t="shared" si="907"/>
        <v>-</v>
      </c>
      <c r="CR94" s="91" t="str">
        <f t="shared" si="907"/>
        <v>-</v>
      </c>
      <c r="CS94" s="93" t="str">
        <f t="shared" si="907"/>
        <v>-</v>
      </c>
      <c r="CT94" s="90" t="str">
        <f t="shared" si="907"/>
        <v>-</v>
      </c>
      <c r="CU94" s="91" t="str">
        <f t="shared" si="907"/>
        <v>-</v>
      </c>
      <c r="CV94" s="93" t="str">
        <f t="shared" si="907"/>
        <v>-</v>
      </c>
      <c r="CW94" s="90" t="str">
        <f t="shared" si="907"/>
        <v>-</v>
      </c>
      <c r="CX94" s="91" t="str">
        <f t="shared" si="907"/>
        <v>-</v>
      </c>
      <c r="CY94" s="93" t="str">
        <f t="shared" si="907"/>
        <v>-</v>
      </c>
      <c r="CZ94" s="90" t="str">
        <f t="shared" si="907"/>
        <v>-</v>
      </c>
      <c r="DA94" s="91" t="str">
        <f t="shared" si="907"/>
        <v>-</v>
      </c>
      <c r="DB94" s="93" t="str">
        <f t="shared" si="907"/>
        <v>-</v>
      </c>
      <c r="DC94" s="90" t="str">
        <f t="shared" si="907"/>
        <v>-</v>
      </c>
      <c r="DD94" s="91" t="str">
        <f t="shared" si="907"/>
        <v>-</v>
      </c>
      <c r="DE94" s="93" t="str">
        <f t="shared" si="907"/>
        <v>-</v>
      </c>
      <c r="DF94" s="90" t="str">
        <f t="shared" si="907"/>
        <v>-</v>
      </c>
      <c r="DG94" s="91" t="str">
        <f t="shared" si="907"/>
        <v>-</v>
      </c>
      <c r="DH94" s="93" t="str">
        <f t="shared" si="907"/>
        <v>-</v>
      </c>
      <c r="DI94" s="90" t="str">
        <f t="shared" si="907"/>
        <v>-</v>
      </c>
      <c r="DJ94" s="91" t="str">
        <f t="shared" si="907"/>
        <v>-</v>
      </c>
      <c r="DK94" s="93" t="str">
        <f t="shared" si="907"/>
        <v>-</v>
      </c>
      <c r="DL94" s="90" t="str">
        <f t="shared" si="907"/>
        <v>-</v>
      </c>
      <c r="DM94" s="91" t="str">
        <f t="shared" si="907"/>
        <v>-</v>
      </c>
      <c r="DN94" s="93" t="str">
        <f t="shared" si="907"/>
        <v>-</v>
      </c>
      <c r="DO94" s="90" t="str">
        <f t="shared" si="907"/>
        <v>-</v>
      </c>
      <c r="DP94" s="91" t="str">
        <f t="shared" si="907"/>
        <v>-</v>
      </c>
      <c r="DQ94" s="93" t="str">
        <f t="shared" si="907"/>
        <v>-</v>
      </c>
      <c r="DR94" s="433" t="str">
        <f t="shared" si="907"/>
        <v>-</v>
      </c>
      <c r="DS94" s="91" t="str">
        <f t="shared" si="907"/>
        <v>-</v>
      </c>
      <c r="DT94" s="184" t="str">
        <f t="shared" si="907"/>
        <v>-</v>
      </c>
    </row>
    <row r="95" spans="1:124" ht="14.25" customHeight="1">
      <c r="A95" s="23"/>
      <c r="B95" s="87"/>
      <c r="C95" s="88"/>
      <c r="D95" s="89" t="s">
        <v>191</v>
      </c>
      <c r="E95" s="433" t="str">
        <f t="shared" ref="E95:BP95" si="908">IFERROR(E83/E89,"-")</f>
        <v>-</v>
      </c>
      <c r="F95" s="91" t="str">
        <f t="shared" si="908"/>
        <v>-</v>
      </c>
      <c r="G95" s="184" t="str">
        <f t="shared" si="908"/>
        <v>-</v>
      </c>
      <c r="H95" s="91" t="str">
        <f t="shared" si="908"/>
        <v>-</v>
      </c>
      <c r="I95" s="91" t="str">
        <f t="shared" si="908"/>
        <v>-</v>
      </c>
      <c r="J95" s="93" t="str">
        <f t="shared" si="908"/>
        <v>-</v>
      </c>
      <c r="K95" s="91" t="str">
        <f t="shared" si="908"/>
        <v>-</v>
      </c>
      <c r="L95" s="91" t="str">
        <f t="shared" si="908"/>
        <v>-</v>
      </c>
      <c r="M95" s="93" t="str">
        <f t="shared" si="908"/>
        <v>-</v>
      </c>
      <c r="N95" s="92" t="str">
        <f t="shared" si="908"/>
        <v>-</v>
      </c>
      <c r="O95" s="91" t="str">
        <f t="shared" si="908"/>
        <v>-</v>
      </c>
      <c r="P95" s="93" t="str">
        <f t="shared" si="908"/>
        <v>-</v>
      </c>
      <c r="Q95" s="92" t="str">
        <f t="shared" si="908"/>
        <v>-</v>
      </c>
      <c r="R95" s="91" t="str">
        <f t="shared" si="908"/>
        <v>-</v>
      </c>
      <c r="S95" s="93" t="str">
        <f t="shared" si="908"/>
        <v>-</v>
      </c>
      <c r="T95" s="92" t="str">
        <f t="shared" si="908"/>
        <v>-</v>
      </c>
      <c r="U95" s="91" t="str">
        <f t="shared" si="908"/>
        <v>-</v>
      </c>
      <c r="V95" s="93" t="str">
        <f t="shared" si="908"/>
        <v>-</v>
      </c>
      <c r="W95" s="92" t="str">
        <f t="shared" si="908"/>
        <v>-</v>
      </c>
      <c r="X95" s="91" t="str">
        <f t="shared" si="908"/>
        <v>-</v>
      </c>
      <c r="Y95" s="93" t="str">
        <f t="shared" si="908"/>
        <v>-</v>
      </c>
      <c r="Z95" s="92" t="str">
        <f t="shared" si="908"/>
        <v>-</v>
      </c>
      <c r="AA95" s="91" t="str">
        <f t="shared" si="908"/>
        <v>-</v>
      </c>
      <c r="AB95" s="93" t="str">
        <f t="shared" si="908"/>
        <v>-</v>
      </c>
      <c r="AC95" s="92" t="str">
        <f t="shared" si="908"/>
        <v>-</v>
      </c>
      <c r="AD95" s="91" t="str">
        <f t="shared" si="908"/>
        <v>-</v>
      </c>
      <c r="AE95" s="93" t="str">
        <f t="shared" si="908"/>
        <v>-</v>
      </c>
      <c r="AF95" s="92" t="str">
        <f t="shared" si="908"/>
        <v>-</v>
      </c>
      <c r="AG95" s="91" t="str">
        <f t="shared" si="908"/>
        <v>-</v>
      </c>
      <c r="AH95" s="93" t="str">
        <f t="shared" si="908"/>
        <v>-</v>
      </c>
      <c r="AI95" s="92" t="str">
        <f t="shared" si="908"/>
        <v>-</v>
      </c>
      <c r="AJ95" s="91" t="str">
        <f t="shared" si="908"/>
        <v>-</v>
      </c>
      <c r="AK95" s="93" t="str">
        <f t="shared" si="908"/>
        <v>-</v>
      </c>
      <c r="AL95" s="92" t="str">
        <f t="shared" si="908"/>
        <v>-</v>
      </c>
      <c r="AM95" s="91" t="str">
        <f t="shared" si="908"/>
        <v>-</v>
      </c>
      <c r="AN95" s="93" t="str">
        <f t="shared" si="908"/>
        <v>-</v>
      </c>
      <c r="AO95" s="92" t="str">
        <f t="shared" si="908"/>
        <v>-</v>
      </c>
      <c r="AP95" s="91" t="str">
        <f t="shared" si="908"/>
        <v>-</v>
      </c>
      <c r="AQ95" s="93" t="str">
        <f t="shared" si="908"/>
        <v>-</v>
      </c>
      <c r="AR95" s="433" t="str">
        <f t="shared" si="908"/>
        <v>-</v>
      </c>
      <c r="AS95" s="91" t="str">
        <f t="shared" si="908"/>
        <v>-</v>
      </c>
      <c r="AT95" s="184" t="str">
        <f t="shared" si="908"/>
        <v>-</v>
      </c>
      <c r="AU95" s="92" t="str">
        <f t="shared" si="908"/>
        <v>-</v>
      </c>
      <c r="AV95" s="91" t="str">
        <f t="shared" si="908"/>
        <v>-</v>
      </c>
      <c r="AW95" s="93" t="str">
        <f t="shared" si="908"/>
        <v>-</v>
      </c>
      <c r="AX95" s="92" t="str">
        <f t="shared" si="908"/>
        <v>-</v>
      </c>
      <c r="AY95" s="91" t="str">
        <f t="shared" si="908"/>
        <v>-</v>
      </c>
      <c r="AZ95" s="93" t="str">
        <f t="shared" si="908"/>
        <v>-</v>
      </c>
      <c r="BA95" s="92" t="str">
        <f t="shared" si="908"/>
        <v>-</v>
      </c>
      <c r="BB95" s="91" t="str">
        <f t="shared" si="908"/>
        <v>-</v>
      </c>
      <c r="BC95" s="93" t="str">
        <f t="shared" si="908"/>
        <v>-</v>
      </c>
      <c r="BD95" s="92" t="str">
        <f t="shared" si="908"/>
        <v>-</v>
      </c>
      <c r="BE95" s="91" t="str">
        <f t="shared" si="908"/>
        <v>-</v>
      </c>
      <c r="BF95" s="93" t="str">
        <f t="shared" si="908"/>
        <v>-</v>
      </c>
      <c r="BG95" s="92" t="str">
        <f t="shared" si="908"/>
        <v>-</v>
      </c>
      <c r="BH95" s="91" t="str">
        <f t="shared" si="908"/>
        <v>-</v>
      </c>
      <c r="BI95" s="93" t="str">
        <f t="shared" si="908"/>
        <v>-</v>
      </c>
      <c r="BJ95" s="92" t="str">
        <f t="shared" si="908"/>
        <v>-</v>
      </c>
      <c r="BK95" s="91" t="str">
        <f t="shared" si="908"/>
        <v>-</v>
      </c>
      <c r="BL95" s="93" t="str">
        <f t="shared" si="908"/>
        <v>-</v>
      </c>
      <c r="BM95" s="92" t="str">
        <f t="shared" si="908"/>
        <v>-</v>
      </c>
      <c r="BN95" s="91" t="str">
        <f t="shared" si="908"/>
        <v>-</v>
      </c>
      <c r="BO95" s="93" t="str">
        <f t="shared" si="908"/>
        <v>-</v>
      </c>
      <c r="BP95" s="92" t="str">
        <f t="shared" si="908"/>
        <v>-</v>
      </c>
      <c r="BQ95" s="91" t="str">
        <f t="shared" ref="BQ95:DT95" si="909">IFERROR(BQ83/BQ89,"-")</f>
        <v>-</v>
      </c>
      <c r="BR95" s="93" t="str">
        <f t="shared" si="909"/>
        <v>-</v>
      </c>
      <c r="BS95" s="92" t="str">
        <f t="shared" si="909"/>
        <v>-</v>
      </c>
      <c r="BT95" s="91" t="str">
        <f t="shared" si="909"/>
        <v>-</v>
      </c>
      <c r="BU95" s="93" t="str">
        <f t="shared" si="909"/>
        <v>-</v>
      </c>
      <c r="BV95" s="92" t="str">
        <f t="shared" si="909"/>
        <v>-</v>
      </c>
      <c r="BW95" s="91" t="str">
        <f t="shared" si="909"/>
        <v>-</v>
      </c>
      <c r="BX95" s="93" t="str">
        <f t="shared" si="909"/>
        <v>-</v>
      </c>
      <c r="BY95" s="92" t="str">
        <f t="shared" si="909"/>
        <v>-</v>
      </c>
      <c r="BZ95" s="91" t="str">
        <f t="shared" si="909"/>
        <v>-</v>
      </c>
      <c r="CA95" s="93" t="str">
        <f t="shared" si="909"/>
        <v>-</v>
      </c>
      <c r="CB95" s="92" t="str">
        <f t="shared" si="909"/>
        <v>-</v>
      </c>
      <c r="CC95" s="91" t="str">
        <f t="shared" si="909"/>
        <v>-</v>
      </c>
      <c r="CD95" s="93" t="str">
        <f t="shared" si="909"/>
        <v>-</v>
      </c>
      <c r="CE95" s="433" t="str">
        <f t="shared" si="909"/>
        <v>-</v>
      </c>
      <c r="CF95" s="91" t="str">
        <f t="shared" si="909"/>
        <v>-</v>
      </c>
      <c r="CG95" s="184" t="str">
        <f t="shared" si="909"/>
        <v>-</v>
      </c>
      <c r="CH95" s="91" t="str">
        <f t="shared" si="909"/>
        <v>-</v>
      </c>
      <c r="CI95" s="91" t="str">
        <f t="shared" si="909"/>
        <v>-</v>
      </c>
      <c r="CJ95" s="93" t="str">
        <f t="shared" si="909"/>
        <v>-</v>
      </c>
      <c r="CK95" s="90" t="str">
        <f t="shared" si="909"/>
        <v>-</v>
      </c>
      <c r="CL95" s="91" t="str">
        <f t="shared" si="909"/>
        <v>-</v>
      </c>
      <c r="CM95" s="93" t="str">
        <f t="shared" si="909"/>
        <v>-</v>
      </c>
      <c r="CN95" s="90" t="str">
        <f t="shared" si="909"/>
        <v>-</v>
      </c>
      <c r="CO95" s="91" t="str">
        <f t="shared" si="909"/>
        <v>-</v>
      </c>
      <c r="CP95" s="93" t="str">
        <f t="shared" si="909"/>
        <v>-</v>
      </c>
      <c r="CQ95" s="90" t="str">
        <f t="shared" si="909"/>
        <v>-</v>
      </c>
      <c r="CR95" s="91" t="str">
        <f t="shared" si="909"/>
        <v>-</v>
      </c>
      <c r="CS95" s="93" t="str">
        <f t="shared" si="909"/>
        <v>-</v>
      </c>
      <c r="CT95" s="90" t="str">
        <f t="shared" si="909"/>
        <v>-</v>
      </c>
      <c r="CU95" s="91" t="str">
        <f t="shared" si="909"/>
        <v>-</v>
      </c>
      <c r="CV95" s="93" t="str">
        <f t="shared" si="909"/>
        <v>-</v>
      </c>
      <c r="CW95" s="90" t="str">
        <f t="shared" si="909"/>
        <v>-</v>
      </c>
      <c r="CX95" s="91" t="str">
        <f t="shared" si="909"/>
        <v>-</v>
      </c>
      <c r="CY95" s="93" t="str">
        <f t="shared" si="909"/>
        <v>-</v>
      </c>
      <c r="CZ95" s="90" t="str">
        <f t="shared" si="909"/>
        <v>-</v>
      </c>
      <c r="DA95" s="91" t="str">
        <f t="shared" si="909"/>
        <v>-</v>
      </c>
      <c r="DB95" s="93" t="str">
        <f t="shared" si="909"/>
        <v>-</v>
      </c>
      <c r="DC95" s="90" t="str">
        <f t="shared" si="909"/>
        <v>-</v>
      </c>
      <c r="DD95" s="91" t="str">
        <f t="shared" si="909"/>
        <v>-</v>
      </c>
      <c r="DE95" s="93" t="str">
        <f t="shared" si="909"/>
        <v>-</v>
      </c>
      <c r="DF95" s="90" t="str">
        <f t="shared" si="909"/>
        <v>-</v>
      </c>
      <c r="DG95" s="91" t="str">
        <f t="shared" si="909"/>
        <v>-</v>
      </c>
      <c r="DH95" s="93" t="str">
        <f t="shared" si="909"/>
        <v>-</v>
      </c>
      <c r="DI95" s="90" t="str">
        <f t="shared" si="909"/>
        <v>-</v>
      </c>
      <c r="DJ95" s="91" t="str">
        <f t="shared" si="909"/>
        <v>-</v>
      </c>
      <c r="DK95" s="93" t="str">
        <f t="shared" si="909"/>
        <v>-</v>
      </c>
      <c r="DL95" s="90" t="str">
        <f t="shared" si="909"/>
        <v>-</v>
      </c>
      <c r="DM95" s="91" t="str">
        <f t="shared" si="909"/>
        <v>-</v>
      </c>
      <c r="DN95" s="93" t="str">
        <f t="shared" si="909"/>
        <v>-</v>
      </c>
      <c r="DO95" s="90" t="str">
        <f t="shared" si="909"/>
        <v>-</v>
      </c>
      <c r="DP95" s="91" t="str">
        <f t="shared" si="909"/>
        <v>-</v>
      </c>
      <c r="DQ95" s="93" t="str">
        <f t="shared" si="909"/>
        <v>-</v>
      </c>
      <c r="DR95" s="433" t="str">
        <f t="shared" si="909"/>
        <v>-</v>
      </c>
      <c r="DS95" s="91" t="str">
        <f t="shared" si="909"/>
        <v>-</v>
      </c>
      <c r="DT95" s="184" t="str">
        <f t="shared" si="909"/>
        <v>-</v>
      </c>
    </row>
    <row r="96" spans="1:124" ht="14.25" customHeight="1">
      <c r="A96" s="23"/>
      <c r="B96" s="87"/>
      <c r="C96" s="88"/>
      <c r="D96" s="89"/>
      <c r="E96" s="433"/>
      <c r="F96" s="91"/>
      <c r="G96" s="184"/>
      <c r="H96" s="91"/>
      <c r="I96" s="91"/>
      <c r="J96" s="93"/>
      <c r="K96" s="91"/>
      <c r="L96" s="91"/>
      <c r="M96" s="93"/>
      <c r="N96" s="91"/>
      <c r="O96" s="91"/>
      <c r="P96" s="93"/>
      <c r="Q96" s="91"/>
      <c r="R96" s="91"/>
      <c r="S96" s="93"/>
      <c r="T96" s="91"/>
      <c r="U96" s="91"/>
      <c r="V96" s="93"/>
      <c r="W96" s="91"/>
      <c r="X96" s="91"/>
      <c r="Y96" s="93"/>
      <c r="Z96" s="91"/>
      <c r="AA96" s="91"/>
      <c r="AB96" s="93"/>
      <c r="AC96" s="91"/>
      <c r="AD96" s="91"/>
      <c r="AE96" s="93"/>
      <c r="AF96" s="91"/>
      <c r="AG96" s="91"/>
      <c r="AH96" s="93"/>
      <c r="AI96" s="91"/>
      <c r="AJ96" s="91"/>
      <c r="AK96" s="93"/>
      <c r="AL96" s="91"/>
      <c r="AM96" s="91"/>
      <c r="AN96" s="93"/>
      <c r="AO96" s="91"/>
      <c r="AP96" s="91"/>
      <c r="AQ96" s="93"/>
      <c r="AR96" s="433"/>
      <c r="AS96" s="91"/>
      <c r="AT96" s="184"/>
      <c r="AU96" s="91"/>
      <c r="AV96" s="91"/>
      <c r="AW96" s="93"/>
      <c r="AX96" s="91"/>
      <c r="AY96" s="91"/>
      <c r="AZ96" s="93"/>
      <c r="BA96" s="91"/>
      <c r="BB96" s="91"/>
      <c r="BC96" s="93"/>
      <c r="BD96" s="91"/>
      <c r="BE96" s="91"/>
      <c r="BF96" s="93"/>
      <c r="BG96" s="91"/>
      <c r="BH96" s="91"/>
      <c r="BI96" s="93"/>
      <c r="BJ96" s="91"/>
      <c r="BK96" s="91"/>
      <c r="BL96" s="93"/>
      <c r="BM96" s="91"/>
      <c r="BN96" s="91"/>
      <c r="BO96" s="93"/>
      <c r="BP96" s="91"/>
      <c r="BQ96" s="91"/>
      <c r="BR96" s="93"/>
      <c r="BS96" s="91"/>
      <c r="BT96" s="91"/>
      <c r="BU96" s="93"/>
      <c r="BV96" s="91"/>
      <c r="BW96" s="91"/>
      <c r="BX96" s="93"/>
      <c r="BY96" s="91"/>
      <c r="BZ96" s="91"/>
      <c r="CA96" s="93"/>
      <c r="CB96" s="91"/>
      <c r="CC96" s="91"/>
      <c r="CD96" s="93"/>
      <c r="CE96" s="433"/>
      <c r="CF96" s="91"/>
      <c r="CG96" s="184"/>
      <c r="CH96" s="91"/>
      <c r="CI96" s="91"/>
      <c r="CJ96" s="93"/>
      <c r="CK96" s="90"/>
      <c r="CL96" s="91"/>
      <c r="CM96" s="93"/>
      <c r="CN96" s="90"/>
      <c r="CO96" s="91"/>
      <c r="CP96" s="93"/>
      <c r="CQ96" s="90"/>
      <c r="CR96" s="91"/>
      <c r="CS96" s="93"/>
      <c r="CT96" s="90"/>
      <c r="CU96" s="91"/>
      <c r="CV96" s="93"/>
      <c r="CW96" s="90"/>
      <c r="CX96" s="91"/>
      <c r="CY96" s="93"/>
      <c r="CZ96" s="90"/>
      <c r="DA96" s="91"/>
      <c r="DB96" s="93"/>
      <c r="DC96" s="90"/>
      <c r="DD96" s="91"/>
      <c r="DE96" s="93"/>
      <c r="DF96" s="90"/>
      <c r="DG96" s="91"/>
      <c r="DH96" s="93"/>
      <c r="DI96" s="90"/>
      <c r="DJ96" s="91"/>
      <c r="DK96" s="93"/>
      <c r="DL96" s="90"/>
      <c r="DM96" s="91"/>
      <c r="DN96" s="93"/>
      <c r="DO96" s="90"/>
      <c r="DP96" s="91"/>
      <c r="DQ96" s="93"/>
      <c r="DR96" s="433"/>
      <c r="DS96" s="91"/>
      <c r="DT96" s="184"/>
    </row>
    <row r="97" spans="1:124" ht="14.25" customHeight="1">
      <c r="A97" s="23"/>
      <c r="B97" s="100" t="s">
        <v>187</v>
      </c>
      <c r="C97" s="101" t="s">
        <v>2</v>
      </c>
      <c r="D97" s="102" t="s">
        <v>82</v>
      </c>
      <c r="E97" s="435">
        <f t="shared" ref="E97:AJ97" si="910">SUM(E98:E99)</f>
        <v>0</v>
      </c>
      <c r="F97" s="107">
        <f t="shared" si="910"/>
        <v>0</v>
      </c>
      <c r="G97" s="183">
        <f t="shared" si="910"/>
        <v>0</v>
      </c>
      <c r="H97" s="107">
        <f t="shared" si="910"/>
        <v>0</v>
      </c>
      <c r="I97" s="107">
        <f t="shared" si="910"/>
        <v>0</v>
      </c>
      <c r="J97" s="547">
        <f t="shared" si="910"/>
        <v>0</v>
      </c>
      <c r="K97" s="107">
        <f t="shared" si="910"/>
        <v>0</v>
      </c>
      <c r="L97" s="107">
        <f t="shared" si="910"/>
        <v>0</v>
      </c>
      <c r="M97" s="547">
        <f t="shared" si="910"/>
        <v>0</v>
      </c>
      <c r="N97" s="106">
        <f t="shared" si="910"/>
        <v>0</v>
      </c>
      <c r="O97" s="107">
        <f t="shared" si="910"/>
        <v>0</v>
      </c>
      <c r="P97" s="547">
        <f t="shared" si="910"/>
        <v>0</v>
      </c>
      <c r="Q97" s="106">
        <f t="shared" si="910"/>
        <v>0</v>
      </c>
      <c r="R97" s="107">
        <f t="shared" si="910"/>
        <v>0</v>
      </c>
      <c r="S97" s="547">
        <f t="shared" si="910"/>
        <v>0</v>
      </c>
      <c r="T97" s="106">
        <f t="shared" si="910"/>
        <v>0</v>
      </c>
      <c r="U97" s="107">
        <f t="shared" si="910"/>
        <v>0</v>
      </c>
      <c r="V97" s="547">
        <f t="shared" si="910"/>
        <v>0</v>
      </c>
      <c r="W97" s="106">
        <f t="shared" si="910"/>
        <v>0</v>
      </c>
      <c r="X97" s="107">
        <f t="shared" si="910"/>
        <v>0</v>
      </c>
      <c r="Y97" s="547">
        <f t="shared" si="910"/>
        <v>0</v>
      </c>
      <c r="Z97" s="106">
        <f t="shared" si="910"/>
        <v>0</v>
      </c>
      <c r="AA97" s="107">
        <f t="shared" si="910"/>
        <v>0</v>
      </c>
      <c r="AB97" s="547">
        <f t="shared" si="910"/>
        <v>0</v>
      </c>
      <c r="AC97" s="106">
        <f t="shared" si="910"/>
        <v>0</v>
      </c>
      <c r="AD97" s="107">
        <f t="shared" si="910"/>
        <v>0</v>
      </c>
      <c r="AE97" s="547">
        <f t="shared" si="910"/>
        <v>0</v>
      </c>
      <c r="AF97" s="106">
        <f t="shared" si="910"/>
        <v>0</v>
      </c>
      <c r="AG97" s="107">
        <f t="shared" si="910"/>
        <v>0</v>
      </c>
      <c r="AH97" s="547">
        <f t="shared" si="910"/>
        <v>0</v>
      </c>
      <c r="AI97" s="106">
        <f t="shared" si="910"/>
        <v>0</v>
      </c>
      <c r="AJ97" s="107">
        <f t="shared" si="910"/>
        <v>0</v>
      </c>
      <c r="AK97" s="547">
        <f t="shared" ref="AK97:BP97" si="911">SUM(AK98:AK99)</f>
        <v>0</v>
      </c>
      <c r="AL97" s="106">
        <f t="shared" si="911"/>
        <v>0</v>
      </c>
      <c r="AM97" s="107">
        <f t="shared" si="911"/>
        <v>0</v>
      </c>
      <c r="AN97" s="547">
        <f t="shared" si="911"/>
        <v>0</v>
      </c>
      <c r="AO97" s="106">
        <f t="shared" si="911"/>
        <v>0</v>
      </c>
      <c r="AP97" s="107">
        <f t="shared" si="911"/>
        <v>0</v>
      </c>
      <c r="AQ97" s="547">
        <f t="shared" si="911"/>
        <v>0</v>
      </c>
      <c r="AR97" s="435">
        <f t="shared" si="911"/>
        <v>0</v>
      </c>
      <c r="AS97" s="107">
        <f t="shared" si="911"/>
        <v>0</v>
      </c>
      <c r="AT97" s="183">
        <f t="shared" si="911"/>
        <v>0</v>
      </c>
      <c r="AU97" s="106">
        <f t="shared" si="911"/>
        <v>0</v>
      </c>
      <c r="AV97" s="107">
        <f t="shared" si="911"/>
        <v>5287657</v>
      </c>
      <c r="AW97" s="547">
        <f t="shared" si="911"/>
        <v>5287657</v>
      </c>
      <c r="AX97" s="106">
        <f t="shared" si="911"/>
        <v>0</v>
      </c>
      <c r="AY97" s="107">
        <f t="shared" si="911"/>
        <v>5037658</v>
      </c>
      <c r="AZ97" s="547">
        <f t="shared" si="911"/>
        <v>5037658</v>
      </c>
      <c r="BA97" s="106">
        <f t="shared" si="911"/>
        <v>0</v>
      </c>
      <c r="BB97" s="107">
        <f t="shared" si="911"/>
        <v>2607873</v>
      </c>
      <c r="BC97" s="547">
        <f t="shared" si="911"/>
        <v>2607873</v>
      </c>
      <c r="BD97" s="106">
        <f t="shared" si="911"/>
        <v>0</v>
      </c>
      <c r="BE97" s="107">
        <f t="shared" si="911"/>
        <v>1510469</v>
      </c>
      <c r="BF97" s="547">
        <f t="shared" si="911"/>
        <v>1510469</v>
      </c>
      <c r="BG97" s="106">
        <f t="shared" si="911"/>
        <v>0</v>
      </c>
      <c r="BH97" s="107">
        <f t="shared" si="911"/>
        <v>2154105</v>
      </c>
      <c r="BI97" s="547">
        <f t="shared" si="911"/>
        <v>2154105</v>
      </c>
      <c r="BJ97" s="106">
        <f t="shared" si="911"/>
        <v>0</v>
      </c>
      <c r="BK97" s="107">
        <f t="shared" si="911"/>
        <v>3444535</v>
      </c>
      <c r="BL97" s="547">
        <f t="shared" si="911"/>
        <v>3444535</v>
      </c>
      <c r="BM97" s="106">
        <f t="shared" si="911"/>
        <v>0</v>
      </c>
      <c r="BN97" s="107">
        <f t="shared" si="911"/>
        <v>3740379</v>
      </c>
      <c r="BO97" s="547">
        <f t="shared" si="911"/>
        <v>3740379</v>
      </c>
      <c r="BP97" s="106">
        <f t="shared" si="911"/>
        <v>0</v>
      </c>
      <c r="BQ97" s="107">
        <f t="shared" ref="BQ97:CV97" si="912">SUM(BQ98:BQ99)</f>
        <v>4838284</v>
      </c>
      <c r="BR97" s="547">
        <f t="shared" si="912"/>
        <v>4838284</v>
      </c>
      <c r="BS97" s="106">
        <f t="shared" si="912"/>
        <v>0</v>
      </c>
      <c r="BT97" s="107">
        <f t="shared" si="912"/>
        <v>6285078</v>
      </c>
      <c r="BU97" s="547">
        <f t="shared" si="912"/>
        <v>6285078</v>
      </c>
      <c r="BV97" s="106">
        <f t="shared" si="912"/>
        <v>0</v>
      </c>
      <c r="BW97" s="107">
        <f t="shared" si="912"/>
        <v>7838504.8899999997</v>
      </c>
      <c r="BX97" s="547">
        <f t="shared" si="912"/>
        <v>7838504.8899999997</v>
      </c>
      <c r="BY97" s="106">
        <f t="shared" si="912"/>
        <v>0</v>
      </c>
      <c r="BZ97" s="107">
        <f t="shared" si="912"/>
        <v>9805688.75</v>
      </c>
      <c r="CA97" s="547">
        <f t="shared" si="912"/>
        <v>9805688.75</v>
      </c>
      <c r="CB97" s="106">
        <f t="shared" si="912"/>
        <v>0</v>
      </c>
      <c r="CC97" s="107">
        <f t="shared" si="912"/>
        <v>13726408.450000001</v>
      </c>
      <c r="CD97" s="547">
        <f t="shared" si="912"/>
        <v>13726408.450000001</v>
      </c>
      <c r="CE97" s="435">
        <f t="shared" si="912"/>
        <v>0</v>
      </c>
      <c r="CF97" s="107">
        <f t="shared" si="912"/>
        <v>66276640.090000004</v>
      </c>
      <c r="CG97" s="183">
        <f t="shared" si="912"/>
        <v>66276640.090000004</v>
      </c>
      <c r="CH97" s="107">
        <f t="shared" si="912"/>
        <v>0</v>
      </c>
      <c r="CI97" s="107">
        <f t="shared" si="912"/>
        <v>8875375.1699999999</v>
      </c>
      <c r="CJ97" s="547">
        <f t="shared" si="912"/>
        <v>8875375.1699999999</v>
      </c>
      <c r="CK97" s="106">
        <f t="shared" si="912"/>
        <v>0</v>
      </c>
      <c r="CL97" s="107">
        <f t="shared" si="912"/>
        <v>0</v>
      </c>
      <c r="CM97" s="547">
        <f t="shared" si="912"/>
        <v>0</v>
      </c>
      <c r="CN97" s="106">
        <f t="shared" si="912"/>
        <v>0</v>
      </c>
      <c r="CO97" s="107">
        <f t="shared" si="912"/>
        <v>0</v>
      </c>
      <c r="CP97" s="547">
        <f t="shared" si="912"/>
        <v>0</v>
      </c>
      <c r="CQ97" s="106">
        <f t="shared" si="912"/>
        <v>0</v>
      </c>
      <c r="CR97" s="107">
        <f t="shared" si="912"/>
        <v>0</v>
      </c>
      <c r="CS97" s="547">
        <f t="shared" si="912"/>
        <v>0</v>
      </c>
      <c r="CT97" s="106">
        <f t="shared" si="912"/>
        <v>0</v>
      </c>
      <c r="CU97" s="107">
        <f t="shared" si="912"/>
        <v>0</v>
      </c>
      <c r="CV97" s="547">
        <f t="shared" si="912"/>
        <v>0</v>
      </c>
      <c r="CW97" s="106">
        <f t="shared" ref="CW97:DT97" si="913">SUM(CW98:CW99)</f>
        <v>0</v>
      </c>
      <c r="CX97" s="107">
        <f t="shared" si="913"/>
        <v>0</v>
      </c>
      <c r="CY97" s="547">
        <f t="shared" si="913"/>
        <v>0</v>
      </c>
      <c r="CZ97" s="106">
        <f t="shared" si="913"/>
        <v>0</v>
      </c>
      <c r="DA97" s="107">
        <f t="shared" si="913"/>
        <v>0</v>
      </c>
      <c r="DB97" s="547">
        <f t="shared" si="913"/>
        <v>0</v>
      </c>
      <c r="DC97" s="106">
        <f t="shared" si="913"/>
        <v>0</v>
      </c>
      <c r="DD97" s="107">
        <f t="shared" si="913"/>
        <v>0</v>
      </c>
      <c r="DE97" s="547">
        <f t="shared" si="913"/>
        <v>0</v>
      </c>
      <c r="DF97" s="106">
        <f t="shared" si="913"/>
        <v>0</v>
      </c>
      <c r="DG97" s="107">
        <f t="shared" si="913"/>
        <v>0</v>
      </c>
      <c r="DH97" s="547">
        <f t="shared" si="913"/>
        <v>0</v>
      </c>
      <c r="DI97" s="106">
        <f t="shared" si="913"/>
        <v>0</v>
      </c>
      <c r="DJ97" s="107">
        <f t="shared" si="913"/>
        <v>0</v>
      </c>
      <c r="DK97" s="547">
        <f t="shared" si="913"/>
        <v>0</v>
      </c>
      <c r="DL97" s="106">
        <f t="shared" si="913"/>
        <v>0</v>
      </c>
      <c r="DM97" s="107">
        <f t="shared" si="913"/>
        <v>0</v>
      </c>
      <c r="DN97" s="547">
        <f t="shared" si="913"/>
        <v>0</v>
      </c>
      <c r="DO97" s="106">
        <f t="shared" si="913"/>
        <v>0</v>
      </c>
      <c r="DP97" s="107">
        <f t="shared" si="913"/>
        <v>0</v>
      </c>
      <c r="DQ97" s="547">
        <f t="shared" si="913"/>
        <v>0</v>
      </c>
      <c r="DR97" s="435">
        <f t="shared" si="913"/>
        <v>0</v>
      </c>
      <c r="DS97" s="107">
        <f t="shared" si="913"/>
        <v>8875375.1699999999</v>
      </c>
      <c r="DT97" s="183">
        <f t="shared" si="913"/>
        <v>8875375.1699999999</v>
      </c>
    </row>
    <row r="98" spans="1:124" ht="14.25" customHeight="1">
      <c r="A98" s="23"/>
      <c r="B98" s="87"/>
      <c r="C98" s="88"/>
      <c r="D98" s="108" t="s">
        <v>68</v>
      </c>
      <c r="E98" s="433"/>
      <c r="F98" s="91"/>
      <c r="G98" s="184">
        <f>SUM(E98:F98)</f>
        <v>0</v>
      </c>
      <c r="H98" s="433"/>
      <c r="I98" s="91"/>
      <c r="J98" s="184">
        <f t="shared" ref="J98:J99" si="914">SUM(H98:I98)</f>
        <v>0</v>
      </c>
      <c r="K98" s="433"/>
      <c r="L98" s="91"/>
      <c r="M98" s="184">
        <f t="shared" ref="M98:M99" si="915">SUM(K98:L98)</f>
        <v>0</v>
      </c>
      <c r="N98" s="433"/>
      <c r="O98" s="91"/>
      <c r="P98" s="184">
        <f t="shared" ref="P98:P99" si="916">SUM(N98:O98)</f>
        <v>0</v>
      </c>
      <c r="Q98" s="433"/>
      <c r="R98" s="91"/>
      <c r="S98" s="184">
        <f t="shared" ref="S98:S99" si="917">SUM(Q98:R98)</f>
        <v>0</v>
      </c>
      <c r="T98" s="433"/>
      <c r="U98" s="91"/>
      <c r="V98" s="184">
        <f t="shared" ref="V98:V99" si="918">SUM(T98:U98)</f>
        <v>0</v>
      </c>
      <c r="W98" s="433"/>
      <c r="X98" s="91"/>
      <c r="Y98" s="184">
        <f t="shared" ref="Y98:Y99" si="919">SUM(W98:X98)</f>
        <v>0</v>
      </c>
      <c r="Z98" s="433"/>
      <c r="AA98" s="91"/>
      <c r="AB98" s="184">
        <f t="shared" ref="AB98:AB99" si="920">SUM(Z98:AA98)</f>
        <v>0</v>
      </c>
      <c r="AC98" s="433"/>
      <c r="AD98" s="91"/>
      <c r="AE98" s="184">
        <f t="shared" ref="AE98:AE99" si="921">SUM(AC98:AD98)</f>
        <v>0</v>
      </c>
      <c r="AF98" s="433"/>
      <c r="AG98" s="91"/>
      <c r="AH98" s="184">
        <f t="shared" ref="AH98:AH99" si="922">SUM(AF98:AG98)</f>
        <v>0</v>
      </c>
      <c r="AI98" s="433"/>
      <c r="AJ98" s="91"/>
      <c r="AK98" s="184">
        <f t="shared" ref="AK98:AK99" si="923">SUM(AI98:AJ98)</f>
        <v>0</v>
      </c>
      <c r="AL98" s="433"/>
      <c r="AM98" s="91"/>
      <c r="AN98" s="184">
        <f t="shared" ref="AN98:AN99" si="924">SUM(AL98:AM98)</f>
        <v>0</v>
      </c>
      <c r="AO98" s="433"/>
      <c r="AP98" s="91"/>
      <c r="AQ98" s="184">
        <f t="shared" ref="AQ98:AQ99" si="925">SUM(AO98:AP98)</f>
        <v>0</v>
      </c>
      <c r="AR98" s="433">
        <f t="shared" ref="AR98:AS99" si="926">AO98+AL98+AI98+AF98+AC98+Z98+W98+T98+Q98+N98+K98+H98</f>
        <v>0</v>
      </c>
      <c r="AS98" s="91">
        <f t="shared" si="926"/>
        <v>0</v>
      </c>
      <c r="AT98" s="184">
        <f>SUM(AR98:AS98)</f>
        <v>0</v>
      </c>
      <c r="AU98" s="92">
        <v>0</v>
      </c>
      <c r="AV98" s="91">
        <v>621932</v>
      </c>
      <c r="AW98" s="93">
        <f>SUM(AU98:AV98)</f>
        <v>621932</v>
      </c>
      <c r="AX98" s="92">
        <v>0</v>
      </c>
      <c r="AY98" s="91">
        <v>1022723</v>
      </c>
      <c r="AZ98" s="93">
        <f>SUM(AX98:AY98)</f>
        <v>1022723</v>
      </c>
      <c r="BA98" s="92">
        <v>0</v>
      </c>
      <c r="BB98" s="91">
        <v>240708</v>
      </c>
      <c r="BC98" s="93">
        <f>SUM(BA98:BB98)</f>
        <v>240708</v>
      </c>
      <c r="BD98" s="92">
        <v>0</v>
      </c>
      <c r="BE98" s="91">
        <v>220447</v>
      </c>
      <c r="BF98" s="93">
        <f>SUM(BD98:BE98)</f>
        <v>220447</v>
      </c>
      <c r="BG98" s="92">
        <v>0</v>
      </c>
      <c r="BH98" s="91">
        <v>259202</v>
      </c>
      <c r="BI98" s="93">
        <f>SUM(BG98:BH98)</f>
        <v>259202</v>
      </c>
      <c r="BJ98" s="92">
        <v>0</v>
      </c>
      <c r="BK98" s="91">
        <v>288149</v>
      </c>
      <c r="BL98" s="93">
        <f>SUM(BJ98:BK98)</f>
        <v>288149</v>
      </c>
      <c r="BM98" s="92">
        <v>0</v>
      </c>
      <c r="BN98" s="91">
        <v>599123</v>
      </c>
      <c r="BO98" s="93">
        <f>SUM(BM98:BN98)</f>
        <v>599123</v>
      </c>
      <c r="BP98" s="92">
        <v>0</v>
      </c>
      <c r="BQ98" s="91">
        <v>1585981</v>
      </c>
      <c r="BR98" s="93">
        <f>SUM(BP98:BQ98)</f>
        <v>1585981</v>
      </c>
      <c r="BS98" s="92">
        <v>0</v>
      </c>
      <c r="BT98" s="91">
        <v>1876215</v>
      </c>
      <c r="BU98" s="93">
        <f>SUM(BS98:BT98)</f>
        <v>1876215</v>
      </c>
      <c r="BV98" s="92">
        <v>0</v>
      </c>
      <c r="BW98" s="91">
        <v>825975</v>
      </c>
      <c r="BX98" s="93">
        <f>SUM(BV98:BW98)</f>
        <v>825975</v>
      </c>
      <c r="BY98" s="92">
        <v>0</v>
      </c>
      <c r="BZ98" s="91">
        <v>1990766.88</v>
      </c>
      <c r="CA98" s="93">
        <f>SUM(BY98:BZ98)</f>
        <v>1990766.88</v>
      </c>
      <c r="CB98" s="92">
        <v>0</v>
      </c>
      <c r="CC98" s="91">
        <v>2348330.73</v>
      </c>
      <c r="CD98" s="93">
        <f>SUM(CB98:CC98)</f>
        <v>2348330.73</v>
      </c>
      <c r="CE98" s="433">
        <f t="shared" ref="CE98:CF99" si="927">CB98+BY98+BV98+BS98+BP98+BM98+BJ98+BG98+BD98+BA98+AX98+AU98</f>
        <v>0</v>
      </c>
      <c r="CF98" s="91">
        <f t="shared" si="927"/>
        <v>11879552.609999999</v>
      </c>
      <c r="CG98" s="184">
        <f>SUM(CE98:CF98)</f>
        <v>11879552.609999999</v>
      </c>
      <c r="CH98" s="91"/>
      <c r="CI98" s="91">
        <v>1594057</v>
      </c>
      <c r="CJ98" s="93">
        <f>SUM(CH98:CI98)</f>
        <v>1594057</v>
      </c>
      <c r="CK98" s="433"/>
      <c r="CL98" s="91"/>
      <c r="CM98" s="184">
        <f t="shared" ref="CM98:CM99" si="928">SUM(CK98:CL98)</f>
        <v>0</v>
      </c>
      <c r="CN98" s="433"/>
      <c r="CO98" s="91"/>
      <c r="CP98" s="184">
        <f t="shared" ref="CP98:CP99" si="929">SUM(CN98:CO98)</f>
        <v>0</v>
      </c>
      <c r="CQ98" s="433"/>
      <c r="CR98" s="91"/>
      <c r="CS98" s="184">
        <f t="shared" ref="CS98:CS99" si="930">SUM(CQ98:CR98)</f>
        <v>0</v>
      </c>
      <c r="CT98" s="433"/>
      <c r="CU98" s="91"/>
      <c r="CV98" s="184">
        <f t="shared" ref="CV98:CV99" si="931">SUM(CT98:CU98)</f>
        <v>0</v>
      </c>
      <c r="CW98" s="433"/>
      <c r="CX98" s="91"/>
      <c r="CY98" s="184">
        <f t="shared" ref="CY98:CY99" si="932">SUM(CW98:CX98)</f>
        <v>0</v>
      </c>
      <c r="CZ98" s="433"/>
      <c r="DA98" s="91"/>
      <c r="DB98" s="184">
        <f t="shared" ref="DB98:DB99" si="933">SUM(CZ98:DA98)</f>
        <v>0</v>
      </c>
      <c r="DC98" s="433"/>
      <c r="DD98" s="91"/>
      <c r="DE98" s="184">
        <f t="shared" ref="DE98:DE99" si="934">SUM(DC98:DD98)</f>
        <v>0</v>
      </c>
      <c r="DF98" s="433"/>
      <c r="DG98" s="91"/>
      <c r="DH98" s="184">
        <f t="shared" ref="DH98:DH99" si="935">SUM(DF98:DG98)</f>
        <v>0</v>
      </c>
      <c r="DI98" s="433"/>
      <c r="DJ98" s="91"/>
      <c r="DK98" s="184">
        <f t="shared" ref="DK98:DK99" si="936">SUM(DI98:DJ98)</f>
        <v>0</v>
      </c>
      <c r="DL98" s="433"/>
      <c r="DM98" s="91"/>
      <c r="DN98" s="184">
        <f t="shared" ref="DN98:DN99" si="937">SUM(DL98:DM98)</f>
        <v>0</v>
      </c>
      <c r="DO98" s="433"/>
      <c r="DP98" s="91"/>
      <c r="DQ98" s="184">
        <f t="shared" ref="DQ98:DQ99" si="938">SUM(DO98:DP98)</f>
        <v>0</v>
      </c>
      <c r="DR98" s="433">
        <f t="shared" ref="DR98:DS99" si="939">DO98+DL98+DI98+DF98+DC98+CZ98+CW98+CT98+CQ98+CN98+CK98+CH98</f>
        <v>0</v>
      </c>
      <c r="DS98" s="91">
        <f t="shared" si="939"/>
        <v>1594057</v>
      </c>
      <c r="DT98" s="184">
        <f>SUM(DR98:DS98)</f>
        <v>1594057</v>
      </c>
    </row>
    <row r="99" spans="1:124" ht="14.25" customHeight="1">
      <c r="A99" s="23"/>
      <c r="B99" s="87"/>
      <c r="C99" s="88"/>
      <c r="D99" s="108" t="s">
        <v>67</v>
      </c>
      <c r="E99" s="433"/>
      <c r="F99" s="91"/>
      <c r="G99" s="184">
        <f>SUM(E99:F99)</f>
        <v>0</v>
      </c>
      <c r="H99" s="433"/>
      <c r="I99" s="91"/>
      <c r="J99" s="184">
        <f t="shared" si="914"/>
        <v>0</v>
      </c>
      <c r="K99" s="433"/>
      <c r="L99" s="91"/>
      <c r="M99" s="184">
        <f t="shared" si="915"/>
        <v>0</v>
      </c>
      <c r="N99" s="433"/>
      <c r="O99" s="91"/>
      <c r="P99" s="184">
        <f t="shared" si="916"/>
        <v>0</v>
      </c>
      <c r="Q99" s="433"/>
      <c r="R99" s="91"/>
      <c r="S99" s="184">
        <f t="shared" si="917"/>
        <v>0</v>
      </c>
      <c r="T99" s="433"/>
      <c r="U99" s="91"/>
      <c r="V99" s="184">
        <f t="shared" si="918"/>
        <v>0</v>
      </c>
      <c r="W99" s="433"/>
      <c r="X99" s="91"/>
      <c r="Y99" s="184">
        <f t="shared" si="919"/>
        <v>0</v>
      </c>
      <c r="Z99" s="433"/>
      <c r="AA99" s="91"/>
      <c r="AB99" s="184">
        <f t="shared" si="920"/>
        <v>0</v>
      </c>
      <c r="AC99" s="433"/>
      <c r="AD99" s="91"/>
      <c r="AE99" s="184">
        <f t="shared" si="921"/>
        <v>0</v>
      </c>
      <c r="AF99" s="433"/>
      <c r="AG99" s="91"/>
      <c r="AH99" s="184">
        <f t="shared" si="922"/>
        <v>0</v>
      </c>
      <c r="AI99" s="433"/>
      <c r="AJ99" s="91"/>
      <c r="AK99" s="184">
        <f t="shared" si="923"/>
        <v>0</v>
      </c>
      <c r="AL99" s="433"/>
      <c r="AM99" s="91"/>
      <c r="AN99" s="184">
        <f t="shared" si="924"/>
        <v>0</v>
      </c>
      <c r="AO99" s="433"/>
      <c r="AP99" s="91"/>
      <c r="AQ99" s="184">
        <f t="shared" si="925"/>
        <v>0</v>
      </c>
      <c r="AR99" s="433">
        <f t="shared" si="926"/>
        <v>0</v>
      </c>
      <c r="AS99" s="91">
        <f t="shared" si="926"/>
        <v>0</v>
      </c>
      <c r="AT99" s="184">
        <f>SUM(AR99:AS99)</f>
        <v>0</v>
      </c>
      <c r="AU99" s="92">
        <v>0</v>
      </c>
      <c r="AV99" s="91">
        <v>4665725</v>
      </c>
      <c r="AW99" s="93">
        <f>SUM(AU99:AV99)</f>
        <v>4665725</v>
      </c>
      <c r="AX99" s="92">
        <v>0</v>
      </c>
      <c r="AY99" s="91">
        <v>4014935</v>
      </c>
      <c r="AZ99" s="93">
        <f>SUM(AX99:AY99)</f>
        <v>4014935</v>
      </c>
      <c r="BA99" s="92">
        <v>0</v>
      </c>
      <c r="BB99" s="91">
        <v>2367165</v>
      </c>
      <c r="BC99" s="93">
        <f>SUM(BA99:BB99)</f>
        <v>2367165</v>
      </c>
      <c r="BD99" s="92">
        <v>0</v>
      </c>
      <c r="BE99" s="91">
        <v>1290022</v>
      </c>
      <c r="BF99" s="93">
        <f>SUM(BD99:BE99)</f>
        <v>1290022</v>
      </c>
      <c r="BG99" s="92">
        <v>0</v>
      </c>
      <c r="BH99" s="91">
        <v>1894903</v>
      </c>
      <c r="BI99" s="93">
        <f>SUM(BG99:BH99)</f>
        <v>1894903</v>
      </c>
      <c r="BJ99" s="92">
        <v>0</v>
      </c>
      <c r="BK99" s="91">
        <v>3156386</v>
      </c>
      <c r="BL99" s="93">
        <f>SUM(BJ99:BK99)</f>
        <v>3156386</v>
      </c>
      <c r="BM99" s="92">
        <v>0</v>
      </c>
      <c r="BN99" s="91">
        <v>3141256</v>
      </c>
      <c r="BO99" s="93">
        <f>SUM(BM99:BN99)</f>
        <v>3141256</v>
      </c>
      <c r="BP99" s="92">
        <v>0</v>
      </c>
      <c r="BQ99" s="91">
        <v>3252303</v>
      </c>
      <c r="BR99" s="93">
        <f>SUM(BP99:BQ99)</f>
        <v>3252303</v>
      </c>
      <c r="BS99" s="92">
        <v>0</v>
      </c>
      <c r="BT99" s="91">
        <v>4408863</v>
      </c>
      <c r="BU99" s="93">
        <f>SUM(BS99:BT99)</f>
        <v>4408863</v>
      </c>
      <c r="BV99" s="92">
        <v>0</v>
      </c>
      <c r="BW99" s="91">
        <v>7012529.8899999997</v>
      </c>
      <c r="BX99" s="93">
        <f>SUM(BV99:BW99)</f>
        <v>7012529.8899999997</v>
      </c>
      <c r="BY99" s="92">
        <v>0</v>
      </c>
      <c r="BZ99" s="91">
        <v>7814921.8700000001</v>
      </c>
      <c r="CA99" s="93">
        <f>SUM(BY99:BZ99)</f>
        <v>7814921.8700000001</v>
      </c>
      <c r="CB99" s="92">
        <v>0</v>
      </c>
      <c r="CC99" s="91">
        <v>11378077.720000001</v>
      </c>
      <c r="CD99" s="93">
        <f>SUM(CB99:CC99)</f>
        <v>11378077.720000001</v>
      </c>
      <c r="CE99" s="433">
        <f t="shared" si="927"/>
        <v>0</v>
      </c>
      <c r="CF99" s="91">
        <f t="shared" si="927"/>
        <v>54397087.480000004</v>
      </c>
      <c r="CG99" s="184">
        <f>SUM(CE99:CF99)</f>
        <v>54397087.480000004</v>
      </c>
      <c r="CH99" s="91"/>
      <c r="CI99" s="91">
        <v>7281318.1699999999</v>
      </c>
      <c r="CJ99" s="93">
        <f>SUM(CH99:CI99)</f>
        <v>7281318.1699999999</v>
      </c>
      <c r="CK99" s="433"/>
      <c r="CL99" s="91"/>
      <c r="CM99" s="184">
        <f t="shared" si="928"/>
        <v>0</v>
      </c>
      <c r="CN99" s="433"/>
      <c r="CO99" s="91"/>
      <c r="CP99" s="184">
        <f t="shared" si="929"/>
        <v>0</v>
      </c>
      <c r="CQ99" s="433"/>
      <c r="CR99" s="91"/>
      <c r="CS99" s="184">
        <f t="shared" si="930"/>
        <v>0</v>
      </c>
      <c r="CT99" s="433"/>
      <c r="CU99" s="91"/>
      <c r="CV99" s="184">
        <f t="shared" si="931"/>
        <v>0</v>
      </c>
      <c r="CW99" s="433"/>
      <c r="CX99" s="91"/>
      <c r="CY99" s="184">
        <f t="shared" si="932"/>
        <v>0</v>
      </c>
      <c r="CZ99" s="433"/>
      <c r="DA99" s="91"/>
      <c r="DB99" s="184">
        <f t="shared" si="933"/>
        <v>0</v>
      </c>
      <c r="DC99" s="433"/>
      <c r="DD99" s="91"/>
      <c r="DE99" s="184">
        <f t="shared" si="934"/>
        <v>0</v>
      </c>
      <c r="DF99" s="433"/>
      <c r="DG99" s="91"/>
      <c r="DH99" s="184">
        <f t="shared" si="935"/>
        <v>0</v>
      </c>
      <c r="DI99" s="433"/>
      <c r="DJ99" s="91"/>
      <c r="DK99" s="184">
        <f t="shared" si="936"/>
        <v>0</v>
      </c>
      <c r="DL99" s="433"/>
      <c r="DM99" s="91"/>
      <c r="DN99" s="184">
        <f t="shared" si="937"/>
        <v>0</v>
      </c>
      <c r="DO99" s="433"/>
      <c r="DP99" s="91"/>
      <c r="DQ99" s="184">
        <f t="shared" si="938"/>
        <v>0</v>
      </c>
      <c r="DR99" s="433">
        <f t="shared" si="939"/>
        <v>0</v>
      </c>
      <c r="DS99" s="91">
        <f t="shared" si="939"/>
        <v>7281318.1699999999</v>
      </c>
      <c r="DT99" s="184">
        <f>SUM(DR99:DS99)</f>
        <v>7281318.1699999999</v>
      </c>
    </row>
    <row r="100" spans="1:124" ht="14.25" customHeight="1">
      <c r="A100" s="23"/>
      <c r="B100" s="87"/>
      <c r="C100" s="88"/>
      <c r="D100" s="89"/>
      <c r="E100" s="433"/>
      <c r="F100" s="91"/>
      <c r="G100" s="184"/>
      <c r="H100" s="91"/>
      <c r="I100" s="91"/>
      <c r="J100" s="93"/>
      <c r="K100" s="91"/>
      <c r="L100" s="91"/>
      <c r="M100" s="93"/>
      <c r="N100" s="92"/>
      <c r="O100" s="91"/>
      <c r="P100" s="93"/>
      <c r="Q100" s="92"/>
      <c r="R100" s="91"/>
      <c r="S100" s="93"/>
      <c r="T100" s="92"/>
      <c r="U100" s="91"/>
      <c r="V100" s="93"/>
      <c r="W100" s="92"/>
      <c r="X100" s="91"/>
      <c r="Y100" s="93"/>
      <c r="Z100" s="92"/>
      <c r="AA100" s="91"/>
      <c r="AB100" s="93"/>
      <c r="AC100" s="92"/>
      <c r="AD100" s="91"/>
      <c r="AE100" s="93"/>
      <c r="AF100" s="92"/>
      <c r="AG100" s="91"/>
      <c r="AH100" s="93"/>
      <c r="AI100" s="92"/>
      <c r="AJ100" s="91"/>
      <c r="AK100" s="93"/>
      <c r="AL100" s="92"/>
      <c r="AM100" s="91"/>
      <c r="AN100" s="93"/>
      <c r="AO100" s="92"/>
      <c r="AP100" s="91"/>
      <c r="AQ100" s="93"/>
      <c r="AR100" s="433"/>
      <c r="AS100" s="91"/>
      <c r="AT100" s="184"/>
      <c r="AU100" s="92"/>
      <c r="AV100" s="91"/>
      <c r="AW100" s="93"/>
      <c r="AX100" s="92"/>
      <c r="AY100" s="91"/>
      <c r="AZ100" s="93"/>
      <c r="BA100" s="92"/>
      <c r="BB100" s="91"/>
      <c r="BC100" s="93"/>
      <c r="BD100" s="92"/>
      <c r="BE100" s="91"/>
      <c r="BF100" s="93"/>
      <c r="BG100" s="92"/>
      <c r="BH100" s="91"/>
      <c r="BI100" s="93"/>
      <c r="BJ100" s="92"/>
      <c r="BK100" s="91"/>
      <c r="BL100" s="93"/>
      <c r="BM100" s="92"/>
      <c r="BN100" s="91"/>
      <c r="BO100" s="93"/>
      <c r="BP100" s="92"/>
      <c r="BQ100" s="91"/>
      <c r="BR100" s="93"/>
      <c r="BS100" s="92"/>
      <c r="BT100" s="91"/>
      <c r="BU100" s="93"/>
      <c r="BV100" s="92"/>
      <c r="BW100" s="91"/>
      <c r="BX100" s="93"/>
      <c r="BY100" s="92"/>
      <c r="BZ100" s="91"/>
      <c r="CA100" s="93"/>
      <c r="CB100" s="92"/>
      <c r="CC100" s="91"/>
      <c r="CD100" s="93"/>
      <c r="CE100" s="433"/>
      <c r="CF100" s="91"/>
      <c r="CG100" s="184"/>
      <c r="CH100" s="91"/>
      <c r="CI100" s="91"/>
      <c r="CJ100" s="93"/>
      <c r="CK100" s="90"/>
      <c r="CL100" s="91"/>
      <c r="CM100" s="93"/>
      <c r="CN100" s="90"/>
      <c r="CO100" s="91"/>
      <c r="CP100" s="93"/>
      <c r="CQ100" s="90"/>
      <c r="CR100" s="91"/>
      <c r="CS100" s="93"/>
      <c r="CT100" s="90"/>
      <c r="CU100" s="91"/>
      <c r="CV100" s="93"/>
      <c r="CW100" s="90"/>
      <c r="CX100" s="91"/>
      <c r="CY100" s="93"/>
      <c r="CZ100" s="90"/>
      <c r="DA100" s="91"/>
      <c r="DB100" s="93"/>
      <c r="DC100" s="90"/>
      <c r="DD100" s="91"/>
      <c r="DE100" s="93"/>
      <c r="DF100" s="90"/>
      <c r="DG100" s="91"/>
      <c r="DH100" s="93"/>
      <c r="DI100" s="90"/>
      <c r="DJ100" s="91"/>
      <c r="DK100" s="93"/>
      <c r="DL100" s="90"/>
      <c r="DM100" s="91"/>
      <c r="DN100" s="93"/>
      <c r="DO100" s="90"/>
      <c r="DP100" s="91"/>
      <c r="DQ100" s="93"/>
      <c r="DR100" s="433"/>
      <c r="DS100" s="91"/>
      <c r="DT100" s="184"/>
    </row>
    <row r="101" spans="1:124" ht="14.25" customHeight="1">
      <c r="A101" s="23"/>
      <c r="B101" s="100"/>
      <c r="C101" s="101" t="s">
        <v>3</v>
      </c>
      <c r="D101" s="102" t="s">
        <v>83</v>
      </c>
      <c r="E101" s="435">
        <f t="shared" ref="E101:AJ101" si="940">SUM(E102:E103)</f>
        <v>0</v>
      </c>
      <c r="F101" s="107">
        <f t="shared" si="940"/>
        <v>0</v>
      </c>
      <c r="G101" s="183">
        <f t="shared" si="940"/>
        <v>0</v>
      </c>
      <c r="H101" s="107">
        <f t="shared" si="940"/>
        <v>0</v>
      </c>
      <c r="I101" s="107">
        <f t="shared" si="940"/>
        <v>0</v>
      </c>
      <c r="J101" s="547">
        <f t="shared" si="940"/>
        <v>0</v>
      </c>
      <c r="K101" s="107">
        <f t="shared" si="940"/>
        <v>0</v>
      </c>
      <c r="L101" s="107">
        <f t="shared" si="940"/>
        <v>0</v>
      </c>
      <c r="M101" s="547">
        <f t="shared" si="940"/>
        <v>0</v>
      </c>
      <c r="N101" s="106">
        <f t="shared" si="940"/>
        <v>0</v>
      </c>
      <c r="O101" s="107">
        <f t="shared" si="940"/>
        <v>0</v>
      </c>
      <c r="P101" s="547">
        <f t="shared" si="940"/>
        <v>0</v>
      </c>
      <c r="Q101" s="106">
        <f t="shared" si="940"/>
        <v>0</v>
      </c>
      <c r="R101" s="107">
        <f t="shared" si="940"/>
        <v>0</v>
      </c>
      <c r="S101" s="547">
        <f t="shared" si="940"/>
        <v>0</v>
      </c>
      <c r="T101" s="106">
        <f t="shared" si="940"/>
        <v>0</v>
      </c>
      <c r="U101" s="107">
        <f t="shared" si="940"/>
        <v>0</v>
      </c>
      <c r="V101" s="547">
        <f t="shared" si="940"/>
        <v>0</v>
      </c>
      <c r="W101" s="106">
        <f t="shared" si="940"/>
        <v>0</v>
      </c>
      <c r="X101" s="107">
        <f t="shared" si="940"/>
        <v>0</v>
      </c>
      <c r="Y101" s="547">
        <f t="shared" si="940"/>
        <v>0</v>
      </c>
      <c r="Z101" s="106">
        <f t="shared" si="940"/>
        <v>0</v>
      </c>
      <c r="AA101" s="107">
        <f t="shared" si="940"/>
        <v>0</v>
      </c>
      <c r="AB101" s="547">
        <f t="shared" si="940"/>
        <v>0</v>
      </c>
      <c r="AC101" s="106">
        <f t="shared" si="940"/>
        <v>0</v>
      </c>
      <c r="AD101" s="107">
        <f t="shared" si="940"/>
        <v>0</v>
      </c>
      <c r="AE101" s="547">
        <f t="shared" si="940"/>
        <v>0</v>
      </c>
      <c r="AF101" s="106">
        <f t="shared" si="940"/>
        <v>0</v>
      </c>
      <c r="AG101" s="107">
        <f t="shared" si="940"/>
        <v>0</v>
      </c>
      <c r="AH101" s="547">
        <f t="shared" si="940"/>
        <v>0</v>
      </c>
      <c r="AI101" s="106">
        <f t="shared" si="940"/>
        <v>0</v>
      </c>
      <c r="AJ101" s="107">
        <f t="shared" si="940"/>
        <v>0</v>
      </c>
      <c r="AK101" s="547">
        <f t="shared" ref="AK101:BP101" si="941">SUM(AK102:AK103)</f>
        <v>0</v>
      </c>
      <c r="AL101" s="106">
        <f t="shared" si="941"/>
        <v>0</v>
      </c>
      <c r="AM101" s="107">
        <f t="shared" si="941"/>
        <v>0</v>
      </c>
      <c r="AN101" s="547">
        <f t="shared" si="941"/>
        <v>0</v>
      </c>
      <c r="AO101" s="106">
        <f t="shared" si="941"/>
        <v>0</v>
      </c>
      <c r="AP101" s="107">
        <f t="shared" si="941"/>
        <v>0</v>
      </c>
      <c r="AQ101" s="547">
        <f t="shared" si="941"/>
        <v>0</v>
      </c>
      <c r="AR101" s="435">
        <f t="shared" si="941"/>
        <v>0</v>
      </c>
      <c r="AS101" s="107">
        <f t="shared" si="941"/>
        <v>0</v>
      </c>
      <c r="AT101" s="183">
        <f t="shared" si="941"/>
        <v>0</v>
      </c>
      <c r="AU101" s="106">
        <f t="shared" si="941"/>
        <v>0</v>
      </c>
      <c r="AV101" s="107">
        <f t="shared" si="941"/>
        <v>0</v>
      </c>
      <c r="AW101" s="547">
        <f t="shared" si="941"/>
        <v>0</v>
      </c>
      <c r="AX101" s="106">
        <f t="shared" si="941"/>
        <v>0</v>
      </c>
      <c r="AY101" s="107">
        <f t="shared" si="941"/>
        <v>0</v>
      </c>
      <c r="AZ101" s="547">
        <f t="shared" si="941"/>
        <v>0</v>
      </c>
      <c r="BA101" s="106">
        <f t="shared" si="941"/>
        <v>0</v>
      </c>
      <c r="BB101" s="107">
        <f t="shared" si="941"/>
        <v>0</v>
      </c>
      <c r="BC101" s="547">
        <f t="shared" si="941"/>
        <v>0</v>
      </c>
      <c r="BD101" s="106">
        <f t="shared" si="941"/>
        <v>0</v>
      </c>
      <c r="BE101" s="107">
        <f t="shared" si="941"/>
        <v>0</v>
      </c>
      <c r="BF101" s="547">
        <f t="shared" si="941"/>
        <v>0</v>
      </c>
      <c r="BG101" s="106">
        <f t="shared" si="941"/>
        <v>0</v>
      </c>
      <c r="BH101" s="107">
        <f t="shared" si="941"/>
        <v>0</v>
      </c>
      <c r="BI101" s="547">
        <f t="shared" si="941"/>
        <v>0</v>
      </c>
      <c r="BJ101" s="106">
        <f t="shared" si="941"/>
        <v>0</v>
      </c>
      <c r="BK101" s="107">
        <f t="shared" si="941"/>
        <v>0</v>
      </c>
      <c r="BL101" s="547">
        <f t="shared" si="941"/>
        <v>0</v>
      </c>
      <c r="BM101" s="106">
        <f t="shared" si="941"/>
        <v>0</v>
      </c>
      <c r="BN101" s="107">
        <f t="shared" si="941"/>
        <v>0</v>
      </c>
      <c r="BO101" s="547">
        <f t="shared" si="941"/>
        <v>0</v>
      </c>
      <c r="BP101" s="106">
        <f t="shared" si="941"/>
        <v>0</v>
      </c>
      <c r="BQ101" s="107">
        <f t="shared" ref="BQ101:CV101" si="942">SUM(BQ102:BQ103)</f>
        <v>0</v>
      </c>
      <c r="BR101" s="547">
        <f t="shared" si="942"/>
        <v>0</v>
      </c>
      <c r="BS101" s="106">
        <f t="shared" si="942"/>
        <v>0</v>
      </c>
      <c r="BT101" s="107">
        <f t="shared" si="942"/>
        <v>0</v>
      </c>
      <c r="BU101" s="547">
        <f t="shared" si="942"/>
        <v>0</v>
      </c>
      <c r="BV101" s="106">
        <f t="shared" si="942"/>
        <v>0</v>
      </c>
      <c r="BW101" s="107">
        <f t="shared" si="942"/>
        <v>0</v>
      </c>
      <c r="BX101" s="547">
        <f t="shared" si="942"/>
        <v>0</v>
      </c>
      <c r="BY101" s="106">
        <f t="shared" si="942"/>
        <v>0</v>
      </c>
      <c r="BZ101" s="107">
        <f t="shared" si="942"/>
        <v>0</v>
      </c>
      <c r="CA101" s="547">
        <f t="shared" si="942"/>
        <v>0</v>
      </c>
      <c r="CB101" s="106">
        <f t="shared" si="942"/>
        <v>0</v>
      </c>
      <c r="CC101" s="107">
        <f t="shared" si="942"/>
        <v>0</v>
      </c>
      <c r="CD101" s="547">
        <f t="shared" si="942"/>
        <v>0</v>
      </c>
      <c r="CE101" s="435">
        <f t="shared" si="942"/>
        <v>0</v>
      </c>
      <c r="CF101" s="107">
        <f t="shared" si="942"/>
        <v>0</v>
      </c>
      <c r="CG101" s="183">
        <f t="shared" si="942"/>
        <v>0</v>
      </c>
      <c r="CH101" s="107">
        <f t="shared" si="942"/>
        <v>0</v>
      </c>
      <c r="CI101" s="107">
        <f t="shared" si="942"/>
        <v>0</v>
      </c>
      <c r="CJ101" s="547">
        <f t="shared" si="942"/>
        <v>0</v>
      </c>
      <c r="CK101" s="106">
        <f t="shared" si="942"/>
        <v>0</v>
      </c>
      <c r="CL101" s="107">
        <f t="shared" si="942"/>
        <v>0</v>
      </c>
      <c r="CM101" s="547">
        <f t="shared" si="942"/>
        <v>0</v>
      </c>
      <c r="CN101" s="106">
        <f t="shared" si="942"/>
        <v>0</v>
      </c>
      <c r="CO101" s="107">
        <f t="shared" si="942"/>
        <v>0</v>
      </c>
      <c r="CP101" s="547">
        <f t="shared" si="942"/>
        <v>0</v>
      </c>
      <c r="CQ101" s="106">
        <f t="shared" si="942"/>
        <v>0</v>
      </c>
      <c r="CR101" s="107">
        <f t="shared" si="942"/>
        <v>0</v>
      </c>
      <c r="CS101" s="547">
        <f t="shared" si="942"/>
        <v>0</v>
      </c>
      <c r="CT101" s="106">
        <f t="shared" si="942"/>
        <v>0</v>
      </c>
      <c r="CU101" s="107">
        <f t="shared" si="942"/>
        <v>0</v>
      </c>
      <c r="CV101" s="547">
        <f t="shared" si="942"/>
        <v>0</v>
      </c>
      <c r="CW101" s="106">
        <f t="shared" ref="CW101:DT101" si="943">SUM(CW102:CW103)</f>
        <v>0</v>
      </c>
      <c r="CX101" s="107">
        <f t="shared" si="943"/>
        <v>0</v>
      </c>
      <c r="CY101" s="547">
        <f t="shared" si="943"/>
        <v>0</v>
      </c>
      <c r="CZ101" s="106">
        <f t="shared" si="943"/>
        <v>0</v>
      </c>
      <c r="DA101" s="107">
        <f t="shared" si="943"/>
        <v>0</v>
      </c>
      <c r="DB101" s="547">
        <f t="shared" si="943"/>
        <v>0</v>
      </c>
      <c r="DC101" s="106">
        <f t="shared" si="943"/>
        <v>0</v>
      </c>
      <c r="DD101" s="107">
        <f t="shared" si="943"/>
        <v>0</v>
      </c>
      <c r="DE101" s="547">
        <f t="shared" si="943"/>
        <v>0</v>
      </c>
      <c r="DF101" s="106">
        <f t="shared" si="943"/>
        <v>0</v>
      </c>
      <c r="DG101" s="107">
        <f t="shared" si="943"/>
        <v>0</v>
      </c>
      <c r="DH101" s="547">
        <f t="shared" si="943"/>
        <v>0</v>
      </c>
      <c r="DI101" s="106">
        <f t="shared" si="943"/>
        <v>0</v>
      </c>
      <c r="DJ101" s="107">
        <f t="shared" si="943"/>
        <v>0</v>
      </c>
      <c r="DK101" s="547">
        <f t="shared" si="943"/>
        <v>0</v>
      </c>
      <c r="DL101" s="106">
        <f t="shared" si="943"/>
        <v>0</v>
      </c>
      <c r="DM101" s="107">
        <f t="shared" si="943"/>
        <v>0</v>
      </c>
      <c r="DN101" s="547">
        <f t="shared" si="943"/>
        <v>0</v>
      </c>
      <c r="DO101" s="106">
        <f t="shared" si="943"/>
        <v>0</v>
      </c>
      <c r="DP101" s="107">
        <f t="shared" si="943"/>
        <v>0</v>
      </c>
      <c r="DQ101" s="547">
        <f t="shared" si="943"/>
        <v>0</v>
      </c>
      <c r="DR101" s="435">
        <f t="shared" si="943"/>
        <v>0</v>
      </c>
      <c r="DS101" s="107">
        <f t="shared" si="943"/>
        <v>0</v>
      </c>
      <c r="DT101" s="183">
        <f t="shared" si="943"/>
        <v>0</v>
      </c>
    </row>
    <row r="102" spans="1:124" ht="14.25" customHeight="1">
      <c r="A102" s="23"/>
      <c r="B102" s="87"/>
      <c r="C102" s="88"/>
      <c r="D102" s="108" t="s">
        <v>68</v>
      </c>
      <c r="E102" s="433"/>
      <c r="F102" s="91"/>
      <c r="G102" s="184">
        <f t="shared" ref="G102:G103" si="944">SUM(E102:F102)</f>
        <v>0</v>
      </c>
      <c r="H102" s="433"/>
      <c r="I102" s="91"/>
      <c r="J102" s="184">
        <f t="shared" ref="J102:J103" si="945">SUM(H102:I102)</f>
        <v>0</v>
      </c>
      <c r="K102" s="433"/>
      <c r="L102" s="91"/>
      <c r="M102" s="184">
        <f t="shared" ref="M102:M103" si="946">SUM(K102:L102)</f>
        <v>0</v>
      </c>
      <c r="N102" s="433"/>
      <c r="O102" s="91"/>
      <c r="P102" s="184">
        <f t="shared" ref="P102:P103" si="947">SUM(N102:O102)</f>
        <v>0</v>
      </c>
      <c r="Q102" s="433"/>
      <c r="R102" s="91"/>
      <c r="S102" s="184">
        <f t="shared" ref="S102:S103" si="948">SUM(Q102:R102)</f>
        <v>0</v>
      </c>
      <c r="T102" s="433"/>
      <c r="U102" s="91"/>
      <c r="V102" s="184">
        <f t="shared" ref="V102:V103" si="949">SUM(T102:U102)</f>
        <v>0</v>
      </c>
      <c r="W102" s="433"/>
      <c r="X102" s="91"/>
      <c r="Y102" s="184">
        <f t="shared" ref="Y102:Y103" si="950">SUM(W102:X102)</f>
        <v>0</v>
      </c>
      <c r="Z102" s="433"/>
      <c r="AA102" s="91"/>
      <c r="AB102" s="184">
        <f t="shared" ref="AB102:AB103" si="951">SUM(Z102:AA102)</f>
        <v>0</v>
      </c>
      <c r="AC102" s="433"/>
      <c r="AD102" s="91"/>
      <c r="AE102" s="184">
        <f t="shared" ref="AE102:AE103" si="952">SUM(AC102:AD102)</f>
        <v>0</v>
      </c>
      <c r="AF102" s="433"/>
      <c r="AG102" s="91"/>
      <c r="AH102" s="184">
        <f t="shared" ref="AH102:AH103" si="953">SUM(AF102:AG102)</f>
        <v>0</v>
      </c>
      <c r="AI102" s="433"/>
      <c r="AJ102" s="91"/>
      <c r="AK102" s="184">
        <f t="shared" ref="AK102:AK103" si="954">SUM(AI102:AJ102)</f>
        <v>0</v>
      </c>
      <c r="AL102" s="433"/>
      <c r="AM102" s="91"/>
      <c r="AN102" s="184">
        <f t="shared" ref="AN102:AN103" si="955">SUM(AL102:AM102)</f>
        <v>0</v>
      </c>
      <c r="AO102" s="433"/>
      <c r="AP102" s="91"/>
      <c r="AQ102" s="184">
        <f t="shared" ref="AQ102:AQ103" si="956">SUM(AO102:AP102)</f>
        <v>0</v>
      </c>
      <c r="AR102" s="433">
        <f t="shared" ref="AR102:AS103" si="957">AO102+AL102+AI102+AF102+AC102+Z102+W102+T102+Q102+N102+K102+H102</f>
        <v>0</v>
      </c>
      <c r="AS102" s="91">
        <f t="shared" si="957"/>
        <v>0</v>
      </c>
      <c r="AT102" s="184">
        <f>SUM(AR102:AS102)</f>
        <v>0</v>
      </c>
      <c r="AU102" s="433"/>
      <c r="AV102" s="91"/>
      <c r="AW102" s="184">
        <f t="shared" ref="AW102:AW103" si="958">SUM(AU102:AV102)</f>
        <v>0</v>
      </c>
      <c r="AX102" s="433"/>
      <c r="AY102" s="91"/>
      <c r="AZ102" s="184">
        <f t="shared" ref="AZ102:AZ103" si="959">SUM(AX102:AY102)</f>
        <v>0</v>
      </c>
      <c r="BA102" s="433"/>
      <c r="BB102" s="91"/>
      <c r="BC102" s="184">
        <f t="shared" ref="BC102:BC103" si="960">SUM(BA102:BB102)</f>
        <v>0</v>
      </c>
      <c r="BD102" s="433"/>
      <c r="BE102" s="91"/>
      <c r="BF102" s="184">
        <f t="shared" ref="BF102:BF103" si="961">SUM(BD102:BE102)</f>
        <v>0</v>
      </c>
      <c r="BG102" s="433"/>
      <c r="BH102" s="91"/>
      <c r="BI102" s="184">
        <f t="shared" ref="BI102:BI103" si="962">SUM(BG102:BH102)</f>
        <v>0</v>
      </c>
      <c r="BJ102" s="433"/>
      <c r="BK102" s="91"/>
      <c r="BL102" s="184">
        <f t="shared" ref="BL102:BL103" si="963">SUM(BJ102:BK102)</f>
        <v>0</v>
      </c>
      <c r="BM102" s="433"/>
      <c r="BN102" s="91"/>
      <c r="BO102" s="184">
        <f t="shared" ref="BO102:BO103" si="964">SUM(BM102:BN102)</f>
        <v>0</v>
      </c>
      <c r="BP102" s="433"/>
      <c r="BQ102" s="91"/>
      <c r="BR102" s="184">
        <f t="shared" ref="BR102:BR103" si="965">SUM(BP102:BQ102)</f>
        <v>0</v>
      </c>
      <c r="BS102" s="433"/>
      <c r="BT102" s="91"/>
      <c r="BU102" s="184">
        <f t="shared" ref="BU102:BU103" si="966">SUM(BS102:BT102)</f>
        <v>0</v>
      </c>
      <c r="BV102" s="433"/>
      <c r="BW102" s="91"/>
      <c r="BX102" s="184">
        <f t="shared" ref="BX102:BX103" si="967">SUM(BV102:BW102)</f>
        <v>0</v>
      </c>
      <c r="BY102" s="433"/>
      <c r="BZ102" s="91"/>
      <c r="CA102" s="184">
        <f t="shared" ref="CA102:CA103" si="968">SUM(BY102:BZ102)</f>
        <v>0</v>
      </c>
      <c r="CB102" s="433"/>
      <c r="CC102" s="91"/>
      <c r="CD102" s="184">
        <f t="shared" ref="CD102:CD103" si="969">SUM(CB102:CC102)</f>
        <v>0</v>
      </c>
      <c r="CE102" s="438">
        <f t="shared" ref="CE102" si="970">CB102+BY102+BV102+BS102+BP102+BM102+BJ102+BG102+BD102+BA102+AX102+AU102</f>
        <v>0</v>
      </c>
      <c r="CF102" s="175">
        <f t="shared" ref="CF102" si="971">CC102+BZ102+BW102+BT102+BQ102+BN102+BK102+BH102+BE102+BB102+AY102+AV102</f>
        <v>0</v>
      </c>
      <c r="CG102" s="439">
        <f t="shared" ref="CG102" si="972">SUM(CE102:CF102)</f>
        <v>0</v>
      </c>
      <c r="CH102" s="433"/>
      <c r="CI102" s="91"/>
      <c r="CJ102" s="184">
        <f t="shared" ref="CJ102:CJ103" si="973">SUM(CH102:CI102)</f>
        <v>0</v>
      </c>
      <c r="CK102" s="433"/>
      <c r="CL102" s="91"/>
      <c r="CM102" s="184">
        <f t="shared" ref="CM102:CM103" si="974">SUM(CK102:CL102)</f>
        <v>0</v>
      </c>
      <c r="CN102" s="433"/>
      <c r="CO102" s="91"/>
      <c r="CP102" s="184">
        <f t="shared" ref="CP102:CP103" si="975">SUM(CN102:CO102)</f>
        <v>0</v>
      </c>
      <c r="CQ102" s="433"/>
      <c r="CR102" s="91"/>
      <c r="CS102" s="184">
        <f t="shared" ref="CS102:CS103" si="976">SUM(CQ102:CR102)</f>
        <v>0</v>
      </c>
      <c r="CT102" s="433"/>
      <c r="CU102" s="91"/>
      <c r="CV102" s="184">
        <f t="shared" ref="CV102:CV103" si="977">SUM(CT102:CU102)</f>
        <v>0</v>
      </c>
      <c r="CW102" s="433"/>
      <c r="CX102" s="91"/>
      <c r="CY102" s="184">
        <f t="shared" ref="CY102:CY103" si="978">SUM(CW102:CX102)</f>
        <v>0</v>
      </c>
      <c r="CZ102" s="433"/>
      <c r="DA102" s="91"/>
      <c r="DB102" s="184">
        <f t="shared" ref="DB102:DB103" si="979">SUM(CZ102:DA102)</f>
        <v>0</v>
      </c>
      <c r="DC102" s="433"/>
      <c r="DD102" s="91"/>
      <c r="DE102" s="184">
        <f t="shared" ref="DE102:DE103" si="980">SUM(DC102:DD102)</f>
        <v>0</v>
      </c>
      <c r="DF102" s="433"/>
      <c r="DG102" s="91"/>
      <c r="DH102" s="184">
        <f t="shared" ref="DH102:DH103" si="981">SUM(DF102:DG102)</f>
        <v>0</v>
      </c>
      <c r="DI102" s="433"/>
      <c r="DJ102" s="91"/>
      <c r="DK102" s="184">
        <f t="shared" ref="DK102:DK103" si="982">SUM(DI102:DJ102)</f>
        <v>0</v>
      </c>
      <c r="DL102" s="433"/>
      <c r="DM102" s="91"/>
      <c r="DN102" s="184">
        <f t="shared" ref="DN102:DN103" si="983">SUM(DL102:DM102)</f>
        <v>0</v>
      </c>
      <c r="DO102" s="433"/>
      <c r="DP102" s="91"/>
      <c r="DQ102" s="184">
        <f t="shared" ref="DQ102:DQ103" si="984">SUM(DO102:DP102)</f>
        <v>0</v>
      </c>
      <c r="DR102" s="438">
        <f t="shared" ref="DR102:DR103" si="985">DO102+DL102+DI102+DF102+DC102+CZ102+CW102+CT102+CQ102+CN102+CK102+CH102</f>
        <v>0</v>
      </c>
      <c r="DS102" s="175">
        <f t="shared" ref="DS102:DS103" si="986">DP102+DM102+DJ102+DG102+DD102+DA102+CX102+CU102+CR102+CO102+CL102+CI102</f>
        <v>0</v>
      </c>
      <c r="DT102" s="439">
        <f t="shared" ref="DT102:DT103" si="987">SUM(DR102:DS102)</f>
        <v>0</v>
      </c>
    </row>
    <row r="103" spans="1:124" ht="14.25" customHeight="1">
      <c r="A103" s="23"/>
      <c r="B103" s="87"/>
      <c r="C103" s="88"/>
      <c r="D103" s="108" t="s">
        <v>67</v>
      </c>
      <c r="E103" s="433"/>
      <c r="F103" s="91"/>
      <c r="G103" s="184">
        <f t="shared" si="944"/>
        <v>0</v>
      </c>
      <c r="H103" s="433"/>
      <c r="I103" s="91"/>
      <c r="J103" s="184">
        <f t="shared" si="945"/>
        <v>0</v>
      </c>
      <c r="K103" s="433"/>
      <c r="L103" s="91"/>
      <c r="M103" s="184">
        <f t="shared" si="946"/>
        <v>0</v>
      </c>
      <c r="N103" s="433"/>
      <c r="O103" s="91"/>
      <c r="P103" s="184">
        <f t="shared" si="947"/>
        <v>0</v>
      </c>
      <c r="Q103" s="433"/>
      <c r="R103" s="91"/>
      <c r="S103" s="184">
        <f t="shared" si="948"/>
        <v>0</v>
      </c>
      <c r="T103" s="433"/>
      <c r="U103" s="91"/>
      <c r="V103" s="184">
        <f t="shared" si="949"/>
        <v>0</v>
      </c>
      <c r="W103" s="433"/>
      <c r="X103" s="91"/>
      <c r="Y103" s="184">
        <f t="shared" si="950"/>
        <v>0</v>
      </c>
      <c r="Z103" s="433"/>
      <c r="AA103" s="91"/>
      <c r="AB103" s="184">
        <f t="shared" si="951"/>
        <v>0</v>
      </c>
      <c r="AC103" s="433"/>
      <c r="AD103" s="91"/>
      <c r="AE103" s="184">
        <f t="shared" si="952"/>
        <v>0</v>
      </c>
      <c r="AF103" s="433"/>
      <c r="AG103" s="91"/>
      <c r="AH103" s="184">
        <f t="shared" si="953"/>
        <v>0</v>
      </c>
      <c r="AI103" s="433"/>
      <c r="AJ103" s="91"/>
      <c r="AK103" s="184">
        <f t="shared" si="954"/>
        <v>0</v>
      </c>
      <c r="AL103" s="433"/>
      <c r="AM103" s="91"/>
      <c r="AN103" s="184">
        <f t="shared" si="955"/>
        <v>0</v>
      </c>
      <c r="AO103" s="433"/>
      <c r="AP103" s="91"/>
      <c r="AQ103" s="184">
        <f t="shared" si="956"/>
        <v>0</v>
      </c>
      <c r="AR103" s="433">
        <f t="shared" si="957"/>
        <v>0</v>
      </c>
      <c r="AS103" s="91">
        <f t="shared" si="957"/>
        <v>0</v>
      </c>
      <c r="AT103" s="184">
        <f>SUM(AR103:AS103)</f>
        <v>0</v>
      </c>
      <c r="AU103" s="433"/>
      <c r="AV103" s="91"/>
      <c r="AW103" s="184">
        <f t="shared" si="958"/>
        <v>0</v>
      </c>
      <c r="AX103" s="433"/>
      <c r="AY103" s="91"/>
      <c r="AZ103" s="184">
        <f t="shared" si="959"/>
        <v>0</v>
      </c>
      <c r="BA103" s="433"/>
      <c r="BB103" s="91"/>
      <c r="BC103" s="184">
        <f t="shared" si="960"/>
        <v>0</v>
      </c>
      <c r="BD103" s="433"/>
      <c r="BE103" s="91"/>
      <c r="BF103" s="184">
        <f t="shared" si="961"/>
        <v>0</v>
      </c>
      <c r="BG103" s="433"/>
      <c r="BH103" s="91"/>
      <c r="BI103" s="184">
        <f t="shared" si="962"/>
        <v>0</v>
      </c>
      <c r="BJ103" s="433"/>
      <c r="BK103" s="91"/>
      <c r="BL103" s="184">
        <f t="shared" si="963"/>
        <v>0</v>
      </c>
      <c r="BM103" s="433"/>
      <c r="BN103" s="91"/>
      <c r="BO103" s="184">
        <f t="shared" si="964"/>
        <v>0</v>
      </c>
      <c r="BP103" s="433"/>
      <c r="BQ103" s="91"/>
      <c r="BR103" s="184">
        <f t="shared" si="965"/>
        <v>0</v>
      </c>
      <c r="BS103" s="433"/>
      <c r="BT103" s="91"/>
      <c r="BU103" s="184">
        <f t="shared" si="966"/>
        <v>0</v>
      </c>
      <c r="BV103" s="433"/>
      <c r="BW103" s="91"/>
      <c r="BX103" s="184">
        <f t="shared" si="967"/>
        <v>0</v>
      </c>
      <c r="BY103" s="433"/>
      <c r="BZ103" s="91"/>
      <c r="CA103" s="184">
        <f t="shared" si="968"/>
        <v>0</v>
      </c>
      <c r="CB103" s="433"/>
      <c r="CC103" s="91"/>
      <c r="CD103" s="184">
        <f t="shared" si="969"/>
        <v>0</v>
      </c>
      <c r="CE103" s="438">
        <f t="shared" ref="CE103" si="988">CB103+BY103+BV103+BS103+BP103+BM103+BJ103+BG103+BD103+BA103+AX103+AU103</f>
        <v>0</v>
      </c>
      <c r="CF103" s="175">
        <f t="shared" ref="CF103" si="989">CC103+BZ103+BW103+BT103+BQ103+BN103+BK103+BH103+BE103+BB103+AY103+AV103</f>
        <v>0</v>
      </c>
      <c r="CG103" s="439">
        <f t="shared" ref="CG103" si="990">SUM(CE103:CF103)</f>
        <v>0</v>
      </c>
      <c r="CH103" s="433"/>
      <c r="CI103" s="91"/>
      <c r="CJ103" s="184">
        <f t="shared" si="973"/>
        <v>0</v>
      </c>
      <c r="CK103" s="433"/>
      <c r="CL103" s="91"/>
      <c r="CM103" s="184">
        <f t="shared" si="974"/>
        <v>0</v>
      </c>
      <c r="CN103" s="433"/>
      <c r="CO103" s="91"/>
      <c r="CP103" s="184">
        <f t="shared" si="975"/>
        <v>0</v>
      </c>
      <c r="CQ103" s="433"/>
      <c r="CR103" s="91"/>
      <c r="CS103" s="184">
        <f t="shared" si="976"/>
        <v>0</v>
      </c>
      <c r="CT103" s="433"/>
      <c r="CU103" s="91"/>
      <c r="CV103" s="184">
        <f t="shared" si="977"/>
        <v>0</v>
      </c>
      <c r="CW103" s="433"/>
      <c r="CX103" s="91"/>
      <c r="CY103" s="184">
        <f t="shared" si="978"/>
        <v>0</v>
      </c>
      <c r="CZ103" s="433"/>
      <c r="DA103" s="91"/>
      <c r="DB103" s="184">
        <f t="shared" si="979"/>
        <v>0</v>
      </c>
      <c r="DC103" s="433"/>
      <c r="DD103" s="91"/>
      <c r="DE103" s="184">
        <f t="shared" si="980"/>
        <v>0</v>
      </c>
      <c r="DF103" s="433"/>
      <c r="DG103" s="91"/>
      <c r="DH103" s="184">
        <f t="shared" si="981"/>
        <v>0</v>
      </c>
      <c r="DI103" s="433"/>
      <c r="DJ103" s="91"/>
      <c r="DK103" s="184">
        <f t="shared" si="982"/>
        <v>0</v>
      </c>
      <c r="DL103" s="433"/>
      <c r="DM103" s="91"/>
      <c r="DN103" s="184">
        <f t="shared" si="983"/>
        <v>0</v>
      </c>
      <c r="DO103" s="433"/>
      <c r="DP103" s="91"/>
      <c r="DQ103" s="184">
        <f t="shared" si="984"/>
        <v>0</v>
      </c>
      <c r="DR103" s="438">
        <f t="shared" si="985"/>
        <v>0</v>
      </c>
      <c r="DS103" s="175">
        <f t="shared" si="986"/>
        <v>0</v>
      </c>
      <c r="DT103" s="439">
        <f t="shared" si="987"/>
        <v>0</v>
      </c>
    </row>
    <row r="104" spans="1:124" ht="14.25" customHeight="1">
      <c r="A104" s="23"/>
      <c r="B104" s="87"/>
      <c r="C104" s="88"/>
      <c r="D104" s="89"/>
      <c r="E104" s="433"/>
      <c r="F104" s="91"/>
      <c r="G104" s="184"/>
      <c r="H104" s="91"/>
      <c r="I104" s="91"/>
      <c r="J104" s="93"/>
      <c r="K104" s="91"/>
      <c r="L104" s="91"/>
      <c r="M104" s="93"/>
      <c r="N104" s="92"/>
      <c r="O104" s="91"/>
      <c r="P104" s="93"/>
      <c r="Q104" s="92"/>
      <c r="R104" s="91"/>
      <c r="S104" s="93"/>
      <c r="T104" s="92"/>
      <c r="U104" s="91"/>
      <c r="V104" s="93"/>
      <c r="W104" s="92"/>
      <c r="X104" s="91"/>
      <c r="Y104" s="93"/>
      <c r="Z104" s="92"/>
      <c r="AA104" s="91"/>
      <c r="AB104" s="93"/>
      <c r="AC104" s="92"/>
      <c r="AD104" s="91"/>
      <c r="AE104" s="93"/>
      <c r="AF104" s="92"/>
      <c r="AG104" s="91"/>
      <c r="AH104" s="93"/>
      <c r="AI104" s="92"/>
      <c r="AJ104" s="91"/>
      <c r="AK104" s="93"/>
      <c r="AL104" s="92"/>
      <c r="AM104" s="91"/>
      <c r="AN104" s="93"/>
      <c r="AO104" s="92"/>
      <c r="AP104" s="91"/>
      <c r="AQ104" s="93"/>
      <c r="AR104" s="433"/>
      <c r="AS104" s="91"/>
      <c r="AT104" s="184"/>
      <c r="AU104" s="92"/>
      <c r="AV104" s="91"/>
      <c r="AW104" s="93"/>
      <c r="AX104" s="92"/>
      <c r="AY104" s="91"/>
      <c r="AZ104" s="93"/>
      <c r="BA104" s="92"/>
      <c r="BB104" s="91"/>
      <c r="BC104" s="93"/>
      <c r="BD104" s="92"/>
      <c r="BE104" s="91"/>
      <c r="BF104" s="93"/>
      <c r="BG104" s="92"/>
      <c r="BH104" s="91"/>
      <c r="BI104" s="93"/>
      <c r="BJ104" s="92"/>
      <c r="BK104" s="91"/>
      <c r="BL104" s="93"/>
      <c r="BM104" s="92"/>
      <c r="BN104" s="91"/>
      <c r="BO104" s="93"/>
      <c r="BP104" s="92"/>
      <c r="BQ104" s="91"/>
      <c r="BR104" s="93"/>
      <c r="BS104" s="92"/>
      <c r="BT104" s="91"/>
      <c r="BU104" s="93"/>
      <c r="BV104" s="92"/>
      <c r="BW104" s="91"/>
      <c r="BX104" s="93"/>
      <c r="BY104" s="92"/>
      <c r="BZ104" s="91"/>
      <c r="CA104" s="93"/>
      <c r="CB104" s="92"/>
      <c r="CC104" s="91"/>
      <c r="CD104" s="93"/>
      <c r="CE104" s="433"/>
      <c r="CF104" s="91"/>
      <c r="CG104" s="184"/>
      <c r="CH104" s="91"/>
      <c r="CI104" s="91"/>
      <c r="CJ104" s="93"/>
      <c r="CK104" s="90"/>
      <c r="CL104" s="91"/>
      <c r="CM104" s="93"/>
      <c r="CN104" s="90"/>
      <c r="CO104" s="91"/>
      <c r="CP104" s="93"/>
      <c r="CQ104" s="90"/>
      <c r="CR104" s="91"/>
      <c r="CS104" s="93"/>
      <c r="CT104" s="90"/>
      <c r="CU104" s="91"/>
      <c r="CV104" s="93"/>
      <c r="CW104" s="90"/>
      <c r="CX104" s="91"/>
      <c r="CY104" s="93"/>
      <c r="CZ104" s="90"/>
      <c r="DA104" s="91"/>
      <c r="DB104" s="93"/>
      <c r="DC104" s="90"/>
      <c r="DD104" s="91"/>
      <c r="DE104" s="93"/>
      <c r="DF104" s="90"/>
      <c r="DG104" s="91"/>
      <c r="DH104" s="93"/>
      <c r="DI104" s="90"/>
      <c r="DJ104" s="91"/>
      <c r="DK104" s="93"/>
      <c r="DL104" s="90"/>
      <c r="DM104" s="91"/>
      <c r="DN104" s="93"/>
      <c r="DO104" s="90"/>
      <c r="DP104" s="91"/>
      <c r="DQ104" s="93"/>
      <c r="DR104" s="433"/>
      <c r="DS104" s="91"/>
      <c r="DT104" s="184"/>
    </row>
    <row r="105" spans="1:124" ht="14.25" customHeight="1">
      <c r="A105" s="23"/>
      <c r="B105" s="103"/>
      <c r="C105" s="104" t="s">
        <v>4</v>
      </c>
      <c r="D105" s="105" t="s">
        <v>84</v>
      </c>
      <c r="E105" s="436" t="str">
        <f t="shared" ref="E105:AJ105" si="991">IFERROR(E97/E101,"-")</f>
        <v>-</v>
      </c>
      <c r="F105" s="172" t="str">
        <f t="shared" si="991"/>
        <v>-</v>
      </c>
      <c r="G105" s="437" t="str">
        <f t="shared" si="991"/>
        <v>-</v>
      </c>
      <c r="H105" s="172" t="str">
        <f t="shared" si="991"/>
        <v>-</v>
      </c>
      <c r="I105" s="172" t="str">
        <f t="shared" si="991"/>
        <v>-</v>
      </c>
      <c r="J105" s="548" t="str">
        <f t="shared" si="991"/>
        <v>-</v>
      </c>
      <c r="K105" s="172" t="str">
        <f t="shared" si="991"/>
        <v>-</v>
      </c>
      <c r="L105" s="172" t="str">
        <f t="shared" si="991"/>
        <v>-</v>
      </c>
      <c r="M105" s="548" t="str">
        <f t="shared" si="991"/>
        <v>-</v>
      </c>
      <c r="N105" s="173" t="str">
        <f t="shared" si="991"/>
        <v>-</v>
      </c>
      <c r="O105" s="172" t="str">
        <f t="shared" si="991"/>
        <v>-</v>
      </c>
      <c r="P105" s="548" t="str">
        <f t="shared" si="991"/>
        <v>-</v>
      </c>
      <c r="Q105" s="173" t="str">
        <f t="shared" si="991"/>
        <v>-</v>
      </c>
      <c r="R105" s="172" t="str">
        <f t="shared" si="991"/>
        <v>-</v>
      </c>
      <c r="S105" s="548" t="str">
        <f t="shared" si="991"/>
        <v>-</v>
      </c>
      <c r="T105" s="173" t="str">
        <f t="shared" si="991"/>
        <v>-</v>
      </c>
      <c r="U105" s="172" t="str">
        <f t="shared" si="991"/>
        <v>-</v>
      </c>
      <c r="V105" s="548" t="str">
        <f t="shared" si="991"/>
        <v>-</v>
      </c>
      <c r="W105" s="173" t="str">
        <f t="shared" si="991"/>
        <v>-</v>
      </c>
      <c r="X105" s="172" t="str">
        <f t="shared" si="991"/>
        <v>-</v>
      </c>
      <c r="Y105" s="548" t="str">
        <f t="shared" si="991"/>
        <v>-</v>
      </c>
      <c r="Z105" s="173" t="str">
        <f t="shared" si="991"/>
        <v>-</v>
      </c>
      <c r="AA105" s="172" t="str">
        <f t="shared" si="991"/>
        <v>-</v>
      </c>
      <c r="AB105" s="548" t="str">
        <f t="shared" si="991"/>
        <v>-</v>
      </c>
      <c r="AC105" s="173" t="str">
        <f t="shared" si="991"/>
        <v>-</v>
      </c>
      <c r="AD105" s="172" t="str">
        <f t="shared" si="991"/>
        <v>-</v>
      </c>
      <c r="AE105" s="548" t="str">
        <f t="shared" si="991"/>
        <v>-</v>
      </c>
      <c r="AF105" s="173" t="str">
        <f t="shared" si="991"/>
        <v>-</v>
      </c>
      <c r="AG105" s="172" t="str">
        <f t="shared" si="991"/>
        <v>-</v>
      </c>
      <c r="AH105" s="548" t="str">
        <f t="shared" si="991"/>
        <v>-</v>
      </c>
      <c r="AI105" s="173" t="str">
        <f t="shared" si="991"/>
        <v>-</v>
      </c>
      <c r="AJ105" s="172" t="str">
        <f t="shared" si="991"/>
        <v>-</v>
      </c>
      <c r="AK105" s="548" t="str">
        <f t="shared" ref="AK105:BP105" si="992">IFERROR(AK97/AK101,"-")</f>
        <v>-</v>
      </c>
      <c r="AL105" s="173" t="str">
        <f t="shared" si="992"/>
        <v>-</v>
      </c>
      <c r="AM105" s="172" t="str">
        <f t="shared" si="992"/>
        <v>-</v>
      </c>
      <c r="AN105" s="548" t="str">
        <f t="shared" si="992"/>
        <v>-</v>
      </c>
      <c r="AO105" s="173" t="str">
        <f t="shared" si="992"/>
        <v>-</v>
      </c>
      <c r="AP105" s="172" t="str">
        <f t="shared" si="992"/>
        <v>-</v>
      </c>
      <c r="AQ105" s="548" t="str">
        <f t="shared" si="992"/>
        <v>-</v>
      </c>
      <c r="AR105" s="436" t="str">
        <f t="shared" si="992"/>
        <v>-</v>
      </c>
      <c r="AS105" s="172" t="str">
        <f t="shared" si="992"/>
        <v>-</v>
      </c>
      <c r="AT105" s="437" t="str">
        <f t="shared" si="992"/>
        <v>-</v>
      </c>
      <c r="AU105" s="173" t="str">
        <f t="shared" si="992"/>
        <v>-</v>
      </c>
      <c r="AV105" s="172" t="str">
        <f t="shared" si="992"/>
        <v>-</v>
      </c>
      <c r="AW105" s="548" t="str">
        <f t="shared" si="992"/>
        <v>-</v>
      </c>
      <c r="AX105" s="173" t="str">
        <f t="shared" si="992"/>
        <v>-</v>
      </c>
      <c r="AY105" s="172" t="str">
        <f t="shared" si="992"/>
        <v>-</v>
      </c>
      <c r="AZ105" s="548" t="str">
        <f t="shared" si="992"/>
        <v>-</v>
      </c>
      <c r="BA105" s="173" t="str">
        <f t="shared" si="992"/>
        <v>-</v>
      </c>
      <c r="BB105" s="172" t="str">
        <f t="shared" si="992"/>
        <v>-</v>
      </c>
      <c r="BC105" s="548" t="str">
        <f t="shared" si="992"/>
        <v>-</v>
      </c>
      <c r="BD105" s="173" t="str">
        <f t="shared" si="992"/>
        <v>-</v>
      </c>
      <c r="BE105" s="172" t="str">
        <f t="shared" si="992"/>
        <v>-</v>
      </c>
      <c r="BF105" s="548" t="str">
        <f t="shared" si="992"/>
        <v>-</v>
      </c>
      <c r="BG105" s="173" t="str">
        <f t="shared" si="992"/>
        <v>-</v>
      </c>
      <c r="BH105" s="172" t="str">
        <f t="shared" si="992"/>
        <v>-</v>
      </c>
      <c r="BI105" s="548" t="str">
        <f t="shared" si="992"/>
        <v>-</v>
      </c>
      <c r="BJ105" s="173" t="str">
        <f t="shared" si="992"/>
        <v>-</v>
      </c>
      <c r="BK105" s="172" t="str">
        <f t="shared" si="992"/>
        <v>-</v>
      </c>
      <c r="BL105" s="548" t="str">
        <f t="shared" si="992"/>
        <v>-</v>
      </c>
      <c r="BM105" s="173" t="str">
        <f t="shared" si="992"/>
        <v>-</v>
      </c>
      <c r="BN105" s="172" t="str">
        <f t="shared" si="992"/>
        <v>-</v>
      </c>
      <c r="BO105" s="548" t="str">
        <f t="shared" si="992"/>
        <v>-</v>
      </c>
      <c r="BP105" s="173" t="str">
        <f t="shared" si="992"/>
        <v>-</v>
      </c>
      <c r="BQ105" s="172" t="str">
        <f t="shared" ref="BQ105:CV105" si="993">IFERROR(BQ97/BQ101,"-")</f>
        <v>-</v>
      </c>
      <c r="BR105" s="548" t="str">
        <f t="shared" si="993"/>
        <v>-</v>
      </c>
      <c r="BS105" s="173" t="str">
        <f t="shared" si="993"/>
        <v>-</v>
      </c>
      <c r="BT105" s="172" t="str">
        <f t="shared" si="993"/>
        <v>-</v>
      </c>
      <c r="BU105" s="548" t="str">
        <f t="shared" si="993"/>
        <v>-</v>
      </c>
      <c r="BV105" s="173" t="str">
        <f t="shared" si="993"/>
        <v>-</v>
      </c>
      <c r="BW105" s="172" t="str">
        <f t="shared" si="993"/>
        <v>-</v>
      </c>
      <c r="BX105" s="548" t="str">
        <f t="shared" si="993"/>
        <v>-</v>
      </c>
      <c r="BY105" s="173" t="str">
        <f t="shared" si="993"/>
        <v>-</v>
      </c>
      <c r="BZ105" s="172" t="str">
        <f t="shared" si="993"/>
        <v>-</v>
      </c>
      <c r="CA105" s="548" t="str">
        <f t="shared" si="993"/>
        <v>-</v>
      </c>
      <c r="CB105" s="173" t="str">
        <f t="shared" si="993"/>
        <v>-</v>
      </c>
      <c r="CC105" s="172" t="str">
        <f t="shared" si="993"/>
        <v>-</v>
      </c>
      <c r="CD105" s="548" t="str">
        <f t="shared" si="993"/>
        <v>-</v>
      </c>
      <c r="CE105" s="436" t="str">
        <f t="shared" si="993"/>
        <v>-</v>
      </c>
      <c r="CF105" s="172" t="str">
        <f t="shared" si="993"/>
        <v>-</v>
      </c>
      <c r="CG105" s="437" t="str">
        <f t="shared" si="993"/>
        <v>-</v>
      </c>
      <c r="CH105" s="172" t="str">
        <f t="shared" si="993"/>
        <v>-</v>
      </c>
      <c r="CI105" s="172" t="str">
        <f t="shared" si="993"/>
        <v>-</v>
      </c>
      <c r="CJ105" s="548" t="str">
        <f t="shared" si="993"/>
        <v>-</v>
      </c>
      <c r="CK105" s="171" t="str">
        <f t="shared" si="993"/>
        <v>-</v>
      </c>
      <c r="CL105" s="172" t="str">
        <f t="shared" si="993"/>
        <v>-</v>
      </c>
      <c r="CM105" s="548" t="str">
        <f t="shared" si="993"/>
        <v>-</v>
      </c>
      <c r="CN105" s="171" t="str">
        <f t="shared" si="993"/>
        <v>-</v>
      </c>
      <c r="CO105" s="172" t="str">
        <f t="shared" si="993"/>
        <v>-</v>
      </c>
      <c r="CP105" s="548" t="str">
        <f t="shared" si="993"/>
        <v>-</v>
      </c>
      <c r="CQ105" s="171" t="str">
        <f t="shared" si="993"/>
        <v>-</v>
      </c>
      <c r="CR105" s="172" t="str">
        <f t="shared" si="993"/>
        <v>-</v>
      </c>
      <c r="CS105" s="548" t="str">
        <f t="shared" si="993"/>
        <v>-</v>
      </c>
      <c r="CT105" s="171" t="str">
        <f t="shared" si="993"/>
        <v>-</v>
      </c>
      <c r="CU105" s="172" t="str">
        <f t="shared" si="993"/>
        <v>-</v>
      </c>
      <c r="CV105" s="548" t="str">
        <f t="shared" si="993"/>
        <v>-</v>
      </c>
      <c r="CW105" s="171" t="str">
        <f t="shared" ref="CW105:DT105" si="994">IFERROR(CW97/CW101,"-")</f>
        <v>-</v>
      </c>
      <c r="CX105" s="172" t="str">
        <f t="shared" si="994"/>
        <v>-</v>
      </c>
      <c r="CY105" s="548" t="str">
        <f t="shared" si="994"/>
        <v>-</v>
      </c>
      <c r="CZ105" s="171" t="str">
        <f t="shared" si="994"/>
        <v>-</v>
      </c>
      <c r="DA105" s="172" t="str">
        <f t="shared" si="994"/>
        <v>-</v>
      </c>
      <c r="DB105" s="548" t="str">
        <f t="shared" si="994"/>
        <v>-</v>
      </c>
      <c r="DC105" s="171" t="str">
        <f t="shared" si="994"/>
        <v>-</v>
      </c>
      <c r="DD105" s="172" t="str">
        <f t="shared" si="994"/>
        <v>-</v>
      </c>
      <c r="DE105" s="548" t="str">
        <f t="shared" si="994"/>
        <v>-</v>
      </c>
      <c r="DF105" s="171" t="str">
        <f t="shared" si="994"/>
        <v>-</v>
      </c>
      <c r="DG105" s="172" t="str">
        <f t="shared" si="994"/>
        <v>-</v>
      </c>
      <c r="DH105" s="548" t="str">
        <f t="shared" si="994"/>
        <v>-</v>
      </c>
      <c r="DI105" s="171" t="str">
        <f t="shared" si="994"/>
        <v>-</v>
      </c>
      <c r="DJ105" s="172" t="str">
        <f t="shared" si="994"/>
        <v>-</v>
      </c>
      <c r="DK105" s="548" t="str">
        <f t="shared" si="994"/>
        <v>-</v>
      </c>
      <c r="DL105" s="171" t="str">
        <f t="shared" si="994"/>
        <v>-</v>
      </c>
      <c r="DM105" s="172" t="str">
        <f t="shared" si="994"/>
        <v>-</v>
      </c>
      <c r="DN105" s="548" t="str">
        <f t="shared" si="994"/>
        <v>-</v>
      </c>
      <c r="DO105" s="171" t="str">
        <f t="shared" si="994"/>
        <v>-</v>
      </c>
      <c r="DP105" s="172" t="str">
        <f t="shared" si="994"/>
        <v>-</v>
      </c>
      <c r="DQ105" s="548" t="str">
        <f t="shared" si="994"/>
        <v>-</v>
      </c>
      <c r="DR105" s="436" t="str">
        <f t="shared" si="994"/>
        <v>-</v>
      </c>
      <c r="DS105" s="172" t="str">
        <f t="shared" si="994"/>
        <v>-</v>
      </c>
      <c r="DT105" s="437" t="str">
        <f t="shared" si="994"/>
        <v>-</v>
      </c>
    </row>
    <row r="106" spans="1:124" ht="14.25" customHeight="1">
      <c r="A106" s="23"/>
      <c r="B106" s="87"/>
      <c r="C106" s="88"/>
      <c r="D106" s="108" t="s">
        <v>68</v>
      </c>
      <c r="E106" s="433" t="str">
        <f t="shared" ref="E106:AJ106" si="995">IFERROR(E98/E102,"-")</f>
        <v>-</v>
      </c>
      <c r="F106" s="91" t="str">
        <f t="shared" si="995"/>
        <v>-</v>
      </c>
      <c r="G106" s="184" t="str">
        <f t="shared" si="995"/>
        <v>-</v>
      </c>
      <c r="H106" s="91" t="str">
        <f t="shared" si="995"/>
        <v>-</v>
      </c>
      <c r="I106" s="91" t="str">
        <f t="shared" si="995"/>
        <v>-</v>
      </c>
      <c r="J106" s="93" t="str">
        <f t="shared" si="995"/>
        <v>-</v>
      </c>
      <c r="K106" s="91" t="str">
        <f t="shared" si="995"/>
        <v>-</v>
      </c>
      <c r="L106" s="91" t="str">
        <f t="shared" si="995"/>
        <v>-</v>
      </c>
      <c r="M106" s="93" t="str">
        <f t="shared" si="995"/>
        <v>-</v>
      </c>
      <c r="N106" s="92" t="str">
        <f t="shared" si="995"/>
        <v>-</v>
      </c>
      <c r="O106" s="91" t="str">
        <f t="shared" si="995"/>
        <v>-</v>
      </c>
      <c r="P106" s="93" t="str">
        <f t="shared" si="995"/>
        <v>-</v>
      </c>
      <c r="Q106" s="92" t="str">
        <f t="shared" si="995"/>
        <v>-</v>
      </c>
      <c r="R106" s="91" t="str">
        <f t="shared" si="995"/>
        <v>-</v>
      </c>
      <c r="S106" s="93" t="str">
        <f t="shared" si="995"/>
        <v>-</v>
      </c>
      <c r="T106" s="92" t="str">
        <f t="shared" si="995"/>
        <v>-</v>
      </c>
      <c r="U106" s="91" t="str">
        <f t="shared" si="995"/>
        <v>-</v>
      </c>
      <c r="V106" s="93" t="str">
        <f t="shared" si="995"/>
        <v>-</v>
      </c>
      <c r="W106" s="92" t="str">
        <f t="shared" si="995"/>
        <v>-</v>
      </c>
      <c r="X106" s="91" t="str">
        <f t="shared" si="995"/>
        <v>-</v>
      </c>
      <c r="Y106" s="93" t="str">
        <f t="shared" si="995"/>
        <v>-</v>
      </c>
      <c r="Z106" s="92" t="str">
        <f t="shared" si="995"/>
        <v>-</v>
      </c>
      <c r="AA106" s="91" t="str">
        <f t="shared" si="995"/>
        <v>-</v>
      </c>
      <c r="AB106" s="93" t="str">
        <f t="shared" si="995"/>
        <v>-</v>
      </c>
      <c r="AC106" s="92" t="str">
        <f t="shared" si="995"/>
        <v>-</v>
      </c>
      <c r="AD106" s="91" t="str">
        <f t="shared" si="995"/>
        <v>-</v>
      </c>
      <c r="AE106" s="93" t="str">
        <f t="shared" si="995"/>
        <v>-</v>
      </c>
      <c r="AF106" s="92" t="str">
        <f t="shared" si="995"/>
        <v>-</v>
      </c>
      <c r="AG106" s="91" t="str">
        <f t="shared" si="995"/>
        <v>-</v>
      </c>
      <c r="AH106" s="93" t="str">
        <f t="shared" si="995"/>
        <v>-</v>
      </c>
      <c r="AI106" s="92" t="str">
        <f t="shared" si="995"/>
        <v>-</v>
      </c>
      <c r="AJ106" s="91" t="str">
        <f t="shared" si="995"/>
        <v>-</v>
      </c>
      <c r="AK106" s="93" t="str">
        <f t="shared" ref="AK106:BP106" si="996">IFERROR(AK98/AK102,"-")</f>
        <v>-</v>
      </c>
      <c r="AL106" s="92" t="str">
        <f t="shared" si="996"/>
        <v>-</v>
      </c>
      <c r="AM106" s="91" t="str">
        <f t="shared" si="996"/>
        <v>-</v>
      </c>
      <c r="AN106" s="93" t="str">
        <f t="shared" si="996"/>
        <v>-</v>
      </c>
      <c r="AO106" s="92" t="str">
        <f t="shared" si="996"/>
        <v>-</v>
      </c>
      <c r="AP106" s="91" t="str">
        <f t="shared" si="996"/>
        <v>-</v>
      </c>
      <c r="AQ106" s="93" t="str">
        <f t="shared" si="996"/>
        <v>-</v>
      </c>
      <c r="AR106" s="433" t="str">
        <f t="shared" si="996"/>
        <v>-</v>
      </c>
      <c r="AS106" s="91" t="str">
        <f t="shared" si="996"/>
        <v>-</v>
      </c>
      <c r="AT106" s="184" t="str">
        <f t="shared" si="996"/>
        <v>-</v>
      </c>
      <c r="AU106" s="92" t="str">
        <f t="shared" si="996"/>
        <v>-</v>
      </c>
      <c r="AV106" s="91" t="str">
        <f t="shared" si="996"/>
        <v>-</v>
      </c>
      <c r="AW106" s="93" t="str">
        <f t="shared" si="996"/>
        <v>-</v>
      </c>
      <c r="AX106" s="92" t="str">
        <f t="shared" si="996"/>
        <v>-</v>
      </c>
      <c r="AY106" s="91" t="str">
        <f t="shared" si="996"/>
        <v>-</v>
      </c>
      <c r="AZ106" s="93" t="str">
        <f t="shared" si="996"/>
        <v>-</v>
      </c>
      <c r="BA106" s="92" t="str">
        <f t="shared" si="996"/>
        <v>-</v>
      </c>
      <c r="BB106" s="91" t="str">
        <f t="shared" si="996"/>
        <v>-</v>
      </c>
      <c r="BC106" s="93" t="str">
        <f t="shared" si="996"/>
        <v>-</v>
      </c>
      <c r="BD106" s="92" t="str">
        <f t="shared" si="996"/>
        <v>-</v>
      </c>
      <c r="BE106" s="91" t="str">
        <f t="shared" si="996"/>
        <v>-</v>
      </c>
      <c r="BF106" s="93" t="str">
        <f t="shared" si="996"/>
        <v>-</v>
      </c>
      <c r="BG106" s="92" t="str">
        <f t="shared" si="996"/>
        <v>-</v>
      </c>
      <c r="BH106" s="91" t="str">
        <f t="shared" si="996"/>
        <v>-</v>
      </c>
      <c r="BI106" s="93" t="str">
        <f t="shared" si="996"/>
        <v>-</v>
      </c>
      <c r="BJ106" s="92" t="str">
        <f t="shared" si="996"/>
        <v>-</v>
      </c>
      <c r="BK106" s="91" t="str">
        <f t="shared" si="996"/>
        <v>-</v>
      </c>
      <c r="BL106" s="93" t="str">
        <f t="shared" si="996"/>
        <v>-</v>
      </c>
      <c r="BM106" s="92" t="str">
        <f t="shared" si="996"/>
        <v>-</v>
      </c>
      <c r="BN106" s="91" t="str">
        <f t="shared" si="996"/>
        <v>-</v>
      </c>
      <c r="BO106" s="93" t="str">
        <f t="shared" si="996"/>
        <v>-</v>
      </c>
      <c r="BP106" s="92" t="str">
        <f t="shared" si="996"/>
        <v>-</v>
      </c>
      <c r="BQ106" s="91" t="str">
        <f t="shared" ref="BQ106:CV106" si="997">IFERROR(BQ98/BQ102,"-")</f>
        <v>-</v>
      </c>
      <c r="BR106" s="93" t="str">
        <f t="shared" si="997"/>
        <v>-</v>
      </c>
      <c r="BS106" s="92" t="str">
        <f t="shared" si="997"/>
        <v>-</v>
      </c>
      <c r="BT106" s="91" t="str">
        <f t="shared" si="997"/>
        <v>-</v>
      </c>
      <c r="BU106" s="93" t="str">
        <f t="shared" si="997"/>
        <v>-</v>
      </c>
      <c r="BV106" s="92" t="str">
        <f t="shared" si="997"/>
        <v>-</v>
      </c>
      <c r="BW106" s="91" t="str">
        <f t="shared" si="997"/>
        <v>-</v>
      </c>
      <c r="BX106" s="93" t="str">
        <f t="shared" si="997"/>
        <v>-</v>
      </c>
      <c r="BY106" s="92" t="str">
        <f t="shared" si="997"/>
        <v>-</v>
      </c>
      <c r="BZ106" s="91" t="str">
        <f t="shared" si="997"/>
        <v>-</v>
      </c>
      <c r="CA106" s="93" t="str">
        <f t="shared" si="997"/>
        <v>-</v>
      </c>
      <c r="CB106" s="92" t="str">
        <f t="shared" si="997"/>
        <v>-</v>
      </c>
      <c r="CC106" s="91" t="str">
        <f t="shared" si="997"/>
        <v>-</v>
      </c>
      <c r="CD106" s="93" t="str">
        <f t="shared" si="997"/>
        <v>-</v>
      </c>
      <c r="CE106" s="433" t="str">
        <f t="shared" si="997"/>
        <v>-</v>
      </c>
      <c r="CF106" s="91" t="str">
        <f t="shared" si="997"/>
        <v>-</v>
      </c>
      <c r="CG106" s="184" t="str">
        <f t="shared" si="997"/>
        <v>-</v>
      </c>
      <c r="CH106" s="91" t="str">
        <f t="shared" si="997"/>
        <v>-</v>
      </c>
      <c r="CI106" s="91" t="str">
        <f t="shared" si="997"/>
        <v>-</v>
      </c>
      <c r="CJ106" s="93" t="str">
        <f t="shared" si="997"/>
        <v>-</v>
      </c>
      <c r="CK106" s="90" t="str">
        <f t="shared" si="997"/>
        <v>-</v>
      </c>
      <c r="CL106" s="91" t="str">
        <f t="shared" si="997"/>
        <v>-</v>
      </c>
      <c r="CM106" s="93" t="str">
        <f t="shared" si="997"/>
        <v>-</v>
      </c>
      <c r="CN106" s="90" t="str">
        <f t="shared" si="997"/>
        <v>-</v>
      </c>
      <c r="CO106" s="91" t="str">
        <f t="shared" si="997"/>
        <v>-</v>
      </c>
      <c r="CP106" s="93" t="str">
        <f t="shared" si="997"/>
        <v>-</v>
      </c>
      <c r="CQ106" s="90" t="str">
        <f t="shared" si="997"/>
        <v>-</v>
      </c>
      <c r="CR106" s="91" t="str">
        <f t="shared" si="997"/>
        <v>-</v>
      </c>
      <c r="CS106" s="93" t="str">
        <f t="shared" si="997"/>
        <v>-</v>
      </c>
      <c r="CT106" s="90" t="str">
        <f t="shared" si="997"/>
        <v>-</v>
      </c>
      <c r="CU106" s="91" t="str">
        <f t="shared" si="997"/>
        <v>-</v>
      </c>
      <c r="CV106" s="93" t="str">
        <f t="shared" si="997"/>
        <v>-</v>
      </c>
      <c r="CW106" s="90" t="str">
        <f t="shared" ref="CW106:DT106" si="998">IFERROR(CW98/CW102,"-")</f>
        <v>-</v>
      </c>
      <c r="CX106" s="91" t="str">
        <f t="shared" si="998"/>
        <v>-</v>
      </c>
      <c r="CY106" s="93" t="str">
        <f t="shared" si="998"/>
        <v>-</v>
      </c>
      <c r="CZ106" s="90" t="str">
        <f t="shared" si="998"/>
        <v>-</v>
      </c>
      <c r="DA106" s="91" t="str">
        <f t="shared" si="998"/>
        <v>-</v>
      </c>
      <c r="DB106" s="93" t="str">
        <f t="shared" si="998"/>
        <v>-</v>
      </c>
      <c r="DC106" s="90" t="str">
        <f t="shared" si="998"/>
        <v>-</v>
      </c>
      <c r="DD106" s="91" t="str">
        <f t="shared" si="998"/>
        <v>-</v>
      </c>
      <c r="DE106" s="93" t="str">
        <f t="shared" si="998"/>
        <v>-</v>
      </c>
      <c r="DF106" s="90" t="str">
        <f t="shared" si="998"/>
        <v>-</v>
      </c>
      <c r="DG106" s="91" t="str">
        <f t="shared" si="998"/>
        <v>-</v>
      </c>
      <c r="DH106" s="93" t="str">
        <f t="shared" si="998"/>
        <v>-</v>
      </c>
      <c r="DI106" s="90" t="str">
        <f t="shared" si="998"/>
        <v>-</v>
      </c>
      <c r="DJ106" s="91" t="str">
        <f t="shared" si="998"/>
        <v>-</v>
      </c>
      <c r="DK106" s="93" t="str">
        <f t="shared" si="998"/>
        <v>-</v>
      </c>
      <c r="DL106" s="90" t="str">
        <f t="shared" si="998"/>
        <v>-</v>
      </c>
      <c r="DM106" s="91" t="str">
        <f t="shared" si="998"/>
        <v>-</v>
      </c>
      <c r="DN106" s="93" t="str">
        <f t="shared" si="998"/>
        <v>-</v>
      </c>
      <c r="DO106" s="90" t="str">
        <f t="shared" si="998"/>
        <v>-</v>
      </c>
      <c r="DP106" s="91" t="str">
        <f t="shared" si="998"/>
        <v>-</v>
      </c>
      <c r="DQ106" s="93" t="str">
        <f t="shared" si="998"/>
        <v>-</v>
      </c>
      <c r="DR106" s="433" t="str">
        <f t="shared" si="998"/>
        <v>-</v>
      </c>
      <c r="DS106" s="91" t="str">
        <f t="shared" si="998"/>
        <v>-</v>
      </c>
      <c r="DT106" s="184" t="str">
        <f t="shared" si="998"/>
        <v>-</v>
      </c>
    </row>
    <row r="107" spans="1:124" ht="14.25" customHeight="1">
      <c r="A107" s="23"/>
      <c r="B107" s="87"/>
      <c r="C107" s="88"/>
      <c r="D107" s="108" t="s">
        <v>67</v>
      </c>
      <c r="E107" s="433" t="str">
        <f t="shared" ref="E107:AJ107" si="999">IFERROR(E99/E103,"-")</f>
        <v>-</v>
      </c>
      <c r="F107" s="91" t="str">
        <f t="shared" si="999"/>
        <v>-</v>
      </c>
      <c r="G107" s="184" t="str">
        <f t="shared" si="999"/>
        <v>-</v>
      </c>
      <c r="H107" s="91" t="str">
        <f t="shared" si="999"/>
        <v>-</v>
      </c>
      <c r="I107" s="91" t="str">
        <f t="shared" si="999"/>
        <v>-</v>
      </c>
      <c r="J107" s="93" t="str">
        <f t="shared" si="999"/>
        <v>-</v>
      </c>
      <c r="K107" s="91" t="str">
        <f t="shared" si="999"/>
        <v>-</v>
      </c>
      <c r="L107" s="91" t="str">
        <f t="shared" si="999"/>
        <v>-</v>
      </c>
      <c r="M107" s="93" t="str">
        <f t="shared" si="999"/>
        <v>-</v>
      </c>
      <c r="N107" s="92" t="str">
        <f t="shared" si="999"/>
        <v>-</v>
      </c>
      <c r="O107" s="91" t="str">
        <f t="shared" si="999"/>
        <v>-</v>
      </c>
      <c r="P107" s="93" t="str">
        <f t="shared" si="999"/>
        <v>-</v>
      </c>
      <c r="Q107" s="92" t="str">
        <f t="shared" si="999"/>
        <v>-</v>
      </c>
      <c r="R107" s="91" t="str">
        <f t="shared" si="999"/>
        <v>-</v>
      </c>
      <c r="S107" s="93" t="str">
        <f t="shared" si="999"/>
        <v>-</v>
      </c>
      <c r="T107" s="92" t="str">
        <f t="shared" si="999"/>
        <v>-</v>
      </c>
      <c r="U107" s="91" t="str">
        <f t="shared" si="999"/>
        <v>-</v>
      </c>
      <c r="V107" s="93" t="str">
        <f t="shared" si="999"/>
        <v>-</v>
      </c>
      <c r="W107" s="92" t="str">
        <f t="shared" si="999"/>
        <v>-</v>
      </c>
      <c r="X107" s="91" t="str">
        <f t="shared" si="999"/>
        <v>-</v>
      </c>
      <c r="Y107" s="93" t="str">
        <f t="shared" si="999"/>
        <v>-</v>
      </c>
      <c r="Z107" s="92" t="str">
        <f t="shared" si="999"/>
        <v>-</v>
      </c>
      <c r="AA107" s="91" t="str">
        <f t="shared" si="999"/>
        <v>-</v>
      </c>
      <c r="AB107" s="93" t="str">
        <f t="shared" si="999"/>
        <v>-</v>
      </c>
      <c r="AC107" s="92" t="str">
        <f t="shared" si="999"/>
        <v>-</v>
      </c>
      <c r="AD107" s="91" t="str">
        <f t="shared" si="999"/>
        <v>-</v>
      </c>
      <c r="AE107" s="93" t="str">
        <f t="shared" si="999"/>
        <v>-</v>
      </c>
      <c r="AF107" s="92" t="str">
        <f t="shared" si="999"/>
        <v>-</v>
      </c>
      <c r="AG107" s="91" t="str">
        <f t="shared" si="999"/>
        <v>-</v>
      </c>
      <c r="AH107" s="93" t="str">
        <f t="shared" si="999"/>
        <v>-</v>
      </c>
      <c r="AI107" s="92" t="str">
        <f t="shared" si="999"/>
        <v>-</v>
      </c>
      <c r="AJ107" s="91" t="str">
        <f t="shared" si="999"/>
        <v>-</v>
      </c>
      <c r="AK107" s="93" t="str">
        <f t="shared" ref="AK107:BP107" si="1000">IFERROR(AK99/AK103,"-")</f>
        <v>-</v>
      </c>
      <c r="AL107" s="92" t="str">
        <f t="shared" si="1000"/>
        <v>-</v>
      </c>
      <c r="AM107" s="91" t="str">
        <f t="shared" si="1000"/>
        <v>-</v>
      </c>
      <c r="AN107" s="93" t="str">
        <f t="shared" si="1000"/>
        <v>-</v>
      </c>
      <c r="AO107" s="92" t="str">
        <f t="shared" si="1000"/>
        <v>-</v>
      </c>
      <c r="AP107" s="91" t="str">
        <f t="shared" si="1000"/>
        <v>-</v>
      </c>
      <c r="AQ107" s="93" t="str">
        <f t="shared" si="1000"/>
        <v>-</v>
      </c>
      <c r="AR107" s="433" t="str">
        <f t="shared" si="1000"/>
        <v>-</v>
      </c>
      <c r="AS107" s="91" t="str">
        <f t="shared" si="1000"/>
        <v>-</v>
      </c>
      <c r="AT107" s="184" t="str">
        <f t="shared" si="1000"/>
        <v>-</v>
      </c>
      <c r="AU107" s="92" t="str">
        <f t="shared" si="1000"/>
        <v>-</v>
      </c>
      <c r="AV107" s="91" t="str">
        <f t="shared" si="1000"/>
        <v>-</v>
      </c>
      <c r="AW107" s="93" t="str">
        <f t="shared" si="1000"/>
        <v>-</v>
      </c>
      <c r="AX107" s="92" t="str">
        <f t="shared" si="1000"/>
        <v>-</v>
      </c>
      <c r="AY107" s="91" t="str">
        <f t="shared" si="1000"/>
        <v>-</v>
      </c>
      <c r="AZ107" s="93" t="str">
        <f t="shared" si="1000"/>
        <v>-</v>
      </c>
      <c r="BA107" s="92" t="str">
        <f t="shared" si="1000"/>
        <v>-</v>
      </c>
      <c r="BB107" s="91" t="str">
        <f t="shared" si="1000"/>
        <v>-</v>
      </c>
      <c r="BC107" s="93" t="str">
        <f t="shared" si="1000"/>
        <v>-</v>
      </c>
      <c r="BD107" s="92" t="str">
        <f t="shared" si="1000"/>
        <v>-</v>
      </c>
      <c r="BE107" s="91" t="str">
        <f t="shared" si="1000"/>
        <v>-</v>
      </c>
      <c r="BF107" s="93" t="str">
        <f t="shared" si="1000"/>
        <v>-</v>
      </c>
      <c r="BG107" s="92" t="str">
        <f t="shared" si="1000"/>
        <v>-</v>
      </c>
      <c r="BH107" s="91" t="str">
        <f t="shared" si="1000"/>
        <v>-</v>
      </c>
      <c r="BI107" s="93" t="str">
        <f t="shared" si="1000"/>
        <v>-</v>
      </c>
      <c r="BJ107" s="92" t="str">
        <f t="shared" si="1000"/>
        <v>-</v>
      </c>
      <c r="BK107" s="91" t="str">
        <f t="shared" si="1000"/>
        <v>-</v>
      </c>
      <c r="BL107" s="93" t="str">
        <f t="shared" si="1000"/>
        <v>-</v>
      </c>
      <c r="BM107" s="92" t="str">
        <f t="shared" si="1000"/>
        <v>-</v>
      </c>
      <c r="BN107" s="91" t="str">
        <f t="shared" si="1000"/>
        <v>-</v>
      </c>
      <c r="BO107" s="93" t="str">
        <f t="shared" si="1000"/>
        <v>-</v>
      </c>
      <c r="BP107" s="92" t="str">
        <f t="shared" si="1000"/>
        <v>-</v>
      </c>
      <c r="BQ107" s="91" t="str">
        <f t="shared" ref="BQ107:CV107" si="1001">IFERROR(BQ99/BQ103,"-")</f>
        <v>-</v>
      </c>
      <c r="BR107" s="93" t="str">
        <f t="shared" si="1001"/>
        <v>-</v>
      </c>
      <c r="BS107" s="92" t="str">
        <f t="shared" si="1001"/>
        <v>-</v>
      </c>
      <c r="BT107" s="91" t="str">
        <f t="shared" si="1001"/>
        <v>-</v>
      </c>
      <c r="BU107" s="93" t="str">
        <f t="shared" si="1001"/>
        <v>-</v>
      </c>
      <c r="BV107" s="92" t="str">
        <f t="shared" si="1001"/>
        <v>-</v>
      </c>
      <c r="BW107" s="91" t="str">
        <f t="shared" si="1001"/>
        <v>-</v>
      </c>
      <c r="BX107" s="93" t="str">
        <f t="shared" si="1001"/>
        <v>-</v>
      </c>
      <c r="BY107" s="92" t="str">
        <f t="shared" si="1001"/>
        <v>-</v>
      </c>
      <c r="BZ107" s="91" t="str">
        <f t="shared" si="1001"/>
        <v>-</v>
      </c>
      <c r="CA107" s="93" t="str">
        <f t="shared" si="1001"/>
        <v>-</v>
      </c>
      <c r="CB107" s="92" t="str">
        <f t="shared" si="1001"/>
        <v>-</v>
      </c>
      <c r="CC107" s="91" t="str">
        <f t="shared" si="1001"/>
        <v>-</v>
      </c>
      <c r="CD107" s="93" t="str">
        <f t="shared" si="1001"/>
        <v>-</v>
      </c>
      <c r="CE107" s="433" t="str">
        <f t="shared" si="1001"/>
        <v>-</v>
      </c>
      <c r="CF107" s="91" t="str">
        <f t="shared" si="1001"/>
        <v>-</v>
      </c>
      <c r="CG107" s="184" t="str">
        <f t="shared" si="1001"/>
        <v>-</v>
      </c>
      <c r="CH107" s="91" t="str">
        <f t="shared" si="1001"/>
        <v>-</v>
      </c>
      <c r="CI107" s="91" t="str">
        <f t="shared" si="1001"/>
        <v>-</v>
      </c>
      <c r="CJ107" s="93" t="str">
        <f t="shared" si="1001"/>
        <v>-</v>
      </c>
      <c r="CK107" s="90" t="str">
        <f t="shared" si="1001"/>
        <v>-</v>
      </c>
      <c r="CL107" s="91" t="str">
        <f t="shared" si="1001"/>
        <v>-</v>
      </c>
      <c r="CM107" s="93" t="str">
        <f t="shared" si="1001"/>
        <v>-</v>
      </c>
      <c r="CN107" s="90" t="str">
        <f t="shared" si="1001"/>
        <v>-</v>
      </c>
      <c r="CO107" s="91" t="str">
        <f t="shared" si="1001"/>
        <v>-</v>
      </c>
      <c r="CP107" s="93" t="str">
        <f t="shared" si="1001"/>
        <v>-</v>
      </c>
      <c r="CQ107" s="90" t="str">
        <f t="shared" si="1001"/>
        <v>-</v>
      </c>
      <c r="CR107" s="91" t="str">
        <f t="shared" si="1001"/>
        <v>-</v>
      </c>
      <c r="CS107" s="93" t="str">
        <f t="shared" si="1001"/>
        <v>-</v>
      </c>
      <c r="CT107" s="90" t="str">
        <f t="shared" si="1001"/>
        <v>-</v>
      </c>
      <c r="CU107" s="91" t="str">
        <f t="shared" si="1001"/>
        <v>-</v>
      </c>
      <c r="CV107" s="93" t="str">
        <f t="shared" si="1001"/>
        <v>-</v>
      </c>
      <c r="CW107" s="90" t="str">
        <f t="shared" ref="CW107:DT107" si="1002">IFERROR(CW99/CW103,"-")</f>
        <v>-</v>
      </c>
      <c r="CX107" s="91" t="str">
        <f t="shared" si="1002"/>
        <v>-</v>
      </c>
      <c r="CY107" s="93" t="str">
        <f t="shared" si="1002"/>
        <v>-</v>
      </c>
      <c r="CZ107" s="90" t="str">
        <f t="shared" si="1002"/>
        <v>-</v>
      </c>
      <c r="DA107" s="91" t="str">
        <f t="shared" si="1002"/>
        <v>-</v>
      </c>
      <c r="DB107" s="93" t="str">
        <f t="shared" si="1002"/>
        <v>-</v>
      </c>
      <c r="DC107" s="90" t="str">
        <f t="shared" si="1002"/>
        <v>-</v>
      </c>
      <c r="DD107" s="91" t="str">
        <f t="shared" si="1002"/>
        <v>-</v>
      </c>
      <c r="DE107" s="93" t="str">
        <f t="shared" si="1002"/>
        <v>-</v>
      </c>
      <c r="DF107" s="90" t="str">
        <f t="shared" si="1002"/>
        <v>-</v>
      </c>
      <c r="DG107" s="91" t="str">
        <f t="shared" si="1002"/>
        <v>-</v>
      </c>
      <c r="DH107" s="93" t="str">
        <f t="shared" si="1002"/>
        <v>-</v>
      </c>
      <c r="DI107" s="90" t="str">
        <f t="shared" si="1002"/>
        <v>-</v>
      </c>
      <c r="DJ107" s="91" t="str">
        <f t="shared" si="1002"/>
        <v>-</v>
      </c>
      <c r="DK107" s="93" t="str">
        <f t="shared" si="1002"/>
        <v>-</v>
      </c>
      <c r="DL107" s="90" t="str">
        <f t="shared" si="1002"/>
        <v>-</v>
      </c>
      <c r="DM107" s="91" t="str">
        <f t="shared" si="1002"/>
        <v>-</v>
      </c>
      <c r="DN107" s="93" t="str">
        <f t="shared" si="1002"/>
        <v>-</v>
      </c>
      <c r="DO107" s="90" t="str">
        <f t="shared" si="1002"/>
        <v>-</v>
      </c>
      <c r="DP107" s="91" t="str">
        <f t="shared" si="1002"/>
        <v>-</v>
      </c>
      <c r="DQ107" s="93" t="str">
        <f t="shared" si="1002"/>
        <v>-</v>
      </c>
      <c r="DR107" s="433" t="str">
        <f t="shared" si="1002"/>
        <v>-</v>
      </c>
      <c r="DS107" s="91" t="str">
        <f t="shared" si="1002"/>
        <v>-</v>
      </c>
      <c r="DT107" s="184" t="str">
        <f t="shared" si="1002"/>
        <v>-</v>
      </c>
    </row>
    <row r="108" spans="1:124" ht="14.25" customHeight="1">
      <c r="A108" s="23"/>
      <c r="B108" s="87"/>
      <c r="C108" s="88"/>
      <c r="D108" s="99"/>
      <c r="E108" s="433"/>
      <c r="F108" s="91"/>
      <c r="G108" s="184"/>
      <c r="H108" s="91"/>
      <c r="I108" s="91"/>
      <c r="J108" s="93"/>
      <c r="K108" s="91"/>
      <c r="L108" s="91"/>
      <c r="M108" s="93"/>
      <c r="N108" s="91"/>
      <c r="O108" s="91"/>
      <c r="P108" s="93"/>
      <c r="Q108" s="91"/>
      <c r="R108" s="91"/>
      <c r="S108" s="93"/>
      <c r="T108" s="91"/>
      <c r="U108" s="91"/>
      <c r="V108" s="93"/>
      <c r="W108" s="91"/>
      <c r="X108" s="91"/>
      <c r="Y108" s="93"/>
      <c r="Z108" s="91"/>
      <c r="AA108" s="91"/>
      <c r="AB108" s="93"/>
      <c r="AC108" s="91"/>
      <c r="AD108" s="91"/>
      <c r="AE108" s="93"/>
      <c r="AF108" s="91"/>
      <c r="AG108" s="91"/>
      <c r="AH108" s="93"/>
      <c r="AI108" s="91"/>
      <c r="AJ108" s="91"/>
      <c r="AK108" s="93"/>
      <c r="AL108" s="91"/>
      <c r="AM108" s="91"/>
      <c r="AN108" s="93"/>
      <c r="AO108" s="91"/>
      <c r="AP108" s="91"/>
      <c r="AQ108" s="93"/>
      <c r="AR108" s="433"/>
      <c r="AS108" s="91"/>
      <c r="AT108" s="184"/>
      <c r="AU108" s="91"/>
      <c r="AV108" s="91"/>
      <c r="AW108" s="93"/>
      <c r="AX108" s="91"/>
      <c r="AY108" s="91"/>
      <c r="AZ108" s="93"/>
      <c r="BA108" s="91"/>
      <c r="BB108" s="91"/>
      <c r="BC108" s="93"/>
      <c r="BD108" s="91"/>
      <c r="BE108" s="91"/>
      <c r="BF108" s="93"/>
      <c r="BG108" s="91"/>
      <c r="BH108" s="91"/>
      <c r="BI108" s="93"/>
      <c r="BJ108" s="91"/>
      <c r="BK108" s="91"/>
      <c r="BL108" s="93"/>
      <c r="BM108" s="91"/>
      <c r="BN108" s="91"/>
      <c r="BO108" s="93"/>
      <c r="BP108" s="91"/>
      <c r="BQ108" s="91"/>
      <c r="BR108" s="93"/>
      <c r="BS108" s="91"/>
      <c r="BT108" s="91"/>
      <c r="BU108" s="93"/>
      <c r="BV108" s="91"/>
      <c r="BW108" s="91"/>
      <c r="BX108" s="93"/>
      <c r="BY108" s="91"/>
      <c r="BZ108" s="91"/>
      <c r="CA108" s="93"/>
      <c r="CB108" s="91"/>
      <c r="CC108" s="91"/>
      <c r="CD108" s="93"/>
      <c r="CE108" s="433"/>
      <c r="CF108" s="91"/>
      <c r="CG108" s="184"/>
      <c r="CH108" s="91"/>
      <c r="CI108" s="91"/>
      <c r="CJ108" s="93"/>
      <c r="CK108" s="90"/>
      <c r="CL108" s="91"/>
      <c r="CM108" s="93"/>
      <c r="CN108" s="90"/>
      <c r="CO108" s="91"/>
      <c r="CP108" s="93"/>
      <c r="CQ108" s="90"/>
      <c r="CR108" s="91"/>
      <c r="CS108" s="93"/>
      <c r="CT108" s="90"/>
      <c r="CU108" s="91"/>
      <c r="CV108" s="93"/>
      <c r="CW108" s="90"/>
      <c r="CX108" s="91"/>
      <c r="CY108" s="93"/>
      <c r="CZ108" s="90"/>
      <c r="DA108" s="91"/>
      <c r="DB108" s="93"/>
      <c r="DC108" s="90"/>
      <c r="DD108" s="91"/>
      <c r="DE108" s="93"/>
      <c r="DF108" s="90"/>
      <c r="DG108" s="91"/>
      <c r="DH108" s="93"/>
      <c r="DI108" s="90"/>
      <c r="DJ108" s="91"/>
      <c r="DK108" s="93"/>
      <c r="DL108" s="90"/>
      <c r="DM108" s="91"/>
      <c r="DN108" s="93"/>
      <c r="DO108" s="90"/>
      <c r="DP108" s="91"/>
      <c r="DQ108" s="93"/>
      <c r="DR108" s="433"/>
      <c r="DS108" s="91"/>
      <c r="DT108" s="184"/>
    </row>
    <row r="109" spans="1:124" ht="14.25" customHeight="1">
      <c r="A109" s="23"/>
      <c r="B109" s="100" t="s">
        <v>257</v>
      </c>
      <c r="C109" s="101" t="s">
        <v>2</v>
      </c>
      <c r="D109" s="102" t="s">
        <v>258</v>
      </c>
      <c r="E109" s="435">
        <f t="shared" ref="E109:BP109" si="1003">SUM(E110:E111)</f>
        <v>0</v>
      </c>
      <c r="F109" s="107">
        <f t="shared" si="1003"/>
        <v>0</v>
      </c>
      <c r="G109" s="183">
        <f t="shared" si="1003"/>
        <v>0</v>
      </c>
      <c r="H109" s="107">
        <f t="shared" si="1003"/>
        <v>0</v>
      </c>
      <c r="I109" s="107">
        <f t="shared" si="1003"/>
        <v>0</v>
      </c>
      <c r="J109" s="547">
        <f t="shared" si="1003"/>
        <v>0</v>
      </c>
      <c r="K109" s="107">
        <f t="shared" si="1003"/>
        <v>0</v>
      </c>
      <c r="L109" s="107">
        <f t="shared" si="1003"/>
        <v>0</v>
      </c>
      <c r="M109" s="547">
        <f t="shared" si="1003"/>
        <v>0</v>
      </c>
      <c r="N109" s="106">
        <f t="shared" si="1003"/>
        <v>0</v>
      </c>
      <c r="O109" s="107">
        <f t="shared" si="1003"/>
        <v>0</v>
      </c>
      <c r="P109" s="547">
        <f t="shared" si="1003"/>
        <v>0</v>
      </c>
      <c r="Q109" s="106">
        <f t="shared" si="1003"/>
        <v>0</v>
      </c>
      <c r="R109" s="107">
        <f t="shared" si="1003"/>
        <v>0</v>
      </c>
      <c r="S109" s="547">
        <f t="shared" si="1003"/>
        <v>0</v>
      </c>
      <c r="T109" s="106">
        <f t="shared" si="1003"/>
        <v>0</v>
      </c>
      <c r="U109" s="107">
        <f t="shared" si="1003"/>
        <v>0</v>
      </c>
      <c r="V109" s="547">
        <f t="shared" si="1003"/>
        <v>0</v>
      </c>
      <c r="W109" s="106">
        <f t="shared" si="1003"/>
        <v>0</v>
      </c>
      <c r="X109" s="107">
        <f t="shared" si="1003"/>
        <v>0</v>
      </c>
      <c r="Y109" s="547">
        <f t="shared" si="1003"/>
        <v>0</v>
      </c>
      <c r="Z109" s="106">
        <f t="shared" si="1003"/>
        <v>0</v>
      </c>
      <c r="AA109" s="107">
        <f t="shared" si="1003"/>
        <v>0</v>
      </c>
      <c r="AB109" s="547">
        <f t="shared" si="1003"/>
        <v>0</v>
      </c>
      <c r="AC109" s="106">
        <f t="shared" si="1003"/>
        <v>0</v>
      </c>
      <c r="AD109" s="107">
        <f t="shared" si="1003"/>
        <v>0</v>
      </c>
      <c r="AE109" s="547">
        <f t="shared" si="1003"/>
        <v>0</v>
      </c>
      <c r="AF109" s="106">
        <f t="shared" si="1003"/>
        <v>0</v>
      </c>
      <c r="AG109" s="107">
        <f t="shared" si="1003"/>
        <v>0</v>
      </c>
      <c r="AH109" s="547">
        <f t="shared" si="1003"/>
        <v>0</v>
      </c>
      <c r="AI109" s="106">
        <f t="shared" si="1003"/>
        <v>0</v>
      </c>
      <c r="AJ109" s="107">
        <f t="shared" si="1003"/>
        <v>0</v>
      </c>
      <c r="AK109" s="547">
        <f t="shared" si="1003"/>
        <v>0</v>
      </c>
      <c r="AL109" s="106">
        <f t="shared" si="1003"/>
        <v>0</v>
      </c>
      <c r="AM109" s="107">
        <f t="shared" si="1003"/>
        <v>0</v>
      </c>
      <c r="AN109" s="547">
        <f t="shared" si="1003"/>
        <v>0</v>
      </c>
      <c r="AO109" s="106">
        <f t="shared" si="1003"/>
        <v>0</v>
      </c>
      <c r="AP109" s="107">
        <f t="shared" si="1003"/>
        <v>0</v>
      </c>
      <c r="AQ109" s="547">
        <f t="shared" si="1003"/>
        <v>0</v>
      </c>
      <c r="AR109" s="435">
        <f t="shared" si="1003"/>
        <v>0</v>
      </c>
      <c r="AS109" s="107">
        <f t="shared" si="1003"/>
        <v>0</v>
      </c>
      <c r="AT109" s="183">
        <f t="shared" si="1003"/>
        <v>0</v>
      </c>
      <c r="AU109" s="106">
        <f t="shared" si="1003"/>
        <v>0</v>
      </c>
      <c r="AV109" s="107">
        <f t="shared" si="1003"/>
        <v>0</v>
      </c>
      <c r="AW109" s="547">
        <f t="shared" si="1003"/>
        <v>0</v>
      </c>
      <c r="AX109" s="106">
        <f t="shared" si="1003"/>
        <v>0</v>
      </c>
      <c r="AY109" s="107">
        <f t="shared" si="1003"/>
        <v>0</v>
      </c>
      <c r="AZ109" s="547">
        <f t="shared" si="1003"/>
        <v>0</v>
      </c>
      <c r="BA109" s="106">
        <f t="shared" si="1003"/>
        <v>0</v>
      </c>
      <c r="BB109" s="107">
        <f t="shared" si="1003"/>
        <v>0</v>
      </c>
      <c r="BC109" s="547">
        <f t="shared" si="1003"/>
        <v>0</v>
      </c>
      <c r="BD109" s="106">
        <f t="shared" si="1003"/>
        <v>0</v>
      </c>
      <c r="BE109" s="107">
        <f t="shared" si="1003"/>
        <v>0</v>
      </c>
      <c r="BF109" s="547">
        <f t="shared" si="1003"/>
        <v>0</v>
      </c>
      <c r="BG109" s="106">
        <f t="shared" si="1003"/>
        <v>0</v>
      </c>
      <c r="BH109" s="107">
        <f t="shared" si="1003"/>
        <v>0</v>
      </c>
      <c r="BI109" s="547">
        <f t="shared" si="1003"/>
        <v>0</v>
      </c>
      <c r="BJ109" s="106">
        <f t="shared" si="1003"/>
        <v>0</v>
      </c>
      <c r="BK109" s="107">
        <f t="shared" si="1003"/>
        <v>0</v>
      </c>
      <c r="BL109" s="547">
        <f t="shared" si="1003"/>
        <v>0</v>
      </c>
      <c r="BM109" s="106">
        <f t="shared" si="1003"/>
        <v>0</v>
      </c>
      <c r="BN109" s="107">
        <f t="shared" si="1003"/>
        <v>0</v>
      </c>
      <c r="BO109" s="547">
        <f t="shared" si="1003"/>
        <v>0</v>
      </c>
      <c r="BP109" s="106">
        <f t="shared" si="1003"/>
        <v>0</v>
      </c>
      <c r="BQ109" s="107">
        <f t="shared" ref="BQ109:DT109" si="1004">SUM(BQ110:BQ111)</f>
        <v>0</v>
      </c>
      <c r="BR109" s="547">
        <f t="shared" si="1004"/>
        <v>0</v>
      </c>
      <c r="BS109" s="106">
        <f t="shared" si="1004"/>
        <v>0</v>
      </c>
      <c r="BT109" s="107">
        <f t="shared" si="1004"/>
        <v>0</v>
      </c>
      <c r="BU109" s="547">
        <f t="shared" si="1004"/>
        <v>0</v>
      </c>
      <c r="BV109" s="106">
        <f t="shared" si="1004"/>
        <v>0</v>
      </c>
      <c r="BW109" s="107">
        <f t="shared" si="1004"/>
        <v>0</v>
      </c>
      <c r="BX109" s="547">
        <f t="shared" si="1004"/>
        <v>0</v>
      </c>
      <c r="BY109" s="106">
        <f t="shared" si="1004"/>
        <v>0</v>
      </c>
      <c r="BZ109" s="107">
        <f t="shared" si="1004"/>
        <v>0</v>
      </c>
      <c r="CA109" s="547">
        <f t="shared" si="1004"/>
        <v>0</v>
      </c>
      <c r="CB109" s="106">
        <f t="shared" si="1004"/>
        <v>0</v>
      </c>
      <c r="CC109" s="107">
        <f t="shared" si="1004"/>
        <v>0</v>
      </c>
      <c r="CD109" s="547">
        <f t="shared" si="1004"/>
        <v>0</v>
      </c>
      <c r="CE109" s="435">
        <f t="shared" si="1004"/>
        <v>0</v>
      </c>
      <c r="CF109" s="107">
        <f t="shared" si="1004"/>
        <v>0</v>
      </c>
      <c r="CG109" s="183">
        <f t="shared" si="1004"/>
        <v>0</v>
      </c>
      <c r="CH109" s="107">
        <f t="shared" si="1004"/>
        <v>0</v>
      </c>
      <c r="CI109" s="107">
        <f t="shared" si="1004"/>
        <v>0</v>
      </c>
      <c r="CJ109" s="547">
        <f t="shared" si="1004"/>
        <v>0</v>
      </c>
      <c r="CK109" s="106">
        <f t="shared" si="1004"/>
        <v>0</v>
      </c>
      <c r="CL109" s="107">
        <f t="shared" si="1004"/>
        <v>0</v>
      </c>
      <c r="CM109" s="547">
        <f t="shared" si="1004"/>
        <v>0</v>
      </c>
      <c r="CN109" s="106">
        <f t="shared" si="1004"/>
        <v>0</v>
      </c>
      <c r="CO109" s="107">
        <f t="shared" si="1004"/>
        <v>0</v>
      </c>
      <c r="CP109" s="547">
        <f t="shared" si="1004"/>
        <v>0</v>
      </c>
      <c r="CQ109" s="106">
        <f t="shared" si="1004"/>
        <v>0</v>
      </c>
      <c r="CR109" s="107">
        <f t="shared" si="1004"/>
        <v>0</v>
      </c>
      <c r="CS109" s="547">
        <f t="shared" si="1004"/>
        <v>0</v>
      </c>
      <c r="CT109" s="106">
        <f t="shared" si="1004"/>
        <v>0</v>
      </c>
      <c r="CU109" s="107">
        <f t="shared" si="1004"/>
        <v>0</v>
      </c>
      <c r="CV109" s="547">
        <f t="shared" si="1004"/>
        <v>0</v>
      </c>
      <c r="CW109" s="106">
        <f t="shared" si="1004"/>
        <v>0</v>
      </c>
      <c r="CX109" s="107">
        <f t="shared" si="1004"/>
        <v>0</v>
      </c>
      <c r="CY109" s="547">
        <f t="shared" si="1004"/>
        <v>0</v>
      </c>
      <c r="CZ109" s="106">
        <f t="shared" si="1004"/>
        <v>0</v>
      </c>
      <c r="DA109" s="107">
        <f t="shared" si="1004"/>
        <v>0</v>
      </c>
      <c r="DB109" s="547">
        <f t="shared" si="1004"/>
        <v>0</v>
      </c>
      <c r="DC109" s="106">
        <f t="shared" si="1004"/>
        <v>0</v>
      </c>
      <c r="DD109" s="107">
        <f t="shared" si="1004"/>
        <v>0</v>
      </c>
      <c r="DE109" s="547">
        <f t="shared" si="1004"/>
        <v>0</v>
      </c>
      <c r="DF109" s="106">
        <f t="shared" si="1004"/>
        <v>0</v>
      </c>
      <c r="DG109" s="107">
        <f t="shared" si="1004"/>
        <v>0</v>
      </c>
      <c r="DH109" s="547">
        <f t="shared" si="1004"/>
        <v>0</v>
      </c>
      <c r="DI109" s="106">
        <f t="shared" si="1004"/>
        <v>0</v>
      </c>
      <c r="DJ109" s="107">
        <f t="shared" si="1004"/>
        <v>0</v>
      </c>
      <c r="DK109" s="547">
        <f t="shared" si="1004"/>
        <v>0</v>
      </c>
      <c r="DL109" s="106">
        <f t="shared" si="1004"/>
        <v>0</v>
      </c>
      <c r="DM109" s="107">
        <f t="shared" si="1004"/>
        <v>0</v>
      </c>
      <c r="DN109" s="547">
        <f t="shared" si="1004"/>
        <v>0</v>
      </c>
      <c r="DO109" s="106">
        <f t="shared" si="1004"/>
        <v>0</v>
      </c>
      <c r="DP109" s="107">
        <f t="shared" si="1004"/>
        <v>0</v>
      </c>
      <c r="DQ109" s="547">
        <f t="shared" si="1004"/>
        <v>0</v>
      </c>
      <c r="DR109" s="435">
        <f t="shared" si="1004"/>
        <v>0</v>
      </c>
      <c r="DS109" s="107">
        <f t="shared" si="1004"/>
        <v>0</v>
      </c>
      <c r="DT109" s="183">
        <f t="shared" si="1004"/>
        <v>0</v>
      </c>
    </row>
    <row r="110" spans="1:124" ht="14.25" customHeight="1">
      <c r="A110" s="23"/>
      <c r="B110" s="87"/>
      <c r="C110" s="88"/>
      <c r="D110" s="108" t="s">
        <v>261</v>
      </c>
      <c r="E110" s="433"/>
      <c r="F110" s="91"/>
      <c r="G110" s="184">
        <f>SUM(E110:F110)</f>
        <v>0</v>
      </c>
      <c r="H110" s="433"/>
      <c r="I110" s="91"/>
      <c r="J110" s="184">
        <f t="shared" ref="J110:J112" si="1005">SUM(H110:I110)</f>
        <v>0</v>
      </c>
      <c r="K110" s="433"/>
      <c r="L110" s="91"/>
      <c r="M110" s="184">
        <f t="shared" ref="M110:M112" si="1006">SUM(K110:L110)</f>
        <v>0</v>
      </c>
      <c r="N110" s="433"/>
      <c r="O110" s="91"/>
      <c r="P110" s="184">
        <f t="shared" ref="P110:P112" si="1007">SUM(N110:O110)</f>
        <v>0</v>
      </c>
      <c r="Q110" s="433"/>
      <c r="R110" s="91"/>
      <c r="S110" s="184">
        <f t="shared" ref="S110:S112" si="1008">SUM(Q110:R110)</f>
        <v>0</v>
      </c>
      <c r="T110" s="433"/>
      <c r="U110" s="91"/>
      <c r="V110" s="184">
        <f t="shared" ref="V110:V112" si="1009">SUM(T110:U110)</f>
        <v>0</v>
      </c>
      <c r="W110" s="433"/>
      <c r="X110" s="91"/>
      <c r="Y110" s="184">
        <f t="shared" ref="Y110:Y112" si="1010">SUM(W110:X110)</f>
        <v>0</v>
      </c>
      <c r="Z110" s="433"/>
      <c r="AA110" s="91"/>
      <c r="AB110" s="184">
        <f t="shared" ref="AB110:AB112" si="1011">SUM(Z110:AA110)</f>
        <v>0</v>
      </c>
      <c r="AC110" s="433"/>
      <c r="AD110" s="91"/>
      <c r="AE110" s="184">
        <f t="shared" ref="AE110:AE112" si="1012">SUM(AC110:AD110)</f>
        <v>0</v>
      </c>
      <c r="AF110" s="433"/>
      <c r="AG110" s="91"/>
      <c r="AH110" s="184">
        <f t="shared" ref="AH110:AH112" si="1013">SUM(AF110:AG110)</f>
        <v>0</v>
      </c>
      <c r="AI110" s="433"/>
      <c r="AJ110" s="91"/>
      <c r="AK110" s="184">
        <f t="shared" ref="AK110:AK112" si="1014">SUM(AI110:AJ110)</f>
        <v>0</v>
      </c>
      <c r="AL110" s="433"/>
      <c r="AM110" s="91"/>
      <c r="AN110" s="184">
        <f t="shared" ref="AN110:AN112" si="1015">SUM(AL110:AM110)</f>
        <v>0</v>
      </c>
      <c r="AO110" s="433"/>
      <c r="AP110" s="91"/>
      <c r="AQ110" s="184">
        <f t="shared" ref="AQ110:AQ112" si="1016">SUM(AO110:AP110)</f>
        <v>0</v>
      </c>
      <c r="AR110" s="433">
        <f t="shared" ref="AR110:AR111" si="1017">AO110+AL110+AI110+AF110+AC110+Z110+W110+T110+Q110+N110+K110+H110</f>
        <v>0</v>
      </c>
      <c r="AS110" s="91">
        <f t="shared" ref="AS110:AS111" si="1018">AP110+AM110+AJ110+AG110+AD110+AA110+X110+U110+R110+O110+L110+I110</f>
        <v>0</v>
      </c>
      <c r="AT110" s="184">
        <f>SUM(AR110:AS110)</f>
        <v>0</v>
      </c>
      <c r="AU110" s="433"/>
      <c r="AV110" s="91"/>
      <c r="AW110" s="184">
        <f t="shared" ref="AW110:AW112" si="1019">SUM(AU110:AV110)</f>
        <v>0</v>
      </c>
      <c r="AX110" s="433"/>
      <c r="AY110" s="91"/>
      <c r="AZ110" s="184">
        <f t="shared" ref="AZ110:AZ112" si="1020">SUM(AX110:AY110)</f>
        <v>0</v>
      </c>
      <c r="BA110" s="433"/>
      <c r="BB110" s="91"/>
      <c r="BC110" s="184">
        <f t="shared" ref="BC110:BC112" si="1021">SUM(BA110:BB110)</f>
        <v>0</v>
      </c>
      <c r="BD110" s="433"/>
      <c r="BE110" s="91"/>
      <c r="BF110" s="184">
        <f t="shared" ref="BF110:BF112" si="1022">SUM(BD110:BE110)</f>
        <v>0</v>
      </c>
      <c r="BG110" s="433"/>
      <c r="BH110" s="91"/>
      <c r="BI110" s="184">
        <f t="shared" ref="BI110:BI112" si="1023">SUM(BG110:BH110)</f>
        <v>0</v>
      </c>
      <c r="BJ110" s="433"/>
      <c r="BK110" s="91"/>
      <c r="BL110" s="184">
        <f t="shared" ref="BL110:BL112" si="1024">SUM(BJ110:BK110)</f>
        <v>0</v>
      </c>
      <c r="BM110" s="433"/>
      <c r="BN110" s="91"/>
      <c r="BO110" s="184">
        <f t="shared" ref="BO110:BO112" si="1025">SUM(BM110:BN110)</f>
        <v>0</v>
      </c>
      <c r="BP110" s="433"/>
      <c r="BQ110" s="91"/>
      <c r="BR110" s="184">
        <f t="shared" ref="BR110:BR112" si="1026">SUM(BP110:BQ110)</f>
        <v>0</v>
      </c>
      <c r="BS110" s="433"/>
      <c r="BT110" s="91"/>
      <c r="BU110" s="184">
        <f t="shared" ref="BU110:BU112" si="1027">SUM(BS110:BT110)</f>
        <v>0</v>
      </c>
      <c r="BV110" s="433"/>
      <c r="BW110" s="91"/>
      <c r="BX110" s="184">
        <f t="shared" ref="BX110:BX112" si="1028">SUM(BV110:BW110)</f>
        <v>0</v>
      </c>
      <c r="BY110" s="433"/>
      <c r="BZ110" s="91"/>
      <c r="CA110" s="184">
        <f t="shared" ref="CA110:CA112" si="1029">SUM(BY110:BZ110)</f>
        <v>0</v>
      </c>
      <c r="CB110" s="433"/>
      <c r="CC110" s="91"/>
      <c r="CD110" s="184">
        <f t="shared" ref="CD110:CD112" si="1030">SUM(CB110:CC110)</f>
        <v>0</v>
      </c>
      <c r="CE110" s="433">
        <f t="shared" ref="CE110:CE111" si="1031">CB110+BY110+BV110+BS110+BP110+BM110+BJ110+BG110+BD110+BA110+AX110+AU110</f>
        <v>0</v>
      </c>
      <c r="CF110" s="91">
        <f t="shared" ref="CF110:CF111" si="1032">CC110+BZ110+BW110+BT110+BQ110+BN110+BK110+BH110+BE110+BB110+AY110+AV110</f>
        <v>0</v>
      </c>
      <c r="CG110" s="184">
        <f>SUM(CE110:CF110)</f>
        <v>0</v>
      </c>
      <c r="CH110" s="433"/>
      <c r="CI110" s="91"/>
      <c r="CJ110" s="184">
        <f t="shared" ref="CJ110:CJ112" si="1033">SUM(CH110:CI110)</f>
        <v>0</v>
      </c>
      <c r="CK110" s="433"/>
      <c r="CL110" s="91"/>
      <c r="CM110" s="184">
        <f t="shared" ref="CM110:CM112" si="1034">SUM(CK110:CL110)</f>
        <v>0</v>
      </c>
      <c r="CN110" s="433"/>
      <c r="CO110" s="91"/>
      <c r="CP110" s="184">
        <f t="shared" ref="CP110:CP112" si="1035">SUM(CN110:CO110)</f>
        <v>0</v>
      </c>
      <c r="CQ110" s="433"/>
      <c r="CR110" s="91"/>
      <c r="CS110" s="184">
        <f t="shared" ref="CS110:CS112" si="1036">SUM(CQ110:CR110)</f>
        <v>0</v>
      </c>
      <c r="CT110" s="433"/>
      <c r="CU110" s="91"/>
      <c r="CV110" s="184">
        <f t="shared" ref="CV110:CV112" si="1037">SUM(CT110:CU110)</f>
        <v>0</v>
      </c>
      <c r="CW110" s="433"/>
      <c r="CX110" s="91"/>
      <c r="CY110" s="184">
        <f t="shared" ref="CY110:CY112" si="1038">SUM(CW110:CX110)</f>
        <v>0</v>
      </c>
      <c r="CZ110" s="433"/>
      <c r="DA110" s="91"/>
      <c r="DB110" s="184">
        <f t="shared" ref="DB110:DB112" si="1039">SUM(CZ110:DA110)</f>
        <v>0</v>
      </c>
      <c r="DC110" s="433"/>
      <c r="DD110" s="91"/>
      <c r="DE110" s="184">
        <f t="shared" ref="DE110:DE112" si="1040">SUM(DC110:DD110)</f>
        <v>0</v>
      </c>
      <c r="DF110" s="433"/>
      <c r="DG110" s="91"/>
      <c r="DH110" s="184">
        <f t="shared" ref="DH110:DH112" si="1041">SUM(DF110:DG110)</f>
        <v>0</v>
      </c>
      <c r="DI110" s="433"/>
      <c r="DJ110" s="91"/>
      <c r="DK110" s="184">
        <f t="shared" ref="DK110:DK112" si="1042">SUM(DI110:DJ110)</f>
        <v>0</v>
      </c>
      <c r="DL110" s="433"/>
      <c r="DM110" s="91"/>
      <c r="DN110" s="184">
        <f t="shared" ref="DN110:DN112" si="1043">SUM(DL110:DM110)</f>
        <v>0</v>
      </c>
      <c r="DO110" s="433"/>
      <c r="DP110" s="91"/>
      <c r="DQ110" s="184">
        <f t="shared" ref="DQ110:DQ112" si="1044">SUM(DO110:DP110)</f>
        <v>0</v>
      </c>
      <c r="DR110" s="433">
        <f t="shared" ref="DR110:DR111" si="1045">DO110+DL110+DI110+DF110+DC110+CZ110+CW110+CT110+CQ110+CN110+CK110+CH110</f>
        <v>0</v>
      </c>
      <c r="DS110" s="91">
        <f t="shared" ref="DS110:DS111" si="1046">DP110+DM110+DJ110+DG110+DD110+DA110+CX110+CU110+CR110+CO110+CL110+CI110</f>
        <v>0</v>
      </c>
      <c r="DT110" s="184">
        <f>SUM(DR110:DS110)</f>
        <v>0</v>
      </c>
    </row>
    <row r="111" spans="1:124" ht="14.25" customHeight="1">
      <c r="A111" s="23"/>
      <c r="B111" s="87"/>
      <c r="C111" s="88"/>
      <c r="D111" s="108" t="s">
        <v>259</v>
      </c>
      <c r="E111" s="433"/>
      <c r="F111" s="91"/>
      <c r="G111" s="184">
        <f>SUM(E111:F111)</f>
        <v>0</v>
      </c>
      <c r="H111" s="433"/>
      <c r="I111" s="91"/>
      <c r="J111" s="184">
        <f t="shared" si="1005"/>
        <v>0</v>
      </c>
      <c r="K111" s="433"/>
      <c r="L111" s="91"/>
      <c r="M111" s="184">
        <f t="shared" si="1006"/>
        <v>0</v>
      </c>
      <c r="N111" s="433"/>
      <c r="O111" s="91"/>
      <c r="P111" s="184">
        <f t="shared" si="1007"/>
        <v>0</v>
      </c>
      <c r="Q111" s="433"/>
      <c r="R111" s="91"/>
      <c r="S111" s="184">
        <f t="shared" si="1008"/>
        <v>0</v>
      </c>
      <c r="T111" s="433"/>
      <c r="U111" s="91"/>
      <c r="V111" s="184">
        <f t="shared" si="1009"/>
        <v>0</v>
      </c>
      <c r="W111" s="433"/>
      <c r="X111" s="91"/>
      <c r="Y111" s="184">
        <f t="shared" si="1010"/>
        <v>0</v>
      </c>
      <c r="Z111" s="433"/>
      <c r="AA111" s="91"/>
      <c r="AB111" s="184">
        <f t="shared" si="1011"/>
        <v>0</v>
      </c>
      <c r="AC111" s="433"/>
      <c r="AD111" s="91"/>
      <c r="AE111" s="184">
        <f t="shared" si="1012"/>
        <v>0</v>
      </c>
      <c r="AF111" s="433"/>
      <c r="AG111" s="91"/>
      <c r="AH111" s="184">
        <f t="shared" si="1013"/>
        <v>0</v>
      </c>
      <c r="AI111" s="433"/>
      <c r="AJ111" s="91"/>
      <c r="AK111" s="184">
        <f t="shared" si="1014"/>
        <v>0</v>
      </c>
      <c r="AL111" s="433"/>
      <c r="AM111" s="91"/>
      <c r="AN111" s="184">
        <f t="shared" si="1015"/>
        <v>0</v>
      </c>
      <c r="AO111" s="433"/>
      <c r="AP111" s="91"/>
      <c r="AQ111" s="184">
        <f t="shared" si="1016"/>
        <v>0</v>
      </c>
      <c r="AR111" s="433">
        <f t="shared" si="1017"/>
        <v>0</v>
      </c>
      <c r="AS111" s="91">
        <f t="shared" si="1018"/>
        <v>0</v>
      </c>
      <c r="AT111" s="184">
        <f>SUM(AR111:AS111)</f>
        <v>0</v>
      </c>
      <c r="AU111" s="433"/>
      <c r="AV111" s="91"/>
      <c r="AW111" s="184">
        <f t="shared" si="1019"/>
        <v>0</v>
      </c>
      <c r="AX111" s="433"/>
      <c r="AY111" s="91"/>
      <c r="AZ111" s="184">
        <f t="shared" si="1020"/>
        <v>0</v>
      </c>
      <c r="BA111" s="433"/>
      <c r="BB111" s="91"/>
      <c r="BC111" s="184">
        <f t="shared" si="1021"/>
        <v>0</v>
      </c>
      <c r="BD111" s="433"/>
      <c r="BE111" s="91"/>
      <c r="BF111" s="184">
        <f t="shared" si="1022"/>
        <v>0</v>
      </c>
      <c r="BG111" s="433"/>
      <c r="BH111" s="91"/>
      <c r="BI111" s="184">
        <f t="shared" si="1023"/>
        <v>0</v>
      </c>
      <c r="BJ111" s="433"/>
      <c r="BK111" s="91"/>
      <c r="BL111" s="184">
        <f t="shared" si="1024"/>
        <v>0</v>
      </c>
      <c r="BM111" s="433"/>
      <c r="BN111" s="91"/>
      <c r="BO111" s="184">
        <f t="shared" si="1025"/>
        <v>0</v>
      </c>
      <c r="BP111" s="433"/>
      <c r="BQ111" s="91"/>
      <c r="BR111" s="184">
        <f t="shared" si="1026"/>
        <v>0</v>
      </c>
      <c r="BS111" s="433"/>
      <c r="BT111" s="91"/>
      <c r="BU111" s="184">
        <f t="shared" si="1027"/>
        <v>0</v>
      </c>
      <c r="BV111" s="433"/>
      <c r="BW111" s="91"/>
      <c r="BX111" s="184">
        <f t="shared" si="1028"/>
        <v>0</v>
      </c>
      <c r="BY111" s="433"/>
      <c r="BZ111" s="91"/>
      <c r="CA111" s="184">
        <f t="shared" si="1029"/>
        <v>0</v>
      </c>
      <c r="CB111" s="433"/>
      <c r="CC111" s="91"/>
      <c r="CD111" s="184">
        <f t="shared" si="1030"/>
        <v>0</v>
      </c>
      <c r="CE111" s="433">
        <f t="shared" si="1031"/>
        <v>0</v>
      </c>
      <c r="CF111" s="91">
        <f t="shared" si="1032"/>
        <v>0</v>
      </c>
      <c r="CG111" s="184">
        <f>SUM(CE111:CF111)</f>
        <v>0</v>
      </c>
      <c r="CH111" s="433"/>
      <c r="CI111" s="91"/>
      <c r="CJ111" s="184">
        <f t="shared" si="1033"/>
        <v>0</v>
      </c>
      <c r="CK111" s="433"/>
      <c r="CL111" s="91"/>
      <c r="CM111" s="184">
        <f t="shared" si="1034"/>
        <v>0</v>
      </c>
      <c r="CN111" s="433"/>
      <c r="CO111" s="91"/>
      <c r="CP111" s="184">
        <f t="shared" si="1035"/>
        <v>0</v>
      </c>
      <c r="CQ111" s="433"/>
      <c r="CR111" s="91"/>
      <c r="CS111" s="184">
        <f t="shared" si="1036"/>
        <v>0</v>
      </c>
      <c r="CT111" s="433"/>
      <c r="CU111" s="91"/>
      <c r="CV111" s="184">
        <f t="shared" si="1037"/>
        <v>0</v>
      </c>
      <c r="CW111" s="433"/>
      <c r="CX111" s="91"/>
      <c r="CY111" s="184">
        <f t="shared" si="1038"/>
        <v>0</v>
      </c>
      <c r="CZ111" s="433"/>
      <c r="DA111" s="91"/>
      <c r="DB111" s="184">
        <f t="shared" si="1039"/>
        <v>0</v>
      </c>
      <c r="DC111" s="433"/>
      <c r="DD111" s="91"/>
      <c r="DE111" s="184">
        <f t="shared" si="1040"/>
        <v>0</v>
      </c>
      <c r="DF111" s="433"/>
      <c r="DG111" s="91"/>
      <c r="DH111" s="184">
        <f t="shared" si="1041"/>
        <v>0</v>
      </c>
      <c r="DI111" s="433"/>
      <c r="DJ111" s="91"/>
      <c r="DK111" s="184">
        <f t="shared" si="1042"/>
        <v>0</v>
      </c>
      <c r="DL111" s="433"/>
      <c r="DM111" s="91"/>
      <c r="DN111" s="184">
        <f t="shared" si="1043"/>
        <v>0</v>
      </c>
      <c r="DO111" s="433"/>
      <c r="DP111" s="91"/>
      <c r="DQ111" s="184">
        <f t="shared" si="1044"/>
        <v>0</v>
      </c>
      <c r="DR111" s="433">
        <f t="shared" si="1045"/>
        <v>0</v>
      </c>
      <c r="DS111" s="91">
        <f t="shared" si="1046"/>
        <v>0</v>
      </c>
      <c r="DT111" s="184">
        <f>SUM(DR111:DS111)</f>
        <v>0</v>
      </c>
    </row>
    <row r="112" spans="1:124" ht="14.25" customHeight="1">
      <c r="A112" s="23"/>
      <c r="B112" s="528"/>
      <c r="C112" s="529"/>
      <c r="D112" s="108" t="s">
        <v>260</v>
      </c>
      <c r="E112" s="530"/>
      <c r="F112" s="531"/>
      <c r="G112" s="184">
        <f>SUM(E112:F112)</f>
        <v>0</v>
      </c>
      <c r="H112" s="530"/>
      <c r="I112" s="531"/>
      <c r="J112" s="184">
        <f t="shared" si="1005"/>
        <v>0</v>
      </c>
      <c r="K112" s="530"/>
      <c r="L112" s="531"/>
      <c r="M112" s="184">
        <f t="shared" si="1006"/>
        <v>0</v>
      </c>
      <c r="N112" s="530"/>
      <c r="O112" s="531"/>
      <c r="P112" s="184">
        <f t="shared" si="1007"/>
        <v>0</v>
      </c>
      <c r="Q112" s="530"/>
      <c r="R112" s="531"/>
      <c r="S112" s="184">
        <f t="shared" si="1008"/>
        <v>0</v>
      </c>
      <c r="T112" s="530"/>
      <c r="U112" s="531"/>
      <c r="V112" s="184">
        <f t="shared" si="1009"/>
        <v>0</v>
      </c>
      <c r="W112" s="530"/>
      <c r="X112" s="531"/>
      <c r="Y112" s="184">
        <f t="shared" si="1010"/>
        <v>0</v>
      </c>
      <c r="Z112" s="530"/>
      <c r="AA112" s="531"/>
      <c r="AB112" s="184">
        <f t="shared" si="1011"/>
        <v>0</v>
      </c>
      <c r="AC112" s="530"/>
      <c r="AD112" s="531"/>
      <c r="AE112" s="184">
        <f t="shared" si="1012"/>
        <v>0</v>
      </c>
      <c r="AF112" s="530"/>
      <c r="AG112" s="531"/>
      <c r="AH112" s="184">
        <f t="shared" si="1013"/>
        <v>0</v>
      </c>
      <c r="AI112" s="530"/>
      <c r="AJ112" s="531"/>
      <c r="AK112" s="184">
        <f t="shared" si="1014"/>
        <v>0</v>
      </c>
      <c r="AL112" s="530"/>
      <c r="AM112" s="531"/>
      <c r="AN112" s="184">
        <f t="shared" si="1015"/>
        <v>0</v>
      </c>
      <c r="AO112" s="530"/>
      <c r="AP112" s="531"/>
      <c r="AQ112" s="184">
        <f t="shared" si="1016"/>
        <v>0</v>
      </c>
      <c r="AR112" s="433">
        <f t="shared" ref="AR112" si="1047">AO112+AL112+AI112+AF112+AC112+Z112+W112+T112+Q112+N112+K112+H112</f>
        <v>0</v>
      </c>
      <c r="AS112" s="91">
        <f t="shared" ref="AS112" si="1048">AP112+AM112+AJ112+AG112+AD112+AA112+X112+U112+R112+O112+L112+I112</f>
        <v>0</v>
      </c>
      <c r="AT112" s="184">
        <f>SUM(AR112:AS112)</f>
        <v>0</v>
      </c>
      <c r="AU112" s="530"/>
      <c r="AV112" s="531"/>
      <c r="AW112" s="184">
        <f t="shared" si="1019"/>
        <v>0</v>
      </c>
      <c r="AX112" s="530"/>
      <c r="AY112" s="531"/>
      <c r="AZ112" s="184">
        <f t="shared" si="1020"/>
        <v>0</v>
      </c>
      <c r="BA112" s="530"/>
      <c r="BB112" s="531"/>
      <c r="BC112" s="184">
        <f t="shared" si="1021"/>
        <v>0</v>
      </c>
      <c r="BD112" s="530"/>
      <c r="BE112" s="531"/>
      <c r="BF112" s="184">
        <f t="shared" si="1022"/>
        <v>0</v>
      </c>
      <c r="BG112" s="530"/>
      <c r="BH112" s="531"/>
      <c r="BI112" s="184">
        <f t="shared" si="1023"/>
        <v>0</v>
      </c>
      <c r="BJ112" s="530"/>
      <c r="BK112" s="531"/>
      <c r="BL112" s="184">
        <f t="shared" si="1024"/>
        <v>0</v>
      </c>
      <c r="BM112" s="530"/>
      <c r="BN112" s="531"/>
      <c r="BO112" s="184">
        <f t="shared" si="1025"/>
        <v>0</v>
      </c>
      <c r="BP112" s="530"/>
      <c r="BQ112" s="531"/>
      <c r="BR112" s="184">
        <f t="shared" si="1026"/>
        <v>0</v>
      </c>
      <c r="BS112" s="530"/>
      <c r="BT112" s="531"/>
      <c r="BU112" s="184">
        <f t="shared" si="1027"/>
        <v>0</v>
      </c>
      <c r="BV112" s="530"/>
      <c r="BW112" s="531"/>
      <c r="BX112" s="184">
        <f t="shared" si="1028"/>
        <v>0</v>
      </c>
      <c r="BY112" s="530"/>
      <c r="BZ112" s="531"/>
      <c r="CA112" s="184">
        <f t="shared" si="1029"/>
        <v>0</v>
      </c>
      <c r="CB112" s="530"/>
      <c r="CC112" s="531"/>
      <c r="CD112" s="184">
        <f t="shared" si="1030"/>
        <v>0</v>
      </c>
      <c r="CE112" s="433">
        <f t="shared" ref="CE112" si="1049">CB112+BY112+BV112+BS112+BP112+BM112+BJ112+BG112+BD112+BA112+AX112+AU112</f>
        <v>0</v>
      </c>
      <c r="CF112" s="91">
        <f t="shared" ref="CF112" si="1050">CC112+BZ112+BW112+BT112+BQ112+BN112+BK112+BH112+BE112+BB112+AY112+AV112</f>
        <v>0</v>
      </c>
      <c r="CG112" s="184">
        <f>SUM(CE112:CF112)</f>
        <v>0</v>
      </c>
      <c r="CH112" s="530"/>
      <c r="CI112" s="531"/>
      <c r="CJ112" s="184">
        <f t="shared" si="1033"/>
        <v>0</v>
      </c>
      <c r="CK112" s="530"/>
      <c r="CL112" s="531"/>
      <c r="CM112" s="184">
        <f t="shared" si="1034"/>
        <v>0</v>
      </c>
      <c r="CN112" s="530"/>
      <c r="CO112" s="531"/>
      <c r="CP112" s="184">
        <f t="shared" si="1035"/>
        <v>0</v>
      </c>
      <c r="CQ112" s="530"/>
      <c r="CR112" s="531"/>
      <c r="CS112" s="184">
        <f t="shared" si="1036"/>
        <v>0</v>
      </c>
      <c r="CT112" s="530"/>
      <c r="CU112" s="531"/>
      <c r="CV112" s="184">
        <f t="shared" si="1037"/>
        <v>0</v>
      </c>
      <c r="CW112" s="530"/>
      <c r="CX112" s="531"/>
      <c r="CY112" s="184">
        <f t="shared" si="1038"/>
        <v>0</v>
      </c>
      <c r="CZ112" s="530"/>
      <c r="DA112" s="531"/>
      <c r="DB112" s="184">
        <f t="shared" si="1039"/>
        <v>0</v>
      </c>
      <c r="DC112" s="530"/>
      <c r="DD112" s="531"/>
      <c r="DE112" s="184">
        <f t="shared" si="1040"/>
        <v>0</v>
      </c>
      <c r="DF112" s="530"/>
      <c r="DG112" s="531"/>
      <c r="DH112" s="184">
        <f t="shared" si="1041"/>
        <v>0</v>
      </c>
      <c r="DI112" s="530"/>
      <c r="DJ112" s="531"/>
      <c r="DK112" s="184">
        <f t="shared" si="1042"/>
        <v>0</v>
      </c>
      <c r="DL112" s="530"/>
      <c r="DM112" s="531"/>
      <c r="DN112" s="184">
        <f t="shared" si="1043"/>
        <v>0</v>
      </c>
      <c r="DO112" s="530"/>
      <c r="DP112" s="531"/>
      <c r="DQ112" s="184">
        <f t="shared" si="1044"/>
        <v>0</v>
      </c>
      <c r="DR112" s="433">
        <f t="shared" ref="DR112" si="1051">DO112+DL112+DI112+DF112+DC112+CZ112+CW112+CT112+CQ112+CN112+CK112+CH112</f>
        <v>0</v>
      </c>
      <c r="DS112" s="91">
        <f t="shared" ref="DS112" si="1052">DP112+DM112+DJ112+DG112+DD112+DA112+CX112+CU112+CR112+CO112+CL112+CI112</f>
        <v>0</v>
      </c>
      <c r="DT112" s="184">
        <f>SUM(DR112:DS112)</f>
        <v>0</v>
      </c>
    </row>
    <row r="113" spans="1:124" ht="14.25" customHeight="1" thickBot="1">
      <c r="A113" s="23"/>
      <c r="B113" s="109"/>
      <c r="C113" s="110"/>
      <c r="D113" s="425"/>
      <c r="E113" s="440"/>
      <c r="F113" s="441"/>
      <c r="G113" s="442"/>
      <c r="H113" s="112"/>
      <c r="I113" s="112"/>
      <c r="J113" s="549"/>
      <c r="K113" s="112"/>
      <c r="L113" s="112"/>
      <c r="M113" s="549"/>
      <c r="N113" s="113"/>
      <c r="O113" s="112"/>
      <c r="P113" s="549"/>
      <c r="Q113" s="113"/>
      <c r="R113" s="112"/>
      <c r="S113" s="549"/>
      <c r="T113" s="113"/>
      <c r="U113" s="112"/>
      <c r="V113" s="549"/>
      <c r="W113" s="113"/>
      <c r="X113" s="112"/>
      <c r="Y113" s="549"/>
      <c r="Z113" s="113"/>
      <c r="AA113" s="112"/>
      <c r="AB113" s="549"/>
      <c r="AC113" s="113"/>
      <c r="AD113" s="112"/>
      <c r="AE113" s="549"/>
      <c r="AF113" s="113"/>
      <c r="AG113" s="112"/>
      <c r="AH113" s="549"/>
      <c r="AI113" s="113"/>
      <c r="AJ113" s="112"/>
      <c r="AK113" s="549"/>
      <c r="AL113" s="113"/>
      <c r="AM113" s="112"/>
      <c r="AN113" s="549"/>
      <c r="AO113" s="113"/>
      <c r="AP113" s="112"/>
      <c r="AQ113" s="549"/>
      <c r="AR113" s="440"/>
      <c r="AS113" s="441"/>
      <c r="AT113" s="442"/>
      <c r="AU113" s="113"/>
      <c r="AV113" s="112"/>
      <c r="AW113" s="549"/>
      <c r="AX113" s="113"/>
      <c r="AY113" s="112"/>
      <c r="AZ113" s="549"/>
      <c r="BA113" s="113"/>
      <c r="BB113" s="112"/>
      <c r="BC113" s="549"/>
      <c r="BD113" s="113"/>
      <c r="BE113" s="112"/>
      <c r="BF113" s="549"/>
      <c r="BG113" s="113"/>
      <c r="BH113" s="112"/>
      <c r="BI113" s="549"/>
      <c r="BJ113" s="113"/>
      <c r="BK113" s="112"/>
      <c r="BL113" s="549"/>
      <c r="BM113" s="113"/>
      <c r="BN113" s="112"/>
      <c r="BO113" s="549"/>
      <c r="BP113" s="113"/>
      <c r="BQ113" s="112"/>
      <c r="BR113" s="549"/>
      <c r="BS113" s="113"/>
      <c r="BT113" s="112"/>
      <c r="BU113" s="549"/>
      <c r="BV113" s="113"/>
      <c r="BW113" s="112"/>
      <c r="BX113" s="549"/>
      <c r="BY113" s="113"/>
      <c r="BZ113" s="112"/>
      <c r="CA113" s="549"/>
      <c r="CB113" s="113"/>
      <c r="CC113" s="112"/>
      <c r="CD113" s="549"/>
      <c r="CE113" s="440"/>
      <c r="CF113" s="441"/>
      <c r="CG113" s="442"/>
      <c r="CH113" s="112"/>
      <c r="CI113" s="112"/>
      <c r="CJ113" s="549"/>
      <c r="CK113" s="111"/>
      <c r="CL113" s="112"/>
      <c r="CM113" s="549"/>
      <c r="CN113" s="111"/>
      <c r="CO113" s="112"/>
      <c r="CP113" s="549"/>
      <c r="CQ113" s="111"/>
      <c r="CR113" s="112"/>
      <c r="CS113" s="549"/>
      <c r="CT113" s="111"/>
      <c r="CU113" s="112"/>
      <c r="CV113" s="549"/>
      <c r="CW113" s="111"/>
      <c r="CX113" s="112"/>
      <c r="CY113" s="549"/>
      <c r="CZ113" s="111"/>
      <c r="DA113" s="112"/>
      <c r="DB113" s="549"/>
      <c r="DC113" s="111"/>
      <c r="DD113" s="112"/>
      <c r="DE113" s="549"/>
      <c r="DF113" s="111"/>
      <c r="DG113" s="112"/>
      <c r="DH113" s="549"/>
      <c r="DI113" s="111"/>
      <c r="DJ113" s="112"/>
      <c r="DK113" s="549"/>
      <c r="DL113" s="111"/>
      <c r="DM113" s="112"/>
      <c r="DN113" s="549"/>
      <c r="DO113" s="111"/>
      <c r="DP113" s="112"/>
      <c r="DQ113" s="549"/>
      <c r="DR113" s="440"/>
      <c r="DS113" s="441"/>
      <c r="DT113" s="442"/>
    </row>
  </sheetData>
  <mergeCells count="1">
    <mergeCell ref="B4:C4"/>
  </mergeCells>
  <pageMargins left="0.7" right="0.7" top="0.75" bottom="0.75" header="0" footer="0"/>
  <pageSetup orientation="landscape"/>
  <ignoredErrors>
    <ignoredError sqref="AR99:AU99 AZ99 BC99 BF99 BI99 BL99 BO99 BR99 BU99 BX99 CA99 AW9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1C08-0D05-4971-9FE0-DE8A635B488D}">
  <sheetPr>
    <tabColor theme="4"/>
  </sheetPr>
  <dimension ref="B4"/>
  <sheetViews>
    <sheetView showGridLines="0" workbookViewId="0"/>
  </sheetViews>
  <sheetFormatPr defaultColWidth="8.90625" defaultRowHeight="14.5"/>
  <cols>
    <col min="1" max="16384" width="8.90625" style="94"/>
  </cols>
  <sheetData>
    <row r="4" spans="2:2" ht="47.5">
      <c r="B4" s="95" t="s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4271-74E8-4578-9FE5-32157F8EC1D5}">
  <dimension ref="B2:AJ52"/>
  <sheetViews>
    <sheetView showGridLines="0" zoomScale="63" workbookViewId="0"/>
  </sheetViews>
  <sheetFormatPr defaultColWidth="8.7265625" defaultRowHeight="14.5"/>
  <cols>
    <col min="1" max="1" width="3.36328125" customWidth="1"/>
    <col min="2" max="2" width="12.81640625" customWidth="1"/>
    <col min="3" max="3" width="33.1796875" bestFit="1" customWidth="1"/>
    <col min="4" max="15" width="11.81640625" customWidth="1"/>
    <col min="16" max="18" width="14.26953125" bestFit="1" customWidth="1"/>
    <col min="19" max="19" width="14.36328125" bestFit="1" customWidth="1"/>
  </cols>
  <sheetData>
    <row r="2" spans="2:36">
      <c r="B2" s="34" t="s">
        <v>170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4" spans="2:36">
      <c r="B4" s="267" t="s">
        <v>129</v>
      </c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</row>
    <row r="5" spans="2:36" ht="29">
      <c r="B5" s="271"/>
      <c r="C5" s="272" t="s">
        <v>143</v>
      </c>
      <c r="D5" s="273" t="s">
        <v>142</v>
      </c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</row>
    <row r="6" spans="2:36" ht="29">
      <c r="B6" s="558" t="s">
        <v>1</v>
      </c>
      <c r="C6" s="558" t="s">
        <v>130</v>
      </c>
      <c r="D6" s="558" t="s">
        <v>18</v>
      </c>
      <c r="E6" s="558" t="s">
        <v>19</v>
      </c>
      <c r="F6" s="558" t="s">
        <v>20</v>
      </c>
      <c r="G6" s="558" t="s">
        <v>36</v>
      </c>
      <c r="H6" s="558" t="s">
        <v>37</v>
      </c>
      <c r="I6" s="558" t="s">
        <v>38</v>
      </c>
      <c r="J6" s="558" t="s">
        <v>39</v>
      </c>
      <c r="K6" s="558" t="s">
        <v>40</v>
      </c>
      <c r="L6" s="558" t="s">
        <v>148</v>
      </c>
      <c r="M6" s="558" t="s">
        <v>149</v>
      </c>
      <c r="N6" s="558" t="s">
        <v>150</v>
      </c>
      <c r="O6" s="558" t="s">
        <v>151</v>
      </c>
      <c r="P6" s="557" t="s">
        <v>273</v>
      </c>
      <c r="Q6" s="557" t="s">
        <v>272</v>
      </c>
      <c r="R6" s="557" t="s">
        <v>274</v>
      </c>
      <c r="S6" s="557" t="s">
        <v>275</v>
      </c>
    </row>
    <row r="7" spans="2:36">
      <c r="B7" s="282" t="s">
        <v>18</v>
      </c>
      <c r="C7" s="283"/>
      <c r="D7" s="284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91">
        <f>IFERROR((SUM(E7:G7))/C7,0)</f>
        <v>0</v>
      </c>
      <c r="Q7" s="291">
        <f>IFERROR((SUM(E7:J7))/C7,0)</f>
        <v>0</v>
      </c>
      <c r="R7" s="291">
        <f>IFERROR((SUM(E7:M7))/C7,0)</f>
        <v>0</v>
      </c>
      <c r="S7" s="291">
        <f>IFERROR((SUM(E7:O7))/C7,0)</f>
        <v>0</v>
      </c>
      <c r="AJ7" s="276"/>
    </row>
    <row r="8" spans="2:36">
      <c r="B8" s="282" t="s">
        <v>19</v>
      </c>
      <c r="C8" s="283"/>
      <c r="D8" s="280"/>
      <c r="E8" s="284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91">
        <f>IFERROR((SUM(F8:H8))/C8,0)</f>
        <v>0</v>
      </c>
      <c r="Q8" s="291">
        <f>IFERROR((SUM(F8:K8))/C8,0)</f>
        <v>0</v>
      </c>
      <c r="R8" s="291">
        <f>IFERROR((SUM(F8:N8))/C8,0)</f>
        <v>0</v>
      </c>
      <c r="S8" s="284"/>
      <c r="AJ8" s="276"/>
    </row>
    <row r="9" spans="2:36">
      <c r="B9" s="282" t="s">
        <v>20</v>
      </c>
      <c r="C9" s="283"/>
      <c r="D9" s="280"/>
      <c r="E9" s="280"/>
      <c r="F9" s="284"/>
      <c r="G9" s="283"/>
      <c r="H9" s="283"/>
      <c r="I9" s="283"/>
      <c r="J9" s="283"/>
      <c r="K9" s="283"/>
      <c r="L9" s="283"/>
      <c r="M9" s="283"/>
      <c r="N9" s="283"/>
      <c r="O9" s="283"/>
      <c r="P9" s="291">
        <f>IFERROR((SUM(G9:I9))/C9,0)</f>
        <v>0</v>
      </c>
      <c r="Q9" s="291">
        <f>IFERROR((SUM(G9:L9))/C9,0)</f>
        <v>0</v>
      </c>
      <c r="R9" s="291">
        <f>IFERROR((SUM(G9:O9))/C9,0)</f>
        <v>0</v>
      </c>
      <c r="S9" s="284"/>
      <c r="AJ9" s="276"/>
    </row>
    <row r="10" spans="2:36">
      <c r="B10" s="282" t="s">
        <v>36</v>
      </c>
      <c r="C10" s="283"/>
      <c r="D10" s="280"/>
      <c r="E10" s="280"/>
      <c r="F10" s="284"/>
      <c r="G10" s="284"/>
      <c r="H10" s="283"/>
      <c r="I10" s="283"/>
      <c r="J10" s="283"/>
      <c r="K10" s="283"/>
      <c r="L10" s="283"/>
      <c r="M10" s="283"/>
      <c r="N10" s="283"/>
      <c r="O10" s="283"/>
      <c r="P10" s="291">
        <f>IFERROR((SUM(H10:J10))/C10,0)</f>
        <v>0</v>
      </c>
      <c r="Q10" s="291">
        <f>IFERROR((SUM(H10:M10))/C10,0)</f>
        <v>0</v>
      </c>
      <c r="R10" s="284"/>
      <c r="S10" s="284"/>
      <c r="AJ10" s="276"/>
    </row>
    <row r="11" spans="2:36">
      <c r="B11" s="282" t="s">
        <v>37</v>
      </c>
      <c r="C11" s="283"/>
      <c r="D11" s="280"/>
      <c r="E11" s="280"/>
      <c r="F11" s="284"/>
      <c r="G11" s="284"/>
      <c r="H11" s="284"/>
      <c r="I11" s="283"/>
      <c r="J11" s="283"/>
      <c r="K11" s="283"/>
      <c r="L11" s="283"/>
      <c r="M11" s="283"/>
      <c r="N11" s="283"/>
      <c r="O11" s="283"/>
      <c r="P11" s="291">
        <f>IFERROR((SUM(I11:K11))/C11,0)</f>
        <v>0</v>
      </c>
      <c r="Q11" s="291">
        <f>IFERROR((SUM(I11:N11))/C11,0)</f>
        <v>0</v>
      </c>
      <c r="R11" s="284"/>
      <c r="S11" s="284"/>
      <c r="AJ11" s="276"/>
    </row>
    <row r="12" spans="2:36">
      <c r="B12" s="282" t="s">
        <v>38</v>
      </c>
      <c r="C12" s="283"/>
      <c r="D12" s="280"/>
      <c r="E12" s="280"/>
      <c r="F12" s="284"/>
      <c r="G12" s="284"/>
      <c r="H12" s="284"/>
      <c r="I12" s="284"/>
      <c r="J12" s="283"/>
      <c r="K12" s="283"/>
      <c r="L12" s="283"/>
      <c r="M12" s="283"/>
      <c r="N12" s="283"/>
      <c r="O12" s="283"/>
      <c r="P12" s="291">
        <f>IFERROR((SUM(J12:L12))/C12,0)</f>
        <v>0</v>
      </c>
      <c r="Q12" s="291">
        <f>IFERROR((SUM(J12:O12))/C12,0)</f>
        <v>0</v>
      </c>
      <c r="R12" s="284"/>
      <c r="S12" s="284"/>
      <c r="AJ12" s="276"/>
    </row>
    <row r="13" spans="2:36">
      <c r="B13" s="282" t="s">
        <v>39</v>
      </c>
      <c r="C13" s="283"/>
      <c r="D13" s="280"/>
      <c r="E13" s="280"/>
      <c r="F13" s="284"/>
      <c r="G13" s="284"/>
      <c r="H13" s="284"/>
      <c r="I13" s="284"/>
      <c r="J13" s="284"/>
      <c r="K13" s="283"/>
      <c r="L13" s="283"/>
      <c r="M13" s="283"/>
      <c r="N13" s="283"/>
      <c r="O13" s="283"/>
      <c r="P13" s="291">
        <f>IFERROR((SUM(K13:M13))/C13,0)</f>
        <v>0</v>
      </c>
      <c r="Q13" s="284"/>
      <c r="R13" s="284"/>
      <c r="S13" s="284"/>
      <c r="AJ13" s="276"/>
    </row>
    <row r="14" spans="2:36">
      <c r="B14" s="282" t="s">
        <v>40</v>
      </c>
      <c r="C14" s="283"/>
      <c r="D14" s="280"/>
      <c r="E14" s="280"/>
      <c r="F14" s="284"/>
      <c r="G14" s="284"/>
      <c r="H14" s="284"/>
      <c r="I14" s="284"/>
      <c r="J14" s="284"/>
      <c r="K14" s="284"/>
      <c r="L14" s="283"/>
      <c r="M14" s="283"/>
      <c r="N14" s="283"/>
      <c r="O14" s="283"/>
      <c r="P14" s="291">
        <f>IFERROR((SUM(L14:N14))/C14,0)</f>
        <v>0</v>
      </c>
      <c r="Q14" s="284"/>
      <c r="R14" s="284"/>
      <c r="S14" s="284"/>
      <c r="AJ14" s="276"/>
    </row>
    <row r="15" spans="2:36">
      <c r="B15" s="282" t="s">
        <v>148</v>
      </c>
      <c r="C15" s="283"/>
      <c r="D15" s="280"/>
      <c r="E15" s="280"/>
      <c r="F15" s="284"/>
      <c r="G15" s="284"/>
      <c r="H15" s="284"/>
      <c r="I15" s="284"/>
      <c r="J15" s="284"/>
      <c r="K15" s="284"/>
      <c r="L15" s="284"/>
      <c r="M15" s="283"/>
      <c r="N15" s="283"/>
      <c r="O15" s="283"/>
      <c r="P15" s="291">
        <f>IFERROR((SUM(M15:O15))/C15,0)</f>
        <v>0</v>
      </c>
      <c r="Q15" s="284"/>
      <c r="R15" s="284"/>
      <c r="S15" s="284"/>
      <c r="AJ15" s="276"/>
    </row>
    <row r="16" spans="2:36">
      <c r="B16" s="282" t="s">
        <v>149</v>
      </c>
      <c r="C16" s="283"/>
      <c r="D16" s="280"/>
      <c r="E16" s="280"/>
      <c r="F16" s="284"/>
      <c r="G16" s="284"/>
      <c r="H16" s="284"/>
      <c r="I16" s="284"/>
      <c r="J16" s="284"/>
      <c r="K16" s="284"/>
      <c r="L16" s="284"/>
      <c r="M16" s="284"/>
      <c r="N16" s="283"/>
      <c r="O16" s="283"/>
      <c r="P16" s="291">
        <f>IFERROR((SUM(N16:O16))/C16,0)</f>
        <v>0</v>
      </c>
      <c r="Q16" s="284"/>
      <c r="R16" s="284"/>
      <c r="S16" s="284"/>
      <c r="AJ16" s="276"/>
    </row>
    <row r="17" spans="2:36">
      <c r="B17" s="282" t="s">
        <v>150</v>
      </c>
      <c r="C17" s="283"/>
      <c r="D17" s="280"/>
      <c r="E17" s="280"/>
      <c r="F17" s="284"/>
      <c r="G17" s="284"/>
      <c r="H17" s="284"/>
      <c r="I17" s="284"/>
      <c r="J17" s="284"/>
      <c r="K17" s="284"/>
      <c r="L17" s="284"/>
      <c r="M17" s="284"/>
      <c r="N17" s="284"/>
      <c r="O17" s="283"/>
      <c r="P17" s="291">
        <f>IFERROR((SUM(O17))/C17,0)</f>
        <v>0</v>
      </c>
      <c r="Q17" s="284"/>
      <c r="R17" s="284"/>
      <c r="S17" s="284"/>
      <c r="AJ17" s="276"/>
    </row>
    <row r="18" spans="2:36">
      <c r="B18" s="282" t="s">
        <v>151</v>
      </c>
      <c r="C18" s="283"/>
      <c r="D18" s="280"/>
      <c r="E18" s="280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92"/>
      <c r="AJ18" s="276"/>
    </row>
    <row r="19" spans="2:36">
      <c r="AJ19" s="276"/>
    </row>
    <row r="20" spans="2:36">
      <c r="B20" s="267" t="s">
        <v>131</v>
      </c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</row>
    <row r="21" spans="2:36" ht="29">
      <c r="B21" s="271"/>
      <c r="C21" s="277" t="s">
        <v>132</v>
      </c>
      <c r="D21" s="273" t="s">
        <v>144</v>
      </c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</row>
    <row r="22" spans="2:36">
      <c r="B22" s="281" t="s">
        <v>1</v>
      </c>
      <c r="C22" s="281" t="s">
        <v>133</v>
      </c>
      <c r="D22" s="281" t="s">
        <v>18</v>
      </c>
      <c r="E22" s="281" t="s">
        <v>19</v>
      </c>
      <c r="F22" s="281" t="s">
        <v>20</v>
      </c>
      <c r="G22" s="281" t="s">
        <v>36</v>
      </c>
      <c r="H22" s="281" t="s">
        <v>37</v>
      </c>
      <c r="I22" s="281" t="s">
        <v>38</v>
      </c>
      <c r="J22" s="281" t="s">
        <v>39</v>
      </c>
      <c r="K22" s="281" t="s">
        <v>40</v>
      </c>
      <c r="L22" s="281" t="s">
        <v>148</v>
      </c>
      <c r="M22" s="281" t="s">
        <v>149</v>
      </c>
      <c r="N22" s="281" t="s">
        <v>150</v>
      </c>
      <c r="O22" s="281" t="s">
        <v>151</v>
      </c>
      <c r="P22" s="278"/>
      <c r="Q22" s="278"/>
      <c r="R22" s="278"/>
    </row>
    <row r="23" spans="2:36">
      <c r="B23" s="282" t="s">
        <v>18</v>
      </c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30"/>
      <c r="Q23" s="30"/>
      <c r="R23" s="30"/>
    </row>
    <row r="24" spans="2:36">
      <c r="B24" s="282" t="s">
        <v>19</v>
      </c>
      <c r="C24" s="283"/>
      <c r="D24" s="284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30"/>
      <c r="Q24" s="30"/>
      <c r="R24" s="30"/>
    </row>
    <row r="25" spans="2:36">
      <c r="B25" s="282" t="s">
        <v>20</v>
      </c>
      <c r="C25" s="283"/>
      <c r="D25" s="284"/>
      <c r="E25" s="284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30"/>
      <c r="Q25" s="30"/>
      <c r="R25" s="30"/>
    </row>
    <row r="26" spans="2:36">
      <c r="B26" s="282" t="s">
        <v>36</v>
      </c>
      <c r="C26" s="283"/>
      <c r="D26" s="284"/>
      <c r="E26" s="284"/>
      <c r="F26" s="284"/>
      <c r="G26" s="283"/>
      <c r="H26" s="283"/>
      <c r="I26" s="283"/>
      <c r="J26" s="283"/>
      <c r="K26" s="283"/>
      <c r="L26" s="283"/>
      <c r="M26" s="283"/>
      <c r="N26" s="283"/>
      <c r="O26" s="283"/>
      <c r="P26" s="30"/>
      <c r="Q26" s="30"/>
      <c r="R26" s="30"/>
    </row>
    <row r="27" spans="2:36">
      <c r="B27" s="282" t="s">
        <v>37</v>
      </c>
      <c r="C27" s="283"/>
      <c r="D27" s="284"/>
      <c r="E27" s="284"/>
      <c r="F27" s="284"/>
      <c r="G27" s="284"/>
      <c r="H27" s="283"/>
      <c r="I27" s="283"/>
      <c r="J27" s="283"/>
      <c r="K27" s="283"/>
      <c r="L27" s="283"/>
      <c r="M27" s="283"/>
      <c r="N27" s="283"/>
      <c r="O27" s="283"/>
      <c r="P27" s="30"/>
      <c r="Q27" s="30"/>
      <c r="R27" s="30"/>
    </row>
    <row r="28" spans="2:36">
      <c r="B28" s="282" t="s">
        <v>38</v>
      </c>
      <c r="C28" s="283"/>
      <c r="D28" s="284"/>
      <c r="E28" s="284"/>
      <c r="F28" s="284"/>
      <c r="G28" s="284"/>
      <c r="H28" s="284"/>
      <c r="I28" s="283"/>
      <c r="J28" s="283"/>
      <c r="K28" s="283"/>
      <c r="L28" s="283"/>
      <c r="M28" s="283"/>
      <c r="N28" s="283"/>
      <c r="O28" s="283"/>
      <c r="P28" s="30"/>
      <c r="Q28" s="30"/>
      <c r="R28" s="30"/>
    </row>
    <row r="29" spans="2:36">
      <c r="B29" s="282" t="s">
        <v>39</v>
      </c>
      <c r="C29" s="283"/>
      <c r="D29" s="284"/>
      <c r="E29" s="284"/>
      <c r="F29" s="284"/>
      <c r="G29" s="284"/>
      <c r="H29" s="284"/>
      <c r="I29" s="284"/>
      <c r="J29" s="283"/>
      <c r="K29" s="283"/>
      <c r="L29" s="283"/>
      <c r="M29" s="283"/>
      <c r="N29" s="283"/>
      <c r="O29" s="283"/>
      <c r="P29" s="30"/>
      <c r="Q29" s="30"/>
      <c r="R29" s="30"/>
    </row>
    <row r="30" spans="2:36">
      <c r="B30" s="282" t="s">
        <v>40</v>
      </c>
      <c r="C30" s="283"/>
      <c r="D30" s="284"/>
      <c r="E30" s="284"/>
      <c r="F30" s="284"/>
      <c r="G30" s="284"/>
      <c r="H30" s="284"/>
      <c r="I30" s="284"/>
      <c r="J30" s="284"/>
      <c r="K30" s="283"/>
      <c r="L30" s="283"/>
      <c r="M30" s="283"/>
      <c r="N30" s="283"/>
      <c r="O30" s="283"/>
      <c r="P30" s="30"/>
      <c r="Q30" s="30"/>
      <c r="R30" s="30"/>
    </row>
    <row r="31" spans="2:36">
      <c r="B31" s="282" t="s">
        <v>148</v>
      </c>
      <c r="C31" s="283"/>
      <c r="D31" s="284"/>
      <c r="E31" s="284"/>
      <c r="F31" s="284"/>
      <c r="G31" s="284"/>
      <c r="H31" s="284"/>
      <c r="I31" s="284"/>
      <c r="J31" s="284"/>
      <c r="K31" s="284"/>
      <c r="L31" s="283"/>
      <c r="M31" s="283"/>
      <c r="N31" s="283"/>
      <c r="O31" s="283"/>
      <c r="P31" s="30"/>
      <c r="Q31" s="30"/>
      <c r="R31" s="30"/>
    </row>
    <row r="32" spans="2:36">
      <c r="B32" s="282" t="s">
        <v>149</v>
      </c>
      <c r="C32" s="283"/>
      <c r="D32" s="284"/>
      <c r="E32" s="284"/>
      <c r="F32" s="284"/>
      <c r="G32" s="284"/>
      <c r="H32" s="284"/>
      <c r="I32" s="284"/>
      <c r="J32" s="284"/>
      <c r="K32" s="284"/>
      <c r="L32" s="284"/>
      <c r="M32" s="283"/>
      <c r="N32" s="283"/>
      <c r="O32" s="283"/>
      <c r="P32" s="30"/>
      <c r="Q32" s="30"/>
      <c r="R32" s="30"/>
    </row>
    <row r="33" spans="2:18">
      <c r="B33" s="282" t="s">
        <v>150</v>
      </c>
      <c r="C33" s="283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3"/>
      <c r="O33" s="283"/>
      <c r="P33" s="30"/>
      <c r="Q33" s="30"/>
      <c r="R33" s="30"/>
    </row>
    <row r="34" spans="2:18">
      <c r="B34" s="282" t="s">
        <v>151</v>
      </c>
      <c r="C34" s="283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3"/>
      <c r="P34" s="30"/>
      <c r="Q34" s="30"/>
      <c r="R34" s="30"/>
    </row>
    <row r="35" spans="2:18">
      <c r="B35" s="278"/>
      <c r="C35" s="279"/>
    </row>
    <row r="36" spans="2:18">
      <c r="B36" s="267" t="s">
        <v>134</v>
      </c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74"/>
      <c r="Q36" s="274"/>
      <c r="R36" s="274"/>
    </row>
    <row r="37" spans="2:18" ht="29">
      <c r="B37" s="271"/>
      <c r="C37" s="277" t="s">
        <v>135</v>
      </c>
      <c r="D37" s="273" t="s">
        <v>145</v>
      </c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</row>
    <row r="38" spans="2:18">
      <c r="B38" s="275" t="s">
        <v>1</v>
      </c>
      <c r="C38" s="275" t="s">
        <v>136</v>
      </c>
      <c r="D38" s="281" t="s">
        <v>18</v>
      </c>
      <c r="E38" s="281" t="s">
        <v>19</v>
      </c>
      <c r="F38" s="281" t="s">
        <v>20</v>
      </c>
      <c r="G38" s="281" t="s">
        <v>36</v>
      </c>
      <c r="H38" s="281" t="s">
        <v>37</v>
      </c>
      <c r="I38" s="281" t="s">
        <v>38</v>
      </c>
      <c r="J38" s="281" t="s">
        <v>39</v>
      </c>
      <c r="K38" s="281" t="s">
        <v>40</v>
      </c>
      <c r="L38" s="281" t="s">
        <v>148</v>
      </c>
      <c r="M38" s="281" t="s">
        <v>149</v>
      </c>
      <c r="N38" s="281" t="s">
        <v>150</v>
      </c>
      <c r="O38" s="281" t="s">
        <v>151</v>
      </c>
      <c r="P38" s="278"/>
      <c r="Q38" s="278"/>
      <c r="R38" s="278"/>
    </row>
    <row r="39" spans="2:18">
      <c r="B39" s="282" t="s">
        <v>18</v>
      </c>
      <c r="C39" s="294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556"/>
      <c r="Q39" s="556"/>
      <c r="R39" s="556"/>
    </row>
    <row r="40" spans="2:18">
      <c r="B40" s="282" t="s">
        <v>19</v>
      </c>
      <c r="C40" s="294"/>
      <c r="D40" s="293"/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556"/>
      <c r="Q40" s="556"/>
      <c r="R40" s="556"/>
    </row>
    <row r="41" spans="2:18">
      <c r="B41" s="282" t="s">
        <v>20</v>
      </c>
      <c r="C41" s="294"/>
      <c r="D41" s="293"/>
      <c r="E41" s="293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556"/>
      <c r="Q41" s="556"/>
      <c r="R41" s="556"/>
    </row>
    <row r="42" spans="2:18">
      <c r="B42" s="282" t="s">
        <v>36</v>
      </c>
      <c r="C42" s="294"/>
      <c r="D42" s="293"/>
      <c r="E42" s="293"/>
      <c r="F42" s="293"/>
      <c r="G42" s="295"/>
      <c r="H42" s="295"/>
      <c r="I42" s="295"/>
      <c r="J42" s="295"/>
      <c r="K42" s="295"/>
      <c r="L42" s="295"/>
      <c r="M42" s="295"/>
      <c r="N42" s="295"/>
      <c r="O42" s="295"/>
      <c r="P42" s="556"/>
      <c r="Q42" s="556"/>
      <c r="R42" s="556"/>
    </row>
    <row r="43" spans="2:18">
      <c r="B43" s="282" t="s">
        <v>37</v>
      </c>
      <c r="C43" s="294"/>
      <c r="D43" s="293"/>
      <c r="E43" s="293"/>
      <c r="F43" s="293"/>
      <c r="G43" s="293"/>
      <c r="H43" s="295"/>
      <c r="I43" s="295"/>
      <c r="J43" s="295"/>
      <c r="K43" s="295"/>
      <c r="L43" s="295"/>
      <c r="M43" s="295"/>
      <c r="N43" s="295"/>
      <c r="O43" s="295"/>
      <c r="P43" s="556"/>
      <c r="Q43" s="556"/>
      <c r="R43" s="556"/>
    </row>
    <row r="44" spans="2:18">
      <c r="B44" s="282" t="s">
        <v>38</v>
      </c>
      <c r="C44" s="294"/>
      <c r="D44" s="293"/>
      <c r="E44" s="293"/>
      <c r="F44" s="293"/>
      <c r="G44" s="293"/>
      <c r="H44" s="293"/>
      <c r="I44" s="295"/>
      <c r="J44" s="295"/>
      <c r="K44" s="295"/>
      <c r="L44" s="295"/>
      <c r="M44" s="295"/>
      <c r="N44" s="295"/>
      <c r="O44" s="295"/>
      <c r="P44" s="556"/>
      <c r="Q44" s="556"/>
      <c r="R44" s="556"/>
    </row>
    <row r="45" spans="2:18">
      <c r="B45" s="282" t="s">
        <v>39</v>
      </c>
      <c r="C45" s="294"/>
      <c r="D45" s="293"/>
      <c r="E45" s="293"/>
      <c r="F45" s="293"/>
      <c r="G45" s="293"/>
      <c r="H45" s="293"/>
      <c r="I45" s="293"/>
      <c r="J45" s="295"/>
      <c r="K45" s="295"/>
      <c r="L45" s="295"/>
      <c r="M45" s="295"/>
      <c r="N45" s="295"/>
      <c r="O45" s="295"/>
      <c r="P45" s="556"/>
      <c r="Q45" s="556"/>
      <c r="R45" s="556"/>
    </row>
    <row r="46" spans="2:18">
      <c r="B46" s="282" t="s">
        <v>40</v>
      </c>
      <c r="C46" s="294"/>
      <c r="D46" s="293"/>
      <c r="E46" s="293"/>
      <c r="F46" s="293"/>
      <c r="G46" s="293"/>
      <c r="H46" s="293"/>
      <c r="I46" s="293"/>
      <c r="J46" s="293"/>
      <c r="K46" s="295"/>
      <c r="L46" s="295"/>
      <c r="M46" s="295"/>
      <c r="N46" s="295"/>
      <c r="O46" s="295"/>
      <c r="P46" s="556"/>
      <c r="Q46" s="556"/>
      <c r="R46" s="556"/>
    </row>
    <row r="47" spans="2:18">
      <c r="B47" s="282" t="s">
        <v>148</v>
      </c>
      <c r="C47" s="294"/>
      <c r="D47" s="293"/>
      <c r="E47" s="293"/>
      <c r="F47" s="293"/>
      <c r="G47" s="293"/>
      <c r="H47" s="293"/>
      <c r="I47" s="293"/>
      <c r="J47" s="293"/>
      <c r="K47" s="293"/>
      <c r="L47" s="295"/>
      <c r="M47" s="295"/>
      <c r="N47" s="295"/>
      <c r="O47" s="295"/>
      <c r="P47" s="556"/>
      <c r="Q47" s="556"/>
      <c r="R47" s="556"/>
    </row>
    <row r="48" spans="2:18">
      <c r="B48" s="282" t="s">
        <v>149</v>
      </c>
      <c r="C48" s="294"/>
      <c r="D48" s="293"/>
      <c r="E48" s="293"/>
      <c r="F48" s="293"/>
      <c r="G48" s="293"/>
      <c r="H48" s="293"/>
      <c r="I48" s="293"/>
      <c r="J48" s="293"/>
      <c r="K48" s="293"/>
      <c r="L48" s="293"/>
      <c r="M48" s="295"/>
      <c r="N48" s="295"/>
      <c r="O48" s="295"/>
      <c r="P48" s="556"/>
      <c r="Q48" s="556"/>
      <c r="R48" s="556"/>
    </row>
    <row r="49" spans="2:18">
      <c r="B49" s="282" t="s">
        <v>150</v>
      </c>
      <c r="C49" s="294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5"/>
      <c r="O49" s="295"/>
      <c r="P49" s="556"/>
      <c r="Q49" s="556"/>
      <c r="R49" s="556"/>
    </row>
    <row r="50" spans="2:18">
      <c r="B50" s="282" t="s">
        <v>151</v>
      </c>
      <c r="C50" s="294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5"/>
      <c r="P50" s="556"/>
      <c r="Q50" s="556"/>
      <c r="R50" s="556"/>
    </row>
    <row r="52" spans="2:18">
      <c r="D52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BC24-5EBD-4E74-8C5C-5EA74DBA92E1}">
  <dimension ref="B1:V22"/>
  <sheetViews>
    <sheetView showGridLines="0" zoomScale="84" zoomScaleNormal="100" workbookViewId="0">
      <pane xSplit="4" ySplit="7" topLeftCell="E8" activePane="bottomRight" state="frozen"/>
      <selection activeCell="G224" sqref="G224"/>
      <selection pane="topRight" activeCell="G224" sqref="G224"/>
      <selection pane="bottomLeft" activeCell="G224" sqref="G224"/>
      <selection pane="bottomRight"/>
    </sheetView>
  </sheetViews>
  <sheetFormatPr defaultColWidth="8.7265625" defaultRowHeight="14.5"/>
  <cols>
    <col min="1" max="1" width="3.36328125" customWidth="1"/>
    <col min="2" max="3" width="2.26953125" style="198" customWidth="1"/>
    <col min="4" max="4" width="32.1796875" style="199" bestFit="1" customWidth="1"/>
    <col min="5" max="11" width="9.81640625" style="200" customWidth="1"/>
    <col min="12" max="12" width="10.6328125" style="200" bestFit="1" customWidth="1"/>
    <col min="13" max="16" width="9.81640625" style="200" customWidth="1"/>
    <col min="17" max="17" width="10.36328125" style="200" bestFit="1" customWidth="1"/>
    <col min="18" max="18" width="10.6328125" style="200" bestFit="1" customWidth="1"/>
    <col min="19" max="22" width="9.81640625" style="200" customWidth="1"/>
  </cols>
  <sheetData>
    <row r="1" spans="2:22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2:22">
      <c r="B2" s="34" t="s">
        <v>249</v>
      </c>
      <c r="C2" s="34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2:22" ht="4.9000000000000004" customHeight="1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2:22">
      <c r="B4" s="230" t="s">
        <v>113</v>
      </c>
      <c r="C4" s="21"/>
      <c r="D4" s="21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2:22">
      <c r="B5" s="229" t="s">
        <v>127</v>
      </c>
      <c r="C5" s="21"/>
      <c r="D5" s="21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2:22" ht="4.9000000000000004" customHeight="1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2:22">
      <c r="B7" s="189" t="s">
        <v>0</v>
      </c>
      <c r="C7" s="189"/>
      <c r="D7" s="190" t="s">
        <v>1</v>
      </c>
      <c r="E7" s="190" t="s">
        <v>14</v>
      </c>
      <c r="F7" s="190" t="s">
        <v>15</v>
      </c>
      <c r="G7" s="190" t="s">
        <v>16</v>
      </c>
      <c r="H7" s="190" t="s">
        <v>17</v>
      </c>
      <c r="I7" s="190" t="s">
        <v>18</v>
      </c>
      <c r="J7" s="190" t="s">
        <v>19</v>
      </c>
      <c r="K7" s="190" t="s">
        <v>20</v>
      </c>
      <c r="L7" s="190" t="s">
        <v>36</v>
      </c>
      <c r="M7" s="190" t="s">
        <v>37</v>
      </c>
      <c r="N7" s="190" t="s">
        <v>38</v>
      </c>
      <c r="O7" s="190" t="s">
        <v>39</v>
      </c>
      <c r="P7" s="190" t="s">
        <v>40</v>
      </c>
      <c r="Q7" s="190" t="s">
        <v>147</v>
      </c>
      <c r="R7" s="190" t="s">
        <v>148</v>
      </c>
      <c r="S7" s="190" t="s">
        <v>149</v>
      </c>
      <c r="T7" s="190" t="s">
        <v>150</v>
      </c>
      <c r="U7" s="190" t="s">
        <v>151</v>
      </c>
      <c r="V7" s="190" t="s">
        <v>152</v>
      </c>
    </row>
    <row r="8" spans="2:22">
      <c r="B8" s="191"/>
      <c r="C8" s="191" t="s">
        <v>96</v>
      </c>
      <c r="D8" s="192" t="s">
        <v>240</v>
      </c>
      <c r="E8" s="197">
        <f>SUM(E9:E10)</f>
        <v>0</v>
      </c>
      <c r="F8" s="197">
        <f t="shared" ref="F8:Q8" si="0">SUM(F9:F10)</f>
        <v>0</v>
      </c>
      <c r="G8" s="197">
        <f t="shared" si="0"/>
        <v>0</v>
      </c>
      <c r="H8" s="197">
        <f t="shared" si="0"/>
        <v>0</v>
      </c>
      <c r="I8" s="197">
        <f t="shared" si="0"/>
        <v>0</v>
      </c>
      <c r="J8" s="197">
        <f t="shared" si="0"/>
        <v>0</v>
      </c>
      <c r="K8" s="197">
        <f t="shared" si="0"/>
        <v>0</v>
      </c>
      <c r="L8" s="197">
        <f t="shared" si="0"/>
        <v>0</v>
      </c>
      <c r="M8" s="197">
        <f t="shared" si="0"/>
        <v>0</v>
      </c>
      <c r="N8" s="197">
        <f t="shared" si="0"/>
        <v>0</v>
      </c>
      <c r="O8" s="197">
        <f t="shared" si="0"/>
        <v>0</v>
      </c>
      <c r="P8" s="197">
        <f t="shared" si="0"/>
        <v>0</v>
      </c>
      <c r="Q8" s="197">
        <f t="shared" si="0"/>
        <v>0</v>
      </c>
      <c r="R8" s="197">
        <f t="shared" ref="R8:V8" si="1">SUM(R9:R10)</f>
        <v>0</v>
      </c>
      <c r="S8" s="197">
        <f t="shared" si="1"/>
        <v>0</v>
      </c>
      <c r="T8" s="197">
        <f t="shared" si="1"/>
        <v>0</v>
      </c>
      <c r="U8" s="197">
        <f t="shared" si="1"/>
        <v>0</v>
      </c>
      <c r="V8" s="197">
        <f t="shared" si="1"/>
        <v>0</v>
      </c>
    </row>
    <row r="9" spans="2:22">
      <c r="B9" s="191"/>
      <c r="C9" s="195" t="s">
        <v>97</v>
      </c>
      <c r="D9" s="193" t="s">
        <v>98</v>
      </c>
      <c r="E9" s="196">
        <v>0.0</v>
      </c>
      <c r="F9" s="196">
        <v>0.0</v>
      </c>
      <c r="G9" s="196">
        <v>0.0</v>
      </c>
      <c r="H9" s="196">
        <v>0.0</v>
      </c>
      <c r="I9" s="196">
        <v>0.0</v>
      </c>
      <c r="J9" s="196">
        <v>0.0</v>
      </c>
      <c r="K9" s="196">
        <v>0.0</v>
      </c>
      <c r="L9" s="196">
        <v>0.0</v>
      </c>
      <c r="M9" s="196">
        <v>0.0</v>
      </c>
      <c r="N9" s="196">
        <v>0.0</v>
      </c>
      <c r="O9" s="196">
        <v>0.0</v>
      </c>
      <c r="P9" s="335">
        <v>483393.0</v>
      </c>
      <c r="Q9" s="196"/>
      <c r="R9" s="196">
        <v>633067.0</v>
      </c>
      <c r="S9" s="196">
        <v>943168.0</v>
      </c>
      <c r="T9" s="196">
        <v>706660.0</v>
      </c>
      <c r="U9" s="196">
        <v>1135596.0</v>
      </c>
      <c r="V9" s="335">
        <v>776398.0</v>
      </c>
    </row>
    <row r="10" spans="2:22">
      <c r="B10" s="191"/>
      <c r="C10" s="195" t="s">
        <v>99</v>
      </c>
      <c r="D10" s="193" t="s">
        <v>100</v>
      </c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335"/>
      <c r="Q10" s="196"/>
      <c r="R10" s="196"/>
      <c r="S10" s="196"/>
      <c r="T10" s="196"/>
      <c r="U10" s="196"/>
      <c r="V10" s="335"/>
    </row>
    <row r="11" spans="2:22">
      <c r="B11" s="191"/>
      <c r="C11" s="195"/>
      <c r="D11" s="192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6"/>
      <c r="R11" s="197"/>
      <c r="S11" s="197"/>
      <c r="T11" s="197"/>
      <c r="U11" s="197"/>
      <c r="V11" s="197"/>
    </row>
    <row r="12" spans="2:22">
      <c r="B12" s="191"/>
      <c r="C12" s="191" t="s">
        <v>101</v>
      </c>
      <c r="D12" s="192" t="s">
        <v>126</v>
      </c>
      <c r="E12" s="197">
        <f>SUM(E13:E14)</f>
        <v>0</v>
      </c>
      <c r="F12" s="197">
        <f t="shared" ref="F12:Q12" si="2">SUM(F13:F14)</f>
        <v>0</v>
      </c>
      <c r="G12" s="197">
        <f t="shared" si="2"/>
        <v>0</v>
      </c>
      <c r="H12" s="197">
        <f t="shared" si="2"/>
        <v>0</v>
      </c>
      <c r="I12" s="197">
        <f t="shared" si="2"/>
        <v>0</v>
      </c>
      <c r="J12" s="197">
        <f t="shared" si="2"/>
        <v>0</v>
      </c>
      <c r="K12" s="197">
        <f t="shared" si="2"/>
        <v>0</v>
      </c>
      <c r="L12" s="197">
        <f t="shared" si="2"/>
        <v>0</v>
      </c>
      <c r="M12" s="197">
        <f t="shared" si="2"/>
        <v>0</v>
      </c>
      <c r="N12" s="197">
        <f t="shared" si="2"/>
        <v>0</v>
      </c>
      <c r="O12" s="197">
        <f t="shared" si="2"/>
        <v>0</v>
      </c>
      <c r="P12" s="197">
        <f t="shared" si="2"/>
        <v>0</v>
      </c>
      <c r="Q12" s="197">
        <f t="shared" si="2"/>
        <v>0</v>
      </c>
      <c r="R12" s="197">
        <f t="shared" ref="R12:V12" si="3">SUM(R13:R14)</f>
        <v>0</v>
      </c>
      <c r="S12" s="197">
        <f t="shared" si="3"/>
        <v>0</v>
      </c>
      <c r="T12" s="197">
        <f t="shared" si="3"/>
        <v>0</v>
      </c>
      <c r="U12" s="197">
        <f t="shared" si="3"/>
        <v>0</v>
      </c>
      <c r="V12" s="197">
        <f t="shared" si="3"/>
        <v>0</v>
      </c>
    </row>
    <row r="13" spans="2:22">
      <c r="B13" s="191"/>
      <c r="C13" s="195" t="s">
        <v>97</v>
      </c>
      <c r="D13" s="193" t="s">
        <v>124</v>
      </c>
      <c r="E13" s="196">
        <v>0.0</v>
      </c>
      <c r="F13" s="196">
        <v>0.0</v>
      </c>
      <c r="G13" s="196">
        <v>0.0</v>
      </c>
      <c r="H13" s="196">
        <v>0.0</v>
      </c>
      <c r="I13" s="196">
        <v>0.0</v>
      </c>
      <c r="J13" s="196">
        <v>0.0</v>
      </c>
      <c r="K13" s="196">
        <v>0.0</v>
      </c>
      <c r="L13" s="196">
        <v>0.0</v>
      </c>
      <c r="M13" s="196">
        <v>0.0</v>
      </c>
      <c r="N13" s="196">
        <v>0.0</v>
      </c>
      <c r="O13" s="196">
        <v>0.0</v>
      </c>
      <c r="P13" s="336">
        <v>4.0</v>
      </c>
      <c r="Q13" s="196"/>
      <c r="R13" s="196">
        <v>4.0</v>
      </c>
      <c r="S13" s="196">
        <v>8.0</v>
      </c>
      <c r="T13" s="196">
        <v>8.0</v>
      </c>
      <c r="U13" s="196">
        <v>9.0</v>
      </c>
      <c r="V13" s="336">
        <v>7.0</v>
      </c>
    </row>
    <row r="14" spans="2:22">
      <c r="B14" s="191"/>
      <c r="C14" s="195" t="s">
        <v>99</v>
      </c>
      <c r="D14" s="193" t="s">
        <v>125</v>
      </c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336"/>
      <c r="Q14" s="196"/>
      <c r="R14" s="196"/>
      <c r="S14" s="196"/>
      <c r="T14" s="196"/>
      <c r="U14" s="196"/>
      <c r="V14" s="336"/>
    </row>
    <row r="15" spans="2:22">
      <c r="B15" s="195"/>
      <c r="C15" s="195"/>
      <c r="D15" s="192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337"/>
      <c r="Q15" s="196"/>
      <c r="R15" s="197"/>
      <c r="S15" s="197"/>
      <c r="T15" s="197"/>
      <c r="U15" s="197"/>
      <c r="V15" s="337"/>
    </row>
    <row r="16" spans="2:22">
      <c r="B16" s="195"/>
      <c r="C16" s="191" t="s">
        <v>102</v>
      </c>
      <c r="D16" s="192" t="s">
        <v>105</v>
      </c>
      <c r="E16" s="197">
        <f>SUM(E17:E19)</f>
        <v>0</v>
      </c>
      <c r="F16" s="197">
        <f t="shared" ref="F16:V16" si="4">SUM(F17:F19)</f>
        <v>0</v>
      </c>
      <c r="G16" s="197">
        <f t="shared" si="4"/>
        <v>0</v>
      </c>
      <c r="H16" s="197">
        <f t="shared" si="4"/>
        <v>0</v>
      </c>
      <c r="I16" s="197">
        <f t="shared" si="4"/>
        <v>0</v>
      </c>
      <c r="J16" s="197">
        <f t="shared" si="4"/>
        <v>0</v>
      </c>
      <c r="K16" s="197">
        <f t="shared" si="4"/>
        <v>0</v>
      </c>
      <c r="L16" s="197">
        <f t="shared" si="4"/>
        <v>0</v>
      </c>
      <c r="M16" s="197">
        <f t="shared" si="4"/>
        <v>0</v>
      </c>
      <c r="N16" s="197">
        <f t="shared" si="4"/>
        <v>0</v>
      </c>
      <c r="O16" s="197">
        <f t="shared" si="4"/>
        <v>0</v>
      </c>
      <c r="P16" s="197">
        <f t="shared" si="4"/>
        <v>0</v>
      </c>
      <c r="Q16" s="197">
        <f t="shared" si="4"/>
        <v>0</v>
      </c>
      <c r="R16" s="197">
        <f t="shared" si="4"/>
        <v>0</v>
      </c>
      <c r="S16" s="197">
        <f t="shared" si="4"/>
        <v>0</v>
      </c>
      <c r="T16" s="197">
        <f t="shared" si="4"/>
        <v>0</v>
      </c>
      <c r="U16" s="197">
        <f t="shared" si="4"/>
        <v>0</v>
      </c>
      <c r="V16" s="197">
        <f t="shared" si="4"/>
        <v>0</v>
      </c>
    </row>
    <row r="17" spans="2:22">
      <c r="B17" s="195"/>
      <c r="C17" s="195" t="s">
        <v>97</v>
      </c>
      <c r="D17" s="560" t="s">
        <v>248</v>
      </c>
      <c r="E17" s="197">
        <v>0.0</v>
      </c>
      <c r="F17" s="197">
        <v>0.0</v>
      </c>
      <c r="G17" s="197">
        <v>0.0</v>
      </c>
      <c r="H17" s="197">
        <v>0.0</v>
      </c>
      <c r="I17" s="197">
        <v>0.0</v>
      </c>
      <c r="J17" s="197">
        <v>0.0</v>
      </c>
      <c r="K17" s="197">
        <v>0.0</v>
      </c>
      <c r="L17" s="197">
        <v>0.0</v>
      </c>
      <c r="M17" s="197">
        <v>0.0</v>
      </c>
      <c r="N17" s="197">
        <v>0.0</v>
      </c>
      <c r="O17" s="197">
        <v>0.0</v>
      </c>
      <c r="P17" s="337">
        <v>48737.57</v>
      </c>
      <c r="Q17" s="197"/>
      <c r="R17" s="197">
        <v>59783.73</v>
      </c>
      <c r="S17" s="197">
        <v>84869.92</v>
      </c>
      <c r="T17" s="197">
        <v>98525.24</v>
      </c>
      <c r="U17" s="197">
        <v>110781.58</v>
      </c>
      <c r="V17" s="337">
        <v>111198.16</v>
      </c>
    </row>
    <row r="18" spans="2:22">
      <c r="B18" s="195"/>
      <c r="C18" s="195" t="s">
        <v>99</v>
      </c>
      <c r="D18" s="193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337"/>
      <c r="Q18" s="197"/>
      <c r="R18" s="197"/>
      <c r="S18" s="197"/>
      <c r="T18" s="197"/>
      <c r="U18" s="197"/>
      <c r="V18" s="337"/>
    </row>
    <row r="19" spans="2:22">
      <c r="B19" s="195"/>
      <c r="C19" s="195" t="s">
        <v>247</v>
      </c>
      <c r="D19" s="192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337"/>
      <c r="Q19" s="197"/>
      <c r="R19" s="197"/>
      <c r="S19" s="197"/>
      <c r="T19" s="197"/>
      <c r="U19" s="197"/>
      <c r="V19" s="337"/>
    </row>
    <row r="20" spans="2:22">
      <c r="B20" s="195"/>
      <c r="C20" s="195"/>
      <c r="D20" s="193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</row>
    <row r="21" spans="2:22">
      <c r="B21" s="195"/>
      <c r="C21" s="191" t="s">
        <v>103</v>
      </c>
      <c r="D21" s="192" t="s">
        <v>104</v>
      </c>
      <c r="E21" s="197" t="str">
        <f t="shared" ref="E21:Q21" si="5">IFERROR(E8/E16,"-")</f>
        <v>-</v>
      </c>
      <c r="F21" s="197" t="str">
        <f t="shared" si="5"/>
        <v>-</v>
      </c>
      <c r="G21" s="197" t="str">
        <f t="shared" si="5"/>
        <v>-</v>
      </c>
      <c r="H21" s="197" t="str">
        <f t="shared" si="5"/>
        <v>-</v>
      </c>
      <c r="I21" s="197" t="str">
        <f t="shared" si="5"/>
        <v>-</v>
      </c>
      <c r="J21" s="197" t="str">
        <f t="shared" si="5"/>
        <v>-</v>
      </c>
      <c r="K21" s="197" t="str">
        <f t="shared" si="5"/>
        <v>-</v>
      </c>
      <c r="L21" s="197" t="str">
        <f t="shared" si="5"/>
        <v>-</v>
      </c>
      <c r="M21" s="197" t="str">
        <f t="shared" si="5"/>
        <v>-</v>
      </c>
      <c r="N21" s="197" t="str">
        <f t="shared" si="5"/>
        <v>-</v>
      </c>
      <c r="O21" s="197" t="str">
        <f t="shared" si="5"/>
        <v>-</v>
      </c>
      <c r="P21" s="197" t="str">
        <f t="shared" si="5"/>
        <v>-</v>
      </c>
      <c r="Q21" s="197" t="str">
        <f t="shared" si="5"/>
        <v>-</v>
      </c>
      <c r="R21" s="197" t="str">
        <f t="shared" ref="R21:V21" si="6">IFERROR(R8/R16,"-")</f>
        <v>-</v>
      </c>
      <c r="S21" s="197" t="str">
        <f t="shared" si="6"/>
        <v>-</v>
      </c>
      <c r="T21" s="197" t="str">
        <f t="shared" si="6"/>
        <v>-</v>
      </c>
      <c r="U21" s="197" t="str">
        <f t="shared" si="6"/>
        <v>-</v>
      </c>
      <c r="V21" s="197" t="str">
        <f t="shared" si="6"/>
        <v>-</v>
      </c>
    </row>
    <row r="22" spans="2:22">
      <c r="B22" s="195"/>
      <c r="C22" s="195"/>
      <c r="D22" s="193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8A1E-2D6D-4EAD-AAFF-F3E70FC5E82B}">
  <dimension ref="B2:N16"/>
  <sheetViews>
    <sheetView showGridLines="0" tabSelected="1" zoomScale="83" workbookViewId="0">
      <selection activeCell="A2" sqref="A2"/>
    </sheetView>
  </sheetViews>
  <sheetFormatPr defaultColWidth="8.7265625" defaultRowHeight="14.5"/>
  <cols>
    <col min="1" max="1" width="3.36328125" customWidth="1"/>
    <col min="2" max="2" width="5.81640625" customWidth="1"/>
    <col min="3" max="3" width="25.81640625" customWidth="1"/>
    <col min="4" max="4" width="19.36328125" bestFit="1" customWidth="1"/>
    <col min="5" max="14" width="12.81640625" customWidth="1"/>
  </cols>
  <sheetData>
    <row r="2" spans="2:14">
      <c r="B2" s="34" t="s">
        <v>171</v>
      </c>
      <c r="C2" s="34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2:14" ht="4.9000000000000004" customHeight="1"/>
    <row r="4" spans="2:14" ht="15" thickBot="1">
      <c r="D4" s="30"/>
      <c r="E4" s="267" t="s">
        <v>128</v>
      </c>
      <c r="F4" s="268"/>
      <c r="G4" s="268"/>
      <c r="H4" s="268"/>
      <c r="I4" s="268"/>
      <c r="J4" s="268"/>
      <c r="K4" s="268"/>
      <c r="L4" s="268"/>
      <c r="M4" s="268"/>
      <c r="N4" s="268"/>
    </row>
    <row r="5" spans="2:14">
      <c r="B5" s="324" t="s">
        <v>0</v>
      </c>
      <c r="C5" s="325" t="s">
        <v>117</v>
      </c>
      <c r="D5" s="325" t="s">
        <v>140</v>
      </c>
      <c r="E5" s="326" t="s">
        <v>118</v>
      </c>
      <c r="F5" s="327"/>
      <c r="G5" s="326" t="s">
        <v>119</v>
      </c>
      <c r="H5" s="327"/>
      <c r="I5" s="326" t="s">
        <v>120</v>
      </c>
      <c r="J5" s="327"/>
      <c r="K5" s="326" t="s">
        <v>121</v>
      </c>
      <c r="L5" s="327"/>
      <c r="M5" s="326" t="s">
        <v>62</v>
      </c>
      <c r="N5" s="328"/>
    </row>
    <row r="6" spans="2:14" ht="15" thickBot="1">
      <c r="B6" s="162"/>
      <c r="C6" s="329"/>
      <c r="D6" s="329"/>
      <c r="E6" s="288" t="s">
        <v>122</v>
      </c>
      <c r="F6" s="330" t="s">
        <v>123</v>
      </c>
      <c r="G6" s="288" t="s">
        <v>122</v>
      </c>
      <c r="H6" s="330" t="s">
        <v>123</v>
      </c>
      <c r="I6" s="288" t="s">
        <v>122</v>
      </c>
      <c r="J6" s="330" t="s">
        <v>123</v>
      </c>
      <c r="K6" s="288" t="s">
        <v>122</v>
      </c>
      <c r="L6" s="330" t="s">
        <v>123</v>
      </c>
      <c r="M6" s="288" t="s">
        <v>122</v>
      </c>
      <c r="N6" s="331" t="s">
        <v>123</v>
      </c>
    </row>
    <row r="7" spans="2:14">
      <c r="B7" s="514" t="s">
        <v>250</v>
      </c>
      <c r="C7" s="325"/>
      <c r="D7" s="325"/>
      <c r="E7" s="326"/>
      <c r="F7" s="327"/>
      <c r="G7" s="326"/>
      <c r="H7" s="327"/>
      <c r="I7" s="326"/>
      <c r="J7" s="327"/>
      <c r="K7" s="326"/>
      <c r="L7" s="327"/>
      <c r="M7" s="326"/>
      <c r="N7" s="328"/>
    </row>
    <row r="8" spans="2:14">
      <c r="B8" s="314">
        <v>1</v>
      </c>
      <c r="C8" s="559" t="s">
        <v>269</v>
      </c>
      <c r="D8" s="319"/>
      <c r="E8" s="269"/>
      <c r="F8" s="322"/>
      <c r="G8" s="269"/>
      <c r="H8" s="322"/>
      <c r="I8" s="269"/>
      <c r="J8" s="322"/>
      <c r="K8" s="269"/>
      <c r="L8" s="322"/>
      <c r="M8" s="269">
        <f t="shared" ref="M8:N9" si="0">E8+G8+I8+K8</f>
        <v>0</v>
      </c>
      <c r="N8" s="270">
        <f t="shared" si="0"/>
        <v>0</v>
      </c>
    </row>
    <row r="9" spans="2:14">
      <c r="B9" s="313">
        <f>B8+1</f>
        <v>2</v>
      </c>
      <c r="C9" s="316"/>
      <c r="D9" s="318"/>
      <c r="E9" s="259"/>
      <c r="F9" s="321"/>
      <c r="G9" s="259"/>
      <c r="H9" s="321"/>
      <c r="I9" s="259"/>
      <c r="J9" s="321"/>
      <c r="K9" s="259"/>
      <c r="L9" s="321"/>
      <c r="M9" s="259">
        <f t="shared" si="0"/>
        <v>0</v>
      </c>
      <c r="N9" s="260">
        <f t="shared" si="0"/>
        <v>0</v>
      </c>
    </row>
    <row r="10" spans="2:14" ht="15" thickBot="1">
      <c r="B10" s="315"/>
      <c r="C10" s="317" t="s">
        <v>62</v>
      </c>
      <c r="D10" s="320">
        <f t="shared" ref="D10:N10" si="1">SUM(D8:D9)</f>
        <v>0</v>
      </c>
      <c r="E10" s="265">
        <f t="shared" si="1"/>
        <v>0</v>
      </c>
      <c r="F10" s="323">
        <f t="shared" si="1"/>
        <v>0</v>
      </c>
      <c r="G10" s="265">
        <f t="shared" si="1"/>
        <v>0</v>
      </c>
      <c r="H10" s="323">
        <f t="shared" si="1"/>
        <v>0</v>
      </c>
      <c r="I10" s="265">
        <f t="shared" si="1"/>
        <v>0</v>
      </c>
      <c r="J10" s="323">
        <f t="shared" si="1"/>
        <v>0</v>
      </c>
      <c r="K10" s="265">
        <f t="shared" si="1"/>
        <v>0</v>
      </c>
      <c r="L10" s="323">
        <f t="shared" si="1"/>
        <v>0</v>
      </c>
      <c r="M10" s="265">
        <f t="shared" si="1"/>
        <v>0</v>
      </c>
      <c r="N10" s="266">
        <f t="shared" si="1"/>
        <v>0</v>
      </c>
    </row>
    <row r="11" spans="2:14">
      <c r="B11" s="514" t="s">
        <v>251</v>
      </c>
      <c r="C11" s="325"/>
      <c r="D11" s="325"/>
      <c r="E11" s="326"/>
      <c r="F11" s="327"/>
      <c r="G11" s="326"/>
      <c r="H11" s="327"/>
      <c r="I11" s="326"/>
      <c r="J11" s="327"/>
      <c r="K11" s="326"/>
      <c r="L11" s="327"/>
      <c r="M11" s="326"/>
      <c r="N11" s="328"/>
    </row>
    <row r="12" spans="2:14">
      <c r="B12" s="314">
        <v>1</v>
      </c>
      <c r="C12" s="559" t="s">
        <v>270</v>
      </c>
      <c r="D12" s="319"/>
      <c r="E12" s="269"/>
      <c r="F12" s="322"/>
      <c r="G12" s="269"/>
      <c r="H12" s="322"/>
      <c r="I12" s="269"/>
      <c r="J12" s="322"/>
      <c r="K12" s="269"/>
      <c r="L12" s="322"/>
      <c r="M12" s="269">
        <f t="shared" ref="M12:M13" si="2">E12+G12+I12+K12</f>
        <v>0</v>
      </c>
      <c r="N12" s="270">
        <f t="shared" ref="N12:N13" si="3">F12+H12+J12+L12</f>
        <v>0</v>
      </c>
    </row>
    <row r="13" spans="2:14">
      <c r="B13" s="313">
        <f>B12+1</f>
        <v>2</v>
      </c>
      <c r="C13" s="316"/>
      <c r="D13" s="318"/>
      <c r="E13" s="259"/>
      <c r="F13" s="321"/>
      <c r="G13" s="259"/>
      <c r="H13" s="321"/>
      <c r="I13" s="259"/>
      <c r="J13" s="321"/>
      <c r="K13" s="259"/>
      <c r="L13" s="321"/>
      <c r="M13" s="259">
        <f t="shared" si="2"/>
        <v>0</v>
      </c>
      <c r="N13" s="260">
        <f t="shared" si="3"/>
        <v>0</v>
      </c>
    </row>
    <row r="14" spans="2:14" ht="15" thickBot="1">
      <c r="B14" s="315"/>
      <c r="C14" s="317" t="s">
        <v>62</v>
      </c>
      <c r="D14" s="320">
        <f t="shared" ref="D14:N14" si="4">SUM(D12:D13)</f>
        <v>0</v>
      </c>
      <c r="E14" s="265">
        <f t="shared" si="4"/>
        <v>0</v>
      </c>
      <c r="F14" s="323">
        <f t="shared" si="4"/>
        <v>0</v>
      </c>
      <c r="G14" s="265">
        <f t="shared" si="4"/>
        <v>0</v>
      </c>
      <c r="H14" s="323">
        <f t="shared" si="4"/>
        <v>0</v>
      </c>
      <c r="I14" s="265">
        <f t="shared" si="4"/>
        <v>0</v>
      </c>
      <c r="J14" s="323">
        <f t="shared" si="4"/>
        <v>0</v>
      </c>
      <c r="K14" s="265">
        <f t="shared" si="4"/>
        <v>0</v>
      </c>
      <c r="L14" s="323">
        <f t="shared" si="4"/>
        <v>0</v>
      </c>
      <c r="M14" s="265">
        <f t="shared" si="4"/>
        <v>0</v>
      </c>
      <c r="N14" s="266">
        <f t="shared" si="4"/>
        <v>0</v>
      </c>
    </row>
    <row r="15" spans="2:14">
      <c r="B15" s="229"/>
    </row>
    <row r="16" spans="2:14">
      <c r="B16" s="22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196fc9c-d997-4eb3-82c8-e271095c1e77">
      <UserInfo>
        <DisplayName/>
        <AccountId xsi:nil="true"/>
        <AccountType/>
      </UserInfo>
    </SharedWithUsers>
    <TaxCatchAll xmlns="c196fc9c-d997-4eb3-82c8-e271095c1e77" xsi:nil="true"/>
    <lcf76f155ced4ddcb4097134ff3c332f xmlns="0c3b66ab-8cce-4907-bd0d-ec3e34dddf1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0BC11378E694BAE88BB0E0B39E992" ma:contentTypeVersion="17" ma:contentTypeDescription="Create a new document." ma:contentTypeScope="" ma:versionID="f25ad1de85b379b6d791cb437f12c6f8">
  <xsd:schema xmlns:xsd="http://www.w3.org/2001/XMLSchema" xmlns:xs="http://www.w3.org/2001/XMLSchema" xmlns:p="http://schemas.microsoft.com/office/2006/metadata/properties" xmlns:ns2="0c3b66ab-8cce-4907-bd0d-ec3e34dddf17" xmlns:ns3="c196fc9c-d997-4eb3-82c8-e271095c1e77" targetNamespace="http://schemas.microsoft.com/office/2006/metadata/properties" ma:root="true" ma:fieldsID="8c953ba2aef75fb43a5c756d038b2970" ns2:_="" ns3:_="">
    <xsd:import namespace="0c3b66ab-8cce-4907-bd0d-ec3e34dddf17"/>
    <xsd:import namespace="c196fc9c-d997-4eb3-82c8-e271095c1e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b66ab-8cce-4907-bd0d-ec3e34ddd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986406-3419-4706-8d97-9506bde530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96fc9c-d997-4eb3-82c8-e271095c1e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0035fa-c79b-4fe8-a651-5eb94f1330ba}" ma:internalName="TaxCatchAll" ma:showField="CatchAllData" ma:web="c196fc9c-d997-4eb3-82c8-e271095c1e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45A551-9CD5-459D-9E22-81FBC5B74C9C}">
  <ds:schemaRefs>
    <ds:schemaRef ds:uri="http://schemas.microsoft.com/office/2006/metadata/properties"/>
    <ds:schemaRef ds:uri="http://schemas.microsoft.com/office/infopath/2007/PartnerControls"/>
    <ds:schemaRef ds:uri="c196fc9c-d997-4eb3-82c8-e271095c1e77"/>
    <ds:schemaRef ds:uri="0c3b66ab-8cce-4907-bd0d-ec3e34dddf17"/>
  </ds:schemaRefs>
</ds:datastoreItem>
</file>

<file path=customXml/itemProps2.xml><?xml version="1.0" encoding="utf-8"?>
<ds:datastoreItem xmlns:ds="http://schemas.openxmlformats.org/officeDocument/2006/customXml" ds:itemID="{1D0A2E67-B472-4CC5-8B72-F9B3B98478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3b66ab-8cce-4907-bd0d-ec3e34dddf17"/>
    <ds:schemaRef ds:uri="c196fc9c-d997-4eb3-82c8-e271095c1e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7842D3-7FED-42F9-B047-00AB1229B4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Index</vt:lpstr>
      <vt:lpstr>Financial KPIs&gt;&gt;&gt;</vt:lpstr>
      <vt:lpstr>P&amp;L</vt:lpstr>
      <vt:lpstr>Store P&amp;L</vt:lpstr>
      <vt:lpstr>Online P&amp;L</vt:lpstr>
      <vt:lpstr>CFS</vt:lpstr>
      <vt:lpstr>Additional KPIs</vt:lpstr>
      <vt:lpstr>Operational KPIs&gt;&gt;&gt; </vt:lpstr>
      <vt:lpstr>Repeat Rate</vt:lpstr>
      <vt:lpstr>CAC &amp; ROAS</vt:lpstr>
      <vt:lpstr>SKU Spread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Pareto Capital</dc:creator>
  <cp:lastModifiedBy>Darshan Mehta</cp:lastModifiedBy>
  <dcterms:created xsi:type="dcterms:W3CDTF">2025-09-22T12:51:41Z</dcterms:created>
  <dcterms:modified xsi:type="dcterms:W3CDTF">2026-10-15T11:09:12Z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5538000</vt:r8>
  </property>
  <property fmtid="{D5CDD505-2E9C-101B-9397-08002B2CF9AE}" pid="3" name="ContentTypeId">
    <vt:lpwstr>0x0101000630BC11378E694BAE88BB0E0B39E992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