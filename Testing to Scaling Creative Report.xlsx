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reatives" sheetId="2" state="visible" r:id="rId4"/>
  </sheets>
  <definedNames>
    <definedName function="false" hidden="true" localSheetId="1" name="_xlnm._FilterDatabase" vbProcedure="false">Creatives!$A$1:$AA$264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<sst xmlns="http://schemas.openxmlformats.org/spreadsheetml/2006/main" count="1213" uniqueCount="368">
  <si>
    <t xml:space="preserve">Testing to scaling creative report (new content added to testing since 1 Jan 2026)</t>
  </si>
  <si>
    <t xml:space="preserve">Data through</t>
  </si>
  <si>
    <t xml:space="preserve">As-of date</t>
  </si>
  <si>
    <t xml:space="preserve">Report window start</t>
  </si>
  <si>
    <t xml:space="preserve">Min spend in winning campaigns to count as scaled (INR)</t>
  </si>
  <si>
    <t xml:space="preserve">Recent launch cut off (days) for the matured view</t>
  </si>
  <si>
    <t xml:space="preserve">Headline metrics</t>
  </si>
  <si>
    <t xml:space="preserve">New content pieces added to testing</t>
  </si>
  <si>
    <t xml:space="preserve">Moved to scaling</t>
  </si>
  <si>
    <t xml:space="preserve">Scale rate (moved to scaling / added)</t>
  </si>
  <si>
    <t xml:space="preserve">Added at least 14 days ago (matured cohort)</t>
  </si>
  <si>
    <t xml:space="preserve">Of those, moved to scaling</t>
  </si>
  <si>
    <t xml:space="preserve">Scale rate, matured cohort</t>
  </si>
  <si>
    <t xml:space="preserve">Avg days from testing launch to scaling</t>
  </si>
  <si>
    <t xml:space="preserve">Total testing spend (INR)</t>
  </si>
  <si>
    <t xml:space="preserve">Testing spend per new piece (INR)</t>
  </si>
  <si>
    <t xml:space="preserve">Testing spend on pieces that scaled (INR)</t>
  </si>
  <si>
    <t xml:space="preserve">Total spend in scaling campaigns on those pieces (INR)</t>
  </si>
  <si>
    <t xml:space="preserve">Cost per appointment in testing, scaled pieces (INR)</t>
  </si>
  <si>
    <t xml:space="preserve">Cost per appointment in testing, not scaled pieces (INR)</t>
  </si>
  <si>
    <t xml:space="preserve">Testing CTR, scaled pieces</t>
  </si>
  <si>
    <t xml:space="preserve">Testing CTR, not scaled pieces</t>
  </si>
  <si>
    <t xml:space="preserve">Testing hook rate, scaled pieces</t>
  </si>
  <si>
    <t xml:space="preserve">Testing hook rate, not scaled pieces</t>
  </si>
  <si>
    <t xml:space="preserve">Testing CPM, scaled pieces (INR)</t>
  </si>
  <si>
    <t xml:space="preserve">Testing CPM, not scaled pieces (INR)</t>
  </si>
  <si>
    <t xml:space="preserve">By launch month (cohort view)</t>
  </si>
  <si>
    <t xml:space="preserve">Launch month</t>
  </si>
  <si>
    <t xml:space="preserve">New pieces added</t>
  </si>
  <si>
    <t xml:space="preserve">Scale rate</t>
  </si>
  <si>
    <t xml:space="preserve">Avg days to scale</t>
  </si>
  <si>
    <t xml:space="preserve">Testing spend (INR)</t>
  </si>
  <si>
    <t xml:space="preserve">Testing spend per piece (INR)</t>
  </si>
  <si>
    <t xml:space="preserve">Testing CTR</t>
  </si>
  <si>
    <t xml:space="preserve">Testing hook rate</t>
  </si>
  <si>
    <t xml:space="preserve">Testing CPM (INR)</t>
  </si>
  <si>
    <t xml:space="preserve">Testing appointments</t>
  </si>
  <si>
    <t xml:space="preserve">Cost per appointment (INR)</t>
  </si>
  <si>
    <t xml:space="preserve">Scaling spend on these pieces (INR)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</si>
  <si>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</si>
  <si>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</si>
  <si>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</si>
  <si>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</si>
  <si>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</si>
  <si>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</si>
  <si>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</si>
  <si>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</si>
  <si>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</si>
  <si>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2026-10</t>
  </si>
  <si>
    <t xml:space="preserve">Total</t>
  </si>
  <si>
    <t xml:space="preserve">By testing campaign</t>
  </si>
  <si>
    <t xml:space="preserve">Testing campaign</t>
  </si>
  <si>
    <t xml:space="preserve">Testing _Mumbai_ABO_ Campaign</t>
  </si>
  <si>
    <t xml:space="preserve">TOF CBO _Mumbai_CNV_060326</t>
  </si>
  <si>
    <t xml:space="preserve">TOF_Mumbai_testing_Recall_210426</t>
  </si>
  <si>
    <t xml:space="preserve">Definitions and assumptions</t>
  </si>
  <si>
    <t xml:space="preserve">New content piece: a unique ad (same ad name once Copy / (SCL) suffixes are removed) whose first ever spend was in a testing campaign or testing ad set on or after 1 Jan 2026. Ad names are matched across campaigns because moving an ad to another campaign creates a copy.</t>
  </si>
  <si>
    <t xml:space="preserve">Testing campaigns: Testing Campaign, Testing _Mumbai_ABO_ Campaign, TOF_Mumbai_testing_Recall_210426 and testing ad sets in other campaigns (the dashboard sub-type = testing).</t>
  </si>
  <si>
    <t xml:space="preserve">Moved to scaling: the same content later has at least the spend shown in C7 inside winning campaigns (dashboard sub-type = winning, excluding any Testing campaign), on or after its testing launch date.</t>
  </si>
  <si>
    <t xml:space="preserve">Matured cohort: pieces launched at least C8 days before the as-of date, since newer pieces have not had time to scale. Recent months will therefore look low.</t>
  </si>
  <si>
    <t xml:space="preserve">Metrics: CTR is link clicks / impressions, hook rate is video views / impressions (same as the dashboard), CPM is spend per 1,000 impressions, appointments are Meta-reported (Appointment Booked, Shopify). Money is in INR.</t>
  </si>
  <si>
    <t xml:space="preserve">Blue cells are inputs you can change. Everything else recalculates from the Creatives sheet.</t>
  </si>
  <si>
    <t xml:space="preserve">TOF_Mumbai_testing_Recall_210426 is a recall (awareness) test with very high impressions and low CPM, so it pulls blended testing CPM and CTR down. Compare pieces within the same testing campaign for a fair read.</t>
  </si>
  <si>
    <t xml:space="preserve">January 2026 shows no new pieces because every ad launched that month reused a name already run in 2025.</t>
  </si>
  <si>
    <t xml:space="preserve">Creative-level data in this dashboard starts Jan 2025, so content first run before 2026 is excluded as not new.</t>
  </si>
  <si>
    <t xml:space="preserve">Content (ad name at launch)</t>
  </si>
  <si>
    <t xml:space="preserve">Testing launch date</t>
  </si>
  <si>
    <t xml:space="preserve">Testing ad set</t>
  </si>
  <si>
    <t xml:space="preserve">Last spend in testing</t>
  </si>
  <si>
    <t xml:space="preserve">Age (days, as of data date)</t>
  </si>
  <si>
    <t xml:space="preserve">Testing spend</t>
  </si>
  <si>
    <t xml:space="preserve">Testing impressions</t>
  </si>
  <si>
    <t xml:space="preserve">Testing link clicks</t>
  </si>
  <si>
    <t xml:space="preserve">Testing video views (hook)</t>
  </si>
  <si>
    <t xml:space="preserve">Testing CPM</t>
  </si>
  <si>
    <t xml:space="preserve">Testing appointments (Meta)</t>
  </si>
  <si>
    <t xml:space="preserve">Cost per appointment</t>
  </si>
  <si>
    <t xml:space="preserve">Moved to scaling?</t>
  </si>
  <si>
    <t xml:space="preserve">Scaling start date</t>
  </si>
  <si>
    <t xml:space="preserve">Days to scale</t>
  </si>
  <si>
    <t xml:space="preserve">Scaling campaign(s)</t>
  </si>
  <si>
    <t xml:space="preserve">Scaling spend</t>
  </si>
  <si>
    <t xml:space="preserve">Scaling impressions</t>
  </si>
  <si>
    <t xml:space="preserve">Scaling link clicks</t>
  </si>
  <si>
    <t xml:space="preserve">Scaling video views (hook)</t>
  </si>
  <si>
    <t xml:space="preserve">Scaling CTR</t>
  </si>
  <si>
    <t xml:space="preserve">Scaling hook rate</t>
  </si>
  <si>
    <t xml:space="preserve">Scaling appointments (Meta)</t>
  </si>
  <si>
    <t xml:space="preserve">MOF_Test_At Rings &amp; I Our Rings Take 14 Days_170226</t>
  </si>
  <si>
    <t xml:space="preserve">Testing_ad_set_241025</t>
  </si>
  <si>
    <t xml:space="preserve">No</t>
  </si>
  <si>
    <t xml:space="preserve">MOF_Test_Build Your Engagement Rings_170226</t>
  </si>
  <si>
    <t xml:space="preserve">MOF_Test_Engrave_170226</t>
  </si>
  <si>
    <t xml:space="preserve">Test_Rings and I is not a jewellery store_170226</t>
  </si>
  <si>
    <t xml:space="preserve">Test_The Only Engagement Ring Studio_24022026</t>
  </si>
  <si>
    <t xml:space="preserve">Test_Build Your Own Ring_24022026</t>
  </si>
  <si>
    <t xml:space="preserve">Test_Building a Ring_24022026</t>
  </si>
  <si>
    <t xml:space="preserve">Test_1000+ Engagement Rings For Men_24022026</t>
  </si>
  <si>
    <t xml:space="preserve">MOF_Engrave 1_07032026</t>
  </si>
  <si>
    <t xml:space="preserve">Test_2_MOF_060326</t>
  </si>
  <si>
    <t xml:space="preserve">Yes</t>
  </si>
  <si>
    <t xml:space="preserve">MOF_ABO_Mumbai_CNV_211224</t>
  </si>
  <si>
    <t xml:space="preserve">MOF_Gold Tones_07032026</t>
  </si>
  <si>
    <t xml:space="preserve">TOF_BYOR_1_0732026</t>
  </si>
  <si>
    <t xml:space="preserve">Test_1_TOF_060326</t>
  </si>
  <si>
    <t xml:space="preserve">TOF_BYOR_2__0732026</t>
  </si>
  <si>
    <t xml:space="preserve">Build Your Own Ring_09032026</t>
  </si>
  <si>
    <t xml:space="preserve">Reason Why Mumbai Couple Buy Engagement Ring Here_09032026</t>
  </si>
  <si>
    <t xml:space="preserve">Education_Ad_1032026</t>
  </si>
  <si>
    <t xml:space="preserve">If I were Finding My Own Engagement Ring_1032026</t>
  </si>
  <si>
    <t xml:space="preserve">Testimonial 4_100326</t>
  </si>
  <si>
    <t xml:space="preserve">Unboxing_10032026</t>
  </si>
  <si>
    <t xml:space="preserve">When Celebrities Dont Buy  Ready-Made Engagement Ring_090326</t>
  </si>
  <si>
    <t xml:space="preserve">You Notice the Rings Worn by Vijay &amp; Rashmika Mandanna at their Wedding_090326</t>
  </si>
  <si>
    <t xml:space="preserve">TOF_#1A - How do you Know if the Shape is Right</t>
  </si>
  <si>
    <t xml:space="preserve">TOF_#2Here's the Difference Between</t>
  </si>
  <si>
    <t xml:space="preserve">TOF_#3What if you could Build your Engagement Ring</t>
  </si>
  <si>
    <t xml:space="preserve">TOF_Even Rashmika Got VIjay His Dream_240326</t>
  </si>
  <si>
    <t xml:space="preserve">TOF_Test_Celebs who chose Couple Engagement Rings</t>
  </si>
  <si>
    <t xml:space="preserve">TOF_Women in Love Helping Men_06042026</t>
  </si>
  <si>
    <t xml:space="preserve">TOF#1B - This Might be the Smartest Way to Buy Engagement Rings</t>
  </si>
  <si>
    <t xml:space="preserve">Founders Vid_3_13126 – Copy_Borvali5</t>
  </si>
  <si>
    <t xml:space="preserve">Test_Borivali Studio_310326</t>
  </si>
  <si>
    <t xml:space="preserve">Test_BYOR_Borivali_010426</t>
  </si>
  <si>
    <t xml:space="preserve">MOF_Gold Tones_06042026</t>
  </si>
  <si>
    <t xml:space="preserve">MOF_Test_Appointment_06042026</t>
  </si>
  <si>
    <t xml:space="preserve">MOF_Test_Diamond Certification_06042026</t>
  </si>
  <si>
    <t xml:space="preserve">MOF_Test_LabGRvsNat_06042026</t>
  </si>
  <si>
    <t xml:space="preserve">MOF_Test_No Fix Prices _06042026</t>
  </si>
  <si>
    <t xml:space="preserve">MOF_Test_Carousel 2 _06042026</t>
  </si>
  <si>
    <t xml:space="preserve">TOF_Finishes_06042026</t>
  </si>
  <si>
    <t xml:space="preserve">TOF_Hidden Details_0604206</t>
  </si>
  <si>
    <t xml:space="preserve">TOF_If you dont Want_06042026</t>
  </si>
  <si>
    <t xml:space="preserve">TOF_Most Wanted Rings_06042026</t>
  </si>
  <si>
    <t xml:space="preserve">TOF_Personalisation_06042026</t>
  </si>
  <si>
    <t xml:space="preserve">TOF_This is How Gen Shops_06042026</t>
  </si>
  <si>
    <t xml:space="preserve">Test - TOF_When a Creative Person_06042026</t>
  </si>
  <si>
    <t xml:space="preserve">Test_Mayukhi_Carousel_110426</t>
  </si>
  <si>
    <t xml:space="preserve">Test_MOF_Intelligence_150426</t>
  </si>
  <si>
    <t xml:space="preserve">Test_MOF_QC_150426</t>
  </si>
  <si>
    <t xml:space="preserve">Test_MOF_Rings Expert_150426</t>
  </si>
  <si>
    <t xml:space="preserve">TOF_Test_Celeb Alia Eng RIng_150426</t>
  </si>
  <si>
    <t xml:space="preserve">TOF_Test_Solitaires_150426</t>
  </si>
  <si>
    <t xml:space="preserve">TOF_Test_Textures_150426</t>
  </si>
  <si>
    <t xml:space="preserve">TOF_Test_Couple RIngs _210426</t>
  </si>
  <si>
    <t xml:space="preserve">TOF_Test_Kiaras Ring_210426</t>
  </si>
  <si>
    <t xml:space="preserve">TOF_Test_You only Buy Engagement  Ring_210426</t>
  </si>
  <si>
    <t xml:space="preserve">MOF_Carousel_1_250426</t>
  </si>
  <si>
    <t xml:space="preserve">Test_Carousel_Placement_250426</t>
  </si>
  <si>
    <t xml:space="preserve">TOF_Carousel_130426_1</t>
  </si>
  <si>
    <t xml:space="preserve">TOF_Carousel_1_30426</t>
  </si>
  <si>
    <t xml:space="preserve">Test_BR_01_02052026</t>
  </si>
  <si>
    <t xml:space="preserve">Test_BR_02_02052026</t>
  </si>
  <si>
    <t xml:space="preserve">Test_BR_03_02052026</t>
  </si>
  <si>
    <t xml:space="preserve">Test_BR_04_02052026</t>
  </si>
  <si>
    <t xml:space="preserve">Test_BR_05_02052026</t>
  </si>
  <si>
    <t xml:space="preserve">Test_TOF_BR_1_0202526</t>
  </si>
  <si>
    <t xml:space="preserve">Test_TOF_BR_2_020526</t>
  </si>
  <si>
    <t xml:space="preserve">Test_TOF_BR_3_020526</t>
  </si>
  <si>
    <t xml:space="preserve">Test_TOF_BR_4_020526</t>
  </si>
  <si>
    <t xml:space="preserve">MOF_Carousel_BR_1</t>
  </si>
  <si>
    <t xml:space="preserve">Test_TOF_BR_5_020526</t>
  </si>
  <si>
    <t xml:space="preserve">MOF_Carousel_BR_2</t>
  </si>
  <si>
    <t xml:space="preserve">Test_TOF_BR_6_D3-V3_060526</t>
  </si>
  <si>
    <t xml:space="preserve">Test_TOF_BR_7_D3-V2_060526</t>
  </si>
  <si>
    <t xml:space="preserve">Test_TOF_BR_8_D3-V5_060526</t>
  </si>
  <si>
    <t xml:space="preserve">Test_TOF_Victoria Beckhams Enagagement Ring</t>
  </si>
  <si>
    <t xml:space="preserve">Test_TOF_start building_BYOR</t>
  </si>
  <si>
    <t xml:space="preserve">Test__MOF_D3-V8_070526</t>
  </si>
  <si>
    <t xml:space="preserve">Test__MOF_D3V6_070526</t>
  </si>
  <si>
    <t xml:space="preserve">Test__MOF_Unique types of Bands_070526</t>
  </si>
  <si>
    <t xml:space="preserve">Andheri_Test_FC_080526</t>
  </si>
  <si>
    <t xml:space="preserve">Testing_AndheriStore_NS_080526</t>
  </si>
  <si>
    <t xml:space="preserve">Andheri_Test_FC_080526_2</t>
  </si>
  <si>
    <t xml:space="preserve">Andheri_Test_FC_080526_GIF</t>
  </si>
  <si>
    <t xml:space="preserve">Test_Mayukhis Carousel_Updated_090526</t>
  </si>
  <si>
    <t xml:space="preserve">Test_MOF_BR_D4V3_13052026</t>
  </si>
  <si>
    <t xml:space="preserve">Test_MOF_BR_D4V4_12052026</t>
  </si>
  <si>
    <t xml:space="preserve">Test_MOF_BR_D4V8_12052026</t>
  </si>
  <si>
    <t xml:space="preserve">Test_ICP_BR_D5_V7</t>
  </si>
  <si>
    <t xml:space="preserve">Test_ICP_SG_13052026</t>
  </si>
  <si>
    <t xml:space="preserve">Test_ICP_BR_D5_v1_140526</t>
  </si>
  <si>
    <t xml:space="preserve">Test_ICP_WAnn_13052026</t>
  </si>
  <si>
    <t xml:space="preserve">Test_ICP_BR_D5_v4_140526</t>
  </si>
  <si>
    <t xml:space="preserve">Test_ICP_BR__D5_V6</t>
  </si>
  <si>
    <t xml:space="preserve">Test_ICP_BR_d4_V10_140526</t>
  </si>
  <si>
    <t xml:space="preserve">Test_ICP_Who Designed Your Ring</t>
  </si>
  <si>
    <t xml:space="preserve">Test_Ring Size Cal_14052026</t>
  </si>
  <si>
    <t xml:space="preserve">Engagement rings Do's &amp; Don'ts _180526</t>
  </si>
  <si>
    <t xml:space="preserve">New Prospects – Copy</t>
  </si>
  <si>
    <t xml:space="preserve">TOF_Test_D4V7_19052026</t>
  </si>
  <si>
    <t xml:space="preserve">TOF_Test_Unique Settings_19052026</t>
  </si>
  <si>
    <t xml:space="preserve">Test_TOF_#1_B - Why aren't you Build your Own Ring</t>
  </si>
  <si>
    <t xml:space="preserve">Test_TOF_#2_B - Why aren't you Build your Own Ring</t>
  </si>
  <si>
    <t xml:space="preserve">TOF_Test_BR_D2_V2_200526</t>
  </si>
  <si>
    <t xml:space="preserve">TOF_Test_BR_D2_V4_200526</t>
  </si>
  <si>
    <t xml:space="preserve">Test_BR_D2_V9_19052026</t>
  </si>
  <si>
    <t xml:space="preserve">TOF_Test_BR_D2_V7_250526</t>
  </si>
  <si>
    <t xml:space="preserve">TOF_Test_BR_D2_v3_250526</t>
  </si>
  <si>
    <t xml:space="preserve">TOF_Test_Chat GPT 12 Price Options Vertical</t>
  </si>
  <si>
    <t xml:space="preserve">Test_Carousel_His Enagement Ring_250526</t>
  </si>
  <si>
    <t xml:space="preserve">Test_MOF_BR_D5_V10_250526</t>
  </si>
  <si>
    <t xml:space="preserve">Test_MOF_BR_D5_V9_250526</t>
  </si>
  <si>
    <t xml:space="preserve">Test_MOF_BR_D5_v3_250526</t>
  </si>
  <si>
    <t xml:space="preserve">Test_MOF_Static Image_250526</t>
  </si>
  <si>
    <t xml:space="preserve">Test_MOF_Testimonial 08_250526</t>
  </si>
  <si>
    <t xml:space="preserve">Test_MOF_Testimonial 09_250526</t>
  </si>
  <si>
    <t xml:space="preserve">TOF_Test_Andheri Studio_020626</t>
  </si>
  <si>
    <t xml:space="preserve">TOF_Test_BR_D2_V5_020626</t>
  </si>
  <si>
    <t xml:space="preserve">Test_MOF_Testimonial_050626</t>
  </si>
  <si>
    <t xml:space="preserve">Test_MOF_Testimonial 12_1_050626</t>
  </si>
  <si>
    <t xml:space="preserve">Test_MOF_Testimonial 13_1_050626</t>
  </si>
  <si>
    <t xml:space="preserve">Test_MOF_Testimonial11_050626</t>
  </si>
  <si>
    <t xml:space="preserve">TOF_POV - I’ll Say Yes, If He Let Me Build My Own Engagement Ring_090626</t>
  </si>
  <si>
    <t xml:space="preserve">Test_2_TOF_090626</t>
  </si>
  <si>
    <t xml:space="preserve">TOF_Tejaswi's Ring_090626</t>
  </si>
  <si>
    <t xml:space="preserve">TOF_Test_Before You Purchase an Engagement Ring_090626</t>
  </si>
  <si>
    <t xml:space="preserve">TOF_Test_Does Everyone In Mumbai Have The Same Engagement Ring_090626</t>
  </si>
  <si>
    <t xml:space="preserve">TOF_Test_Lets Choose a Diamond Shape _090626</t>
  </si>
  <si>
    <t xml:space="preserve">TOF_Would You Get a Tattoo In Just 30 Mins_090626</t>
  </si>
  <si>
    <t xml:space="preserve">Test_MOF_Testimonial14_080626</t>
  </si>
  <si>
    <t xml:space="preserve">Test_MOF_Testimonial15_080626</t>
  </si>
  <si>
    <t xml:space="preserve">Test_MOF_Testimonial Combined_150626</t>
  </si>
  <si>
    <t xml:space="preserve">Test_TOF_4 Signs That Shows We Shop Differently_230626</t>
  </si>
  <si>
    <t xml:space="preserve">Test_TOF_BR_Borivali1_V2_230626</t>
  </si>
  <si>
    <t xml:space="preserve">Test_TOF_BR_Borivali1_V5_230626</t>
  </si>
  <si>
    <t xml:space="preserve">Test_TOF_BR_Borivali1_V7_230626</t>
  </si>
  <si>
    <t xml:space="preserve">Test_TOF_BR_Borivali2_V2_230626</t>
  </si>
  <si>
    <t xml:space="preserve">Test_TOF_BR_Borivali2_V3_230626</t>
  </si>
  <si>
    <t xml:space="preserve">Test_TOF_PoV - Dad-Daughter Conversation_230626</t>
  </si>
  <si>
    <t xml:space="preserve">Test_BR_Borivali2_V6_230626</t>
  </si>
  <si>
    <t xml:space="preserve">Test_MOF_BR_Borivali1_V4_230626</t>
  </si>
  <si>
    <t xml:space="preserve">Test_MOF_BR_Borivali1_V8_230626</t>
  </si>
  <si>
    <t xml:space="preserve">Test_MOF_BR_Borivali2_V4_230626</t>
  </si>
  <si>
    <t xml:space="preserve">Test_MOF_BR_Borivali2_V5__230626</t>
  </si>
  <si>
    <t xml:space="preserve">Test_MOF_Pov - When Parents are Open to Understand_2230626</t>
  </si>
  <si>
    <t xml:space="preserve">Test_TOF_BR_Borivali2_V5_230626</t>
  </si>
  <si>
    <t xml:space="preserve">Test_MOF_PoV - Dad-Daughter Conversation_230626</t>
  </si>
  <si>
    <t xml:space="preserve">Test_2_MOF__2_ 290626</t>
  </si>
  <si>
    <t xml:space="preserve">Test_MOF_BR_Andheri_V1_290626_WK1</t>
  </si>
  <si>
    <t xml:space="preserve">Test_MOF_BR_Andheri_V2_290626_WK1</t>
  </si>
  <si>
    <t xml:space="preserve">Test_MOF_BR_Andheri_V5_290626_WK1</t>
  </si>
  <si>
    <t xml:space="preserve">Test_MOF_BR_Andheri_V6_290626_WK1</t>
  </si>
  <si>
    <t xml:space="preserve">Test_MOF_BR_Andheri_V8_290626_WK1</t>
  </si>
  <si>
    <t xml:space="preserve">Test_MOF_POV_The_same_ring_has_12_different_prices_to_fit_your_budget_Jul_W2</t>
  </si>
  <si>
    <t xml:space="preserve">Test_MOF_POV_You_learn_everything_about_diamonds_before_buying_one_Jul_W2</t>
  </si>
  <si>
    <t xml:space="preserve">Test_MOF_v4_BR_Jul_W2</t>
  </si>
  <si>
    <t xml:space="preserve">Test_MOF_v7_BR_Jul_W2</t>
  </si>
  <si>
    <t xml:space="preserve">Test_TOF_POV_ your_engagement_rings_are_as_unique_as_your_love_story_Jul_W2</t>
  </si>
  <si>
    <t xml:space="preserve">Test_TOF_v3_BR_Jul_W2</t>
  </si>
  <si>
    <t xml:space="preserve">Test_MOF_Rains_Jul_W3</t>
  </si>
  <si>
    <t xml:space="preserve">Test_MOF_v3_BR_Jul_W3</t>
  </si>
  <si>
    <t xml:space="preserve">Test_MOF_v4_BR_Jul_W3</t>
  </si>
  <si>
    <t xml:space="preserve">Test_MOF_v8_BR_Jul_W3</t>
  </si>
  <si>
    <t xml:space="preserve">Test_TOF_POV You’re not being sold to, you’re being guided_Jul_W3</t>
  </si>
  <si>
    <t xml:space="preserve">Test_TOF_POV- From I like this to I made this_Jul_W3</t>
  </si>
  <si>
    <t xml:space="preserve">Test_TOF_POV- When “too many good options” is your biggest problem_Jul_W3</t>
  </si>
  <si>
    <t xml:space="preserve">Test_TOF_POV- You’re creating a ring no one else has_Jul_W3</t>
  </si>
  <si>
    <t xml:space="preserve">Test_MOF_v2_BR_Jul_W4_200726</t>
  </si>
  <si>
    <t xml:space="preserve">Test_MOF_v5_BR_Jul_W4_200726</t>
  </si>
  <si>
    <t xml:space="preserve">Test_MOF_v9_BR_Jul_W4_200726</t>
  </si>
  <si>
    <t xml:space="preserve">Test_TOF_2026_Cheatcode_Jul_W4</t>
  </si>
  <si>
    <t xml:space="preserve">Test_TOF_Lets_Design_Our_Engagement_Ring_Jul_W4</t>
  </si>
  <si>
    <t xml:space="preserve">Test_TOF_Potential_Journey_Jul_W4</t>
  </si>
  <si>
    <t xml:space="preserve">Test_TOF_This_is_why_you_cant_trust_a_man_Jul_W4</t>
  </si>
  <si>
    <t xml:space="preserve">Test_MOF_v10_BR_Jul_W5</t>
  </si>
  <si>
    <t xml:space="preserve">Test_MOF_v1_BR_Jul_W5</t>
  </si>
  <si>
    <t xml:space="preserve">Test_MOF_v6_BR_Jul_W5</t>
  </si>
  <si>
    <t xml:space="preserve">Test_MOF_BR_Day1V1_Aug_W1</t>
  </si>
  <si>
    <t xml:space="preserve">Test_MOF_BR_Day1V4_Aug_W1</t>
  </si>
  <si>
    <t xml:space="preserve">Test_MOF_BR_Day1V6_Aug_W1</t>
  </si>
  <si>
    <t xml:space="preserve">Test_TOF_POV_When_Too_Many_Good_Options_Aug_W1</t>
  </si>
  <si>
    <t xml:space="preserve">Test_TOF_POV_You_Are_Creating_a_ring_Noone_else_Aug_W1</t>
  </si>
  <si>
    <t xml:space="preserve">Test_TOF_Tips_to_save_50000_Jul_W4</t>
  </si>
  <si>
    <t xml:space="preserve">Test_MOF_BR_Day1_V11_Aug_W2</t>
  </si>
  <si>
    <t xml:space="preserve">Test_MOF_BR_Day1_V5_Aug_W2</t>
  </si>
  <si>
    <t xml:space="preserve">Test_TOF_BR_Day1_V10_Aug_W2</t>
  </si>
  <si>
    <t xml:space="preserve">Test_TOF_BR_Day1_V7_Aug_W2</t>
  </si>
  <si>
    <t xml:space="preserve">Test_TOF_BR_Day1_V8_Aug_W2</t>
  </si>
  <si>
    <t xml:space="preserve">Test_TOF_BR_Day3_V3_Aug_W2</t>
  </si>
  <si>
    <t xml:space="preserve">Test_TOF_Would_You_Rather_Aug_W2</t>
  </si>
  <si>
    <t xml:space="preserve">Test_MOF_BR_Day2_V9_Aug_W2</t>
  </si>
  <si>
    <t xml:space="preserve">Test_TOF_BR_Day2_V1_Aug_W2</t>
  </si>
  <si>
    <t xml:space="preserve">Test_TOF_BR_Day2_V3_Aug_W2</t>
  </si>
  <si>
    <t xml:space="preserve">Test_MOF_BR_Day1V2_Aug_W3</t>
  </si>
  <si>
    <t xml:space="preserve">Test_MOF_BR_Day1V9_Aug_W3</t>
  </si>
  <si>
    <t xml:space="preserve">Test_MOF_BR_Day2V9_Aug_W3</t>
  </si>
  <si>
    <t xml:space="preserve">Test_MOF_BR_Day3V10_Aug_W4</t>
  </si>
  <si>
    <t xml:space="preserve">Test_MOF_BR_Day3V3_Aug_W4</t>
  </si>
  <si>
    <t xml:space="preserve">Test_TOF_BR_Day1V3_Aug_W4</t>
  </si>
  <si>
    <t xml:space="preserve">Test_TOF_BR_Day2V10_Aug_W4</t>
  </si>
  <si>
    <t xml:space="preserve">Test_TOF_BR_Day3V8_Aug_W4</t>
  </si>
  <si>
    <t xml:space="preserve">Test_MOF_12_Price_variants_Mayukhi_Polished_Aug_W5</t>
  </si>
  <si>
    <t xml:space="preserve">Test_MOF_BR_Day4_V3_Aug_W5</t>
  </si>
  <si>
    <t xml:space="preserve">Test_MOF_Pov_First_Personalised_ring_studio_Aug_W5</t>
  </si>
  <si>
    <t xml:space="preserve">Test_MOF_Testimonial_Mumbai_Virtual_Aug_W5</t>
  </si>
  <si>
    <t xml:space="preserve">Test_TOF_BR_Day4V1_Aug_W5</t>
  </si>
  <si>
    <t xml:space="preserve">Test_TOF_Jenifer_Winget_Short_Aug_W5</t>
  </si>
  <si>
    <t xml:space="preserve">Test_TOF_POV_I_will_look_around_Aug_W5</t>
  </si>
  <si>
    <t xml:space="preserve">Test_MOF_Enagagement_Ring_Tip_Sept_W2</t>
  </si>
  <si>
    <t xml:space="preserve">Test_MOF_Home_Grown_Brand_Sept_W2</t>
  </si>
  <si>
    <t xml:space="preserve">Test_MOF_POV_Ring_Becomes_Yours_Sept_W2</t>
  </si>
  <si>
    <t xml:space="preserve">Test_TOF_Madison_Beer_Sept_W2</t>
  </si>
  <si>
    <t xml:space="preserve">MOF_Test_14_vs_18_Karat_Sept_W3</t>
  </si>
  <si>
    <t xml:space="preserve">MOF_Test_BYOR2_Sept_W3</t>
  </si>
  <si>
    <t xml:space="preserve">MOF_Test_BYOR_Sept_W3</t>
  </si>
  <si>
    <t xml:space="preserve">MOF_Test_Really_Love_Your_Sister_Sept_W3</t>
  </si>
  <si>
    <t xml:space="preserve">MOF_Test_Stop_Asking_Your_Parents_Sept_W3</t>
  </si>
  <si>
    <t xml:space="preserve">TOF_Test_3RedFlags_Sept_W3</t>
  </si>
  <si>
    <t xml:space="preserve">TOF_Test_Designing_my_ring_Sept_W3</t>
  </si>
  <si>
    <t xml:space="preserve">TOF_Test_Diamond_Industry_Sept_W3</t>
  </si>
  <si>
    <t xml:space="preserve">TOF_Test_Hailey_vs_Kiara_Sept_W3</t>
  </si>
  <si>
    <t xml:space="preserve">TOF_Test_Iphone_Duo_Sept_W3</t>
  </si>
  <si>
    <t xml:space="preserve">TOF_Test_POV_All_Figured_Out_Sept_W3</t>
  </si>
  <si>
    <t xml:space="preserve">TOF_Test_Where_Are_You_Sept_W3</t>
  </si>
  <si>
    <t xml:space="preserve">Test_TOF_BR_Video_06_Dua_Sept_W4</t>
  </si>
  <si>
    <t xml:space="preserve">Test_TOF_BR_Video_23_Jiya_Sept_W4</t>
  </si>
  <si>
    <t xml:space="preserve">Test_TOF_Internal_Navya_BYOR_Sept_W4</t>
  </si>
  <si>
    <t xml:space="preserve">Test_TOF_Internal_Zendaya_Sept_W4</t>
  </si>
  <si>
    <t xml:space="preserve">Test - Test_MOF_BYOR_Challenge_Long_A_Sept_W5</t>
  </si>
  <si>
    <t xml:space="preserve">Test - Test_MOF_BYOR_Challenge_Long_B_Sept_W5</t>
  </si>
  <si>
    <t xml:space="preserve">Test_MOF_15_Days_Mayukhi_B_Sept_W5</t>
  </si>
  <si>
    <t xml:space="preserve">Test_MOF_15_Days_V20_BR_A_Sept_W5</t>
  </si>
  <si>
    <t xml:space="preserve">Test_MOF_Alloys_Mayukhi_Sept_W5</t>
  </si>
  <si>
    <t xml:space="preserve">Test_MOF_Certificate_Mayukhi_Sept_W5</t>
  </si>
  <si>
    <t xml:space="preserve">Test_MOF_POV_Smart_Shopping_Sept_W5</t>
  </si>
  <si>
    <t xml:space="preserve">Test_TOF_Alloys_Mayukhi_Sept_W5</t>
  </si>
  <si>
    <t xml:space="preserve">Test_3_TOF_280926</t>
  </si>
  <si>
    <t xml:space="preserve">Test_TOF_Friends_Mayukhi_Sept_W5</t>
  </si>
  <si>
    <t xml:space="preserve">Test_TOF_Love_Hypothesis_Mayukhi_Sept_W5</t>
  </si>
  <si>
    <t xml:space="preserve">Test_TOF_Verity_Mayukhi_Sept_W5</t>
  </si>
  <si>
    <t xml:space="preserve">Test_MOF_12_Prices_Mayukhi_Oct_W2</t>
  </si>
  <si>
    <t xml:space="preserve">Test_3_MOF_051026</t>
  </si>
  <si>
    <t xml:space="preserve">Test_MOF_2_BR_Oct_W2</t>
  </si>
  <si>
    <t xml:space="preserve">Test_MOF_36_BR_Oct_W2</t>
  </si>
  <si>
    <t xml:space="preserve">Test_MOF_47_BR_Oct_W2</t>
  </si>
  <si>
    <t xml:space="preserve">Test_TOF_Caveman_Suchitra_Oct_W2</t>
  </si>
  <si>
    <t xml:space="preserve">Test_TOF_Deepika_Beyonce_Mayukhi_Oct_W2</t>
  </si>
  <si>
    <t xml:space="preserve">Test_TOF_Diamond_Buying_Guide_Mayukhi_Oct_W2</t>
  </si>
  <si>
    <t xml:space="preserve">Test_TOF_Netflix_Mayukhi_Oct_W2</t>
  </si>
  <si>
    <t xml:space="preserve">Test_TOF_POV_Budget_Style_Oct_W2</t>
  </si>
  <si>
    <t xml:space="preserve">Test_MOF_Journey_Suchitra_Oct_W3</t>
  </si>
  <si>
    <t xml:space="preserve">Test_MOF_Karan_Pune_Workshop_Oct_W3</t>
  </si>
  <si>
    <t xml:space="preserve">Test_MOF_V12_BR5_Oct_W3</t>
  </si>
  <si>
    <t xml:space="preserve">Test_MOF_V17_BR5_Oct_W3</t>
  </si>
  <si>
    <t xml:space="preserve">Test_MOF_V18_BR5_Oct_W3</t>
  </si>
  <si>
    <t xml:space="preserve">Test_MOF_V26_BR5_Oct_W3</t>
  </si>
  <si>
    <t xml:space="preserve">Test_MOF_V30_BR5_Oct_W3</t>
  </si>
  <si>
    <t xml:space="preserve">Test_TOF_Amol_Pune_Workshop_Oct_W3</t>
  </si>
  <si>
    <t xml:space="preserve">Test_TOF_Aniket_Pune_Workshop_Oct_W3</t>
  </si>
  <si>
    <t xml:space="preserve">Test_TOF_Muse_Mayukhi_Oct_W3</t>
  </si>
  <si>
    <t xml:space="preserve">Test_TOF_Navaratri_Mayukhi_Oct_W3</t>
  </si>
  <si>
    <t xml:space="preserve">Test_TOF_Priyanka_Pune_Workshop_Oct_W3</t>
  </si>
  <si>
    <t xml:space="preserve">Test_TOF_V03_BR5_Oct_W3</t>
  </si>
  <si>
    <t xml:space="preserve">Test_3_2.0_TOF_121026</t>
  </si>
  <si>
    <t xml:space="preserve">Test_TOF_V04_BR5_Oct_W3</t>
  </si>
  <si>
    <t xml:space="preserve">Test_TOF_V05_BR5_Oct_W3</t>
  </si>
  <si>
    <t xml:space="preserve">Test_TOF_V06_BR5_Oct_W3</t>
  </si>
  <si>
    <t xml:space="preserve">Test_TOF_V09_BR5_Oct_W3</t>
  </si>
  <si>
    <t xml:space="preserve">Test_TOF_If_You're_Getting_Engaged_In_2026_Reuse_Oct_W4</t>
  </si>
  <si>
    <t xml:space="preserve">Test_TOF_Lets_talk_size_Mayukhi_Oct_W4</t>
  </si>
  <si>
    <t xml:space="preserve">Test_TOF_Relationship_Review_Suchitra_Oct_W4</t>
  </si>
  <si>
    <t xml:space="preserve">Test_TOF_Sakshi_Oct_W4</t>
  </si>
  <si>
    <t xml:space="preserve">Test_TOF_Suchitra_Let_me_guess_Oct_W4</t>
  </si>
  <si>
    <t xml:space="preserve">Test_TOF_V15_BR5_Oct_W4</t>
  </si>
  <si>
    <t xml:space="preserve">Test_MOF_BR_47_Batch4_Oct_W4</t>
  </si>
  <si>
    <t xml:space="preserve">Test_MOF_BR_48_Batch4_Oct_W4</t>
  </si>
  <si>
    <t xml:space="preserve">Test_MOF_V52_BR5_Oct_W4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</si>
</sst>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#,##0"/>
    <numFmt numFmtId="167" formatCode="0.0%"/>
    <numFmt numFmtId="168" formatCode="0.0"/>
    <numFmt numFmtId="169" formatCode="0.00%"/>
    <numFmt numFmtId="170" formatCode="dd\-mmm\-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N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8"/>
    <col collapsed="false" customWidth="true" hidden="false" outlineLevel="0" max="14" min="3" style="0" width="15"/>
  </cols>
  <sheetData>
    <row r="2" customFormat="false" ht="17.35" hidden="false" customHeight="false" outlineLevel="0" collapsed="false">
      <c r="B2" s="1" t="s">
        <v>0</v>
      </c>
    </row>
    <row r="4" customFormat="false" ht="15" hidden="false" customHeight="false" outlineLevel="0" collapsed="false">
      <c r="B4" s="0" t="s">
        <v>1</v>
      </c>
    </row>
    <row r="5" customFormat="false" ht="15" hidden="false" customHeight="false" outlineLevel="0" collapsed="false">
      <c r="B5" s="0" t="s">
        <v>2</v>
      </c>
      <c r="C5" s="2" t="n">
        <v>46320</v>
      </c>
    </row>
    <row r="6" customFormat="false" ht="15" hidden="false" customHeight="false" outlineLevel="0" collapsed="false">
      <c r="B6" s="0" t="s">
        <v>3</v>
      </c>
      <c r="C6" s="2" t="n">
        <v>46023</v>
      </c>
    </row>
    <row r="7" customFormat="false" ht="15" hidden="false" customHeight="false" outlineLevel="0" collapsed="false">
      <c r="B7" s="0" t="s">
        <v>4</v>
      </c>
      <c r="C7" s="3" t="n">
        <v>5000</v>
      </c>
    </row>
    <row r="8" customFormat="false" ht="15" hidden="false" customHeight="false" outlineLevel="0" collapsed="false">
      <c r="B8" s="0" t="s">
        <v>5</v>
      </c>
      <c r="C8" s="4" t="n">
        <v>14</v>
      </c>
    </row>
    <row r="10" customFormat="false" ht="15" hidden="false" customHeight="false" outlineLevel="0" collapsed="false">
      <c r="B10" s="5" t="s">
        <v>6</v>
      </c>
    </row>
    <row r="11" customFormat="false" ht="15" hidden="false" customHeight="false" outlineLevel="0" collapsed="false">
      <c r="B11" s="6" t="s">
        <v>7</v>
      </c>
      <c r="C11" s="7" t="n">
        <f aca="false">COUNTA(Creatives!$A$2:$A$264)</f>
        <v>263</v>
      </c>
    </row>
    <row r="12" customFormat="false" ht="15" hidden="false" customHeight="false" outlineLevel="0" collapsed="false">
      <c r="B12" s="6" t="s">
        <v>8</v>
      </c>
      <c r="C12" s="7" t="n">
        <f aca="false">COUNTIF(Creatives!$Q$2:$Q$264,"Yes")</f>
        <v>59</v>
      </c>
    </row>
    <row r="13" customFormat="false" ht="15" hidden="false" customHeight="false" outlineLevel="0" collapsed="false">
      <c r="B13" s="6" t="s">
        <v>9</v>
      </c>
      <c r="C13" s="8" t="n">
        <f aca="false">IFERROR(C12/C11,0)</f>
        <v>0.224334600760456</v>
      </c>
    </row>
    <row r="14" customFormat="false" ht="15" hidden="false" customHeight="false" outlineLevel="0" collapsed="false">
      <c r="B14" s="6" t="s">
        <v>10</v>
      </c>
      <c r="C14" s="7" t="n">
        <f aca="false">COUNTIF(Creatives!$G$2:$G$264,"&gt;="&amp;C8)</f>
        <v>237</v>
      </c>
    </row>
    <row r="15" customFormat="false" ht="15" hidden="false" customHeight="false" outlineLevel="0" collapsed="false">
      <c r="B15" s="6" t="s">
        <v>11</v>
      </c>
      <c r="C15" s="7" t="n">
        <f aca="false">COUNTIFS(Creatives!$G$2:$G$264,"&gt;="&amp;C8,Creatives!$Q$2:$Q$264,"Yes")</f>
        <v>58</v>
      </c>
    </row>
    <row r="16" customFormat="false" ht="15" hidden="false" customHeight="false" outlineLevel="0" collapsed="false">
      <c r="B16" s="6" t="s">
        <v>12</v>
      </c>
      <c r="C16" s="8" t="n">
        <f aca="false">IFERROR(C15/C14,0)</f>
        <v>0.244725738396624</v>
      </c>
    </row>
    <row r="17" customFormat="false" ht="15" hidden="false" customHeight="false" outlineLevel="0" collapsed="false">
      <c r="B17" s="6" t="s">
        <v>13</v>
      </c>
      <c r="C17" s="9" t="n">
        <f aca="false">IFERROR(AVERAGEIF(Creatives!$Q$2:$Q$264,"Yes",Creatives!$S$2:$S$264),0)</f>
        <v>13.2033898305085</v>
      </c>
    </row>
    <row r="18" customFormat="false" ht="15" hidden="false" customHeight="false" outlineLevel="0" collapsed="false">
      <c r="B18" s="6" t="s">
        <v>14</v>
      </c>
      <c r="C18" s="7" t="n">
        <f aca="false">SUM(Creatives!$H$2:$H$264)</f>
        <v>2097022.27</v>
      </c>
    </row>
    <row r="19" customFormat="false" ht="15" hidden="false" customHeight="false" outlineLevel="0" collapsed="false">
      <c r="B19" s="6" t="s">
        <v>15</v>
      </c>
      <c r="C19" s="7" t="n">
        <f aca="false">IFERROR(C18/C11,0)</f>
        <v>7973.46870722434</v>
      </c>
    </row>
    <row r="20" customFormat="false" ht="15" hidden="false" customHeight="false" outlineLevel="0" collapsed="false">
      <c r="B20" s="6" t="s">
        <v>16</v>
      </c>
      <c r="C20" s="7" t="n">
        <f aca="false">SUMIF(Creatives!$Q$2:$Q$264,"Yes",Creatives!$H$2:$H$264)</f>
        <v>600902.79</v>
      </c>
    </row>
    <row r="21" customFormat="false" ht="15" hidden="false" customHeight="false" outlineLevel="0" collapsed="false">
      <c r="B21" s="6" t="s">
        <v>17</v>
      </c>
      <c r="C21" s="7" t="n">
        <f aca="false">SUM(Creatives!$U$2:$U$264)</f>
        <v>7316800.75</v>
      </c>
    </row>
    <row r="22" customFormat="false" ht="15" hidden="false" customHeight="false" outlineLevel="0" collapsed="false">
      <c r="B22" s="6" t="s">
        <v>18</v>
      </c>
      <c r="C22" s="7" t="n">
        <f aca="false">IFERROR(SUMIF(Creatives!$Q$2:$Q$264,"Yes",Creatives!$H$2:$H$264)/SUMIF(Creatives!$Q$2:$Q$264,"Yes",Creatives!$O$2:$O$264),0)</f>
        <v>3414.22039772727</v>
      </c>
    </row>
    <row r="23" customFormat="false" ht="15" hidden="false" customHeight="false" outlineLevel="0" collapsed="false">
      <c r="B23" s="6" t="s">
        <v>19</v>
      </c>
      <c r="C23" s="7" t="n">
        <f aca="false">IFERROR(SUMIF(Creatives!$Q$2:$Q$264,"No",Creatives!$H$2:$H$264)/SUMIF(Creatives!$Q$2:$Q$264,"No",Creatives!$O$2:$O$264),0)</f>
        <v>4479.39964071856</v>
      </c>
    </row>
    <row r="24" customFormat="false" ht="15" hidden="false" customHeight="false" outlineLevel="0" collapsed="false">
      <c r="B24" s="6" t="s">
        <v>20</v>
      </c>
      <c r="C24" s="10" t="n">
        <f aca="false">IFERROR(SUMIF(Creatives!$Q$2:$Q$264,"Yes",Creatives!$J$2:$J$264)/SUMIF(Creatives!$Q$2:$Q$264,"Yes",Creatives!$I$2:$I$264),0)</f>
        <v>0.0252824130635175</v>
      </c>
    </row>
    <row r="25" customFormat="false" ht="15" hidden="false" customHeight="false" outlineLevel="0" collapsed="false">
      <c r="B25" s="6" t="s">
        <v>21</v>
      </c>
      <c r="C25" s="10" t="n">
        <f aca="false">IFERROR(SUMIF(Creatives!$Q$2:$Q$264,"No",Creatives!$J$2:$J$264)/SUMIF(Creatives!$Q$2:$Q$264,"No",Creatives!$I$2:$I$264),0)</f>
        <v>0.000930542155169728</v>
      </c>
    </row>
    <row r="26" customFormat="false" ht="15" hidden="false" customHeight="false" outlineLevel="0" collapsed="false">
      <c r="B26" s="6" t="s">
        <v>22</v>
      </c>
      <c r="C26" s="10" t="n">
        <f aca="false">IFERROR(SUMIF(Creatives!$Q$2:$Q$264,"Yes",Creatives!$K$2:$K$264)/SUMIF(Creatives!$Q$2:$Q$264,"Yes",Creatives!$I$2:$I$264),0)</f>
        <v>0.229422870662371</v>
      </c>
    </row>
    <row r="27" customFormat="false" ht="15" hidden="false" customHeight="false" outlineLevel="0" collapsed="false">
      <c r="B27" s="6" t="s">
        <v>23</v>
      </c>
      <c r="C27" s="10" t="n">
        <f aca="false">IFERROR(SUMIF(Creatives!$Q$2:$Q$264,"No",Creatives!$K$2:$K$264)/SUMIF(Creatives!$Q$2:$Q$264,"No",Creatives!$I$2:$I$264),0)</f>
        <v>0.064594848575456</v>
      </c>
    </row>
    <row r="28" customFormat="false" ht="15" hidden="false" customHeight="false" outlineLevel="0" collapsed="false">
      <c r="B28" s="6" t="s">
        <v>24</v>
      </c>
      <c r="C28" s="7" t="n">
        <f aca="false">IFERROR(SUMIF(Creatives!$Q$2:$Q$264,"Yes",Creatives!$H$2:$H$264)/SUMIF(Creatives!$Q$2:$Q$264,"Yes",Creatives!$I$2:$I$264)*1000,0)</f>
        <v>68.0069319441529</v>
      </c>
    </row>
    <row r="29" customFormat="false" ht="15" hidden="false" customHeight="false" outlineLevel="0" collapsed="false">
      <c r="B29" s="6" t="s">
        <v>25</v>
      </c>
      <c r="C29" s="7" t="n">
        <f aca="false">IFERROR(SUMIF(Creatives!$Q$2:$Q$264,"No",Creatives!$H$2:$H$264)/SUMIF(Creatives!$Q$2:$Q$264,"No",Creatives!$I$2:$I$264)*1000,0)</f>
        <v>23.616662346236</v>
      </c>
    </row>
    <row r="31" customFormat="false" ht="15" hidden="false" customHeight="false" outlineLevel="0" collapsed="false">
      <c r="B31" s="5" t="s">
        <v>26</v>
      </c>
    </row>
    <row r="32" customFormat="false" ht="43.5" hidden="false" customHeight="true" outlineLevel="0" collapsed="false">
      <c r="B32" s="11" t="s">
        <v>27</v>
      </c>
      <c r="C32" s="11" t="s">
        <v>28</v>
      </c>
      <c r="D32" s="11" t="s">
        <v>8</v>
      </c>
      <c r="E32" s="11" t="s">
        <v>29</v>
      </c>
      <c r="F32" s="11" t="s">
        <v>30</v>
      </c>
      <c r="G32" s="11" t="s">
        <v>31</v>
      </c>
      <c r="H32" s="11" t="s">
        <v>32</v>
      </c>
      <c r="I32" s="11" t="s">
        <v>33</v>
      </c>
      <c r="J32" s="11" t="s">
        <v>34</v>
      </c>
      <c r="K32" s="11" t="s">
        <v>35</v>
      </c>
      <c r="L32" s="11" t="s">
        <v>36</v>
      </c>
      <c r="M32" s="11" t="s">
        <v>37</v>
      </c>
      <c r="N32" s="11" t="s">
        <v>38</v>
      </c>
    </row>
    <row r="33" customFormat="false" ht="15" hidden="false" customHeight="false" outlineLevel="0" collapsed="false">
      <c r="B33" s="12" t="s">
        <v>39</v>
      </c>
      <c r="C33" s="13" t="n">
        <f aca="false">COUNTIF(Creatives!$C$2:$C$264,B33)</f>
        <v>0</v>
      </c>
      <c r="D33" s="13" t="n">
        <f aca="false">COUNTIFS(Creatives!$C$2:$C$264,B33,Creatives!$Q$2:$Q$264,"Yes")</f>
        <v>0</v>
      </c>
      <c r="E33" s="14" t="n">
        <f aca="false">IFERROR(D33/C33,0)</f>
        <v>0</v>
      </c>
      <c r="F33" s="15" t="n">
        <f aca="false">IFERROR(AVERAGEIFS(Creatives!$S$2:$S$264,Creatives!$C$2:$C$264,B33,Creatives!$Q$2:$Q$264,"Yes"),0)</f>
        <v>0</v>
      </c>
      <c r="G33" s="13" t="n">
        <f aca="false">SUMIF(Creatives!$C$2:$C$264,B33,Creatives!$H$2:$H$264)</f>
        <v>0</v>
      </c>
      <c r="H33" s="13" t="n">
        <f aca="false">IFERROR(G33/C33,0)</f>
        <v>0</v>
      </c>
      <c r="I33" s="16" t="n">
        <f aca="false">IFERROR(SUMIF(Creatives!$C$2:$C$264,B33,Creatives!$J$2:$J$264)/SUMIF(Creatives!$C$2:$C$264,B33,Creatives!$I$2:$I$264),0)</f>
        <v>0</v>
      </c>
      <c r="J33" s="16" t="n">
        <f aca="false">IFERROR(SUMIF(Creatives!$C$2:$C$264,B33,Creatives!$K$2:$K$264)/SUMIF(Creatives!$C$2:$C$264,B33,Creatives!$I$2:$I$264),0)</f>
        <v>0</v>
      </c>
      <c r="K33" s="13" t="n">
        <f aca="false">IFERROR(G33/SUMIF(Creatives!$C$2:$C$264,B33,Creatives!$I$2:$I$264)*1000,0)</f>
        <v>0</v>
      </c>
      <c r="L33" s="13" t="n">
        <f aca="false">SUMIF(Creatives!$C$2:$C$264,B33,Creatives!$O$2:$O$264)</f>
        <v>0</v>
      </c>
      <c r="M33" s="13" t="n">
        <f aca="false">IFERROR(G33/L33,0)</f>
        <v>0</v>
      </c>
      <c r="N33" s="13" t="n">
        <f aca="false">SUMIF(Creatives!$C$2:$C$264,B33,Creatives!$U$2:$U$264)</f>
        <v>0</v>
      </c>
    </row>
    <row r="34" customFormat="false" ht="15" hidden="false" customHeight="false" outlineLevel="0" collapsed="false">
      <c r="B34" s="12" t="s">
        <v>40</v>
      </c>
      <c r="C34" s="13" t="n">
        <f aca="false">COUNTIF(Creatives!$C$2:$C$264,B34)</f>
        <v>8</v>
      </c>
      <c r="D34" s="13" t="n">
        <f aca="false">COUNTIFS(Creatives!$C$2:$C$264,B34,Creatives!$Q$2:$Q$264,"Yes")</f>
        <v>0</v>
      </c>
      <c r="E34" s="14" t="n">
        <f aca="false">IFERROR(D34/C34,0)</f>
        <v>0</v>
      </c>
      <c r="F34" s="15" t="n">
        <f aca="false">IFERROR(AVERAGEIFS(Creatives!$S$2:$S$264,Creatives!$C$2:$C$264,B34,Creatives!$Q$2:$Q$264,"Yes"),0)</f>
        <v>0</v>
      </c>
      <c r="G34" s="13" t="n">
        <f aca="false">SUMIF(Creatives!$C$2:$C$264,B34,Creatives!$H$2:$H$264)</f>
        <v>191071.19</v>
      </c>
      <c r="H34" s="13" t="n">
        <f aca="false">IFERROR(G34/C34,0)</f>
        <v>23883.89875</v>
      </c>
      <c r="I34" s="16" t="n">
        <f aca="false">IFERROR(SUMIF(Creatives!$C$2:$C$264,B34,Creatives!$J$2:$J$264)/SUMIF(Creatives!$C$2:$C$264,B34,Creatives!$I$2:$I$264),0)</f>
        <v>0.00466846524026276</v>
      </c>
      <c r="J34" s="16" t="n">
        <f aca="false">IFERROR(SUMIF(Creatives!$C$2:$C$264,B34,Creatives!$K$2:$K$264)/SUMIF(Creatives!$C$2:$C$264,B34,Creatives!$I$2:$I$264),0)</f>
        <v>0.128017018925108</v>
      </c>
      <c r="K34" s="13" t="n">
        <f aca="false">IFERROR(G34/SUMIF(Creatives!$C$2:$C$264,B34,Creatives!$I$2:$I$264)*1000,0)</f>
        <v>136.769274598381</v>
      </c>
      <c r="L34" s="13" t="n">
        <f aca="false">SUMIF(Creatives!$C$2:$C$264,B34,Creatives!$O$2:$O$264)</f>
        <v>33</v>
      </c>
      <c r="M34" s="13" t="n">
        <f aca="false">IFERROR(G34/L34,0)</f>
        <v>5790.03606060606</v>
      </c>
      <c r="N34" s="13" t="n">
        <f aca="false">SUMIF(Creatives!$C$2:$C$264,B34,Creatives!$U$2:$U$264)</f>
        <v>0</v>
      </c>
    </row>
    <row r="35" customFormat="false" ht="15" hidden="false" customHeight="false" outlineLevel="0" collapsed="false">
      <c r="B35" s="12" t="s">
        <v>41</v>
      </c>
      <c r="C35" s="13" t="n">
        <f aca="false">COUNTIF(Creatives!$C$2:$C$264,B35)</f>
        <v>19</v>
      </c>
      <c r="D35" s="13" t="n">
        <f aca="false">COUNTIFS(Creatives!$C$2:$C$264,B35,Creatives!$Q$2:$Q$264,"Yes")</f>
        <v>10</v>
      </c>
      <c r="E35" s="14" t="n">
        <f aca="false">IFERROR(D35/C35,0)</f>
        <v>0.526315789473684</v>
      </c>
      <c r="F35" s="15" t="n">
        <f aca="false">IFERROR(AVERAGEIFS(Creatives!$S$2:$S$264,Creatives!$C$2:$C$264,B35,Creatives!$Q$2:$Q$264,"Yes"),0)</f>
        <v>12.4</v>
      </c>
      <c r="G35" s="13" t="n">
        <f aca="false">SUMIF(Creatives!$C$2:$C$264,B35,Creatives!$H$2:$H$264)</f>
        <v>240171.86</v>
      </c>
      <c r="H35" s="13" t="n">
        <f aca="false">IFERROR(G35/C35,0)</f>
        <v>12640.6242105263</v>
      </c>
      <c r="I35" s="16" t="n">
        <f aca="false">IFERROR(SUMIF(Creatives!$C$2:$C$264,B35,Creatives!$J$2:$J$264)/SUMIF(Creatives!$C$2:$C$264,B35,Creatives!$I$2:$I$264),0)</f>
        <v>0.027687393172839</v>
      </c>
      <c r="J35" s="16" t="n">
        <f aca="false">IFERROR(SUMIF(Creatives!$C$2:$C$264,B35,Creatives!$K$2:$K$264)/SUMIF(Creatives!$C$2:$C$264,B35,Creatives!$I$2:$I$264),0)</f>
        <v>0.229815557665848</v>
      </c>
      <c r="K35" s="13" t="n">
        <f aca="false">IFERROR(G35/SUMIF(Creatives!$C$2:$C$264,B35,Creatives!$I$2:$I$264)*1000,0)</f>
        <v>30.8167590443735</v>
      </c>
      <c r="L35" s="13" t="n">
        <f aca="false">SUMIF(Creatives!$C$2:$C$264,B35,Creatives!$O$2:$O$264)</f>
        <v>45</v>
      </c>
      <c r="M35" s="13" t="n">
        <f aca="false">IFERROR(G35/L35,0)</f>
        <v>5337.15244444444</v>
      </c>
      <c r="N35" s="13" t="n">
        <f aca="false">SUMIF(Creatives!$C$2:$C$264,B35,Creatives!$U$2:$U$264)</f>
        <v>2286157.62</v>
      </c>
    </row>
    <row r="36" customFormat="false" ht="15" hidden="false" customHeight="false" outlineLevel="0" collapsed="false">
      <c r="B36" s="12" t="s">
        <v>42</v>
      </c>
      <c r="C36" s="13" t="n">
        <f aca="false">COUNTIF(Creatives!$C$2:$C$264,B36)</f>
        <v>28</v>
      </c>
      <c r="D36" s="13" t="n">
        <f aca="false">COUNTIFS(Creatives!$C$2:$C$264,B36,Creatives!$Q$2:$Q$264,"Yes")</f>
        <v>9</v>
      </c>
      <c r="E36" s="14" t="n">
        <f aca="false">IFERROR(D36/C36,0)</f>
        <v>0.321428571428571</v>
      </c>
      <c r="F36" s="15" t="n">
        <f aca="false">IFERROR(AVERAGEIFS(Creatives!$S$2:$S$264,Creatives!$C$2:$C$264,B36,Creatives!$Q$2:$Q$264,"Yes"),0)</f>
        <v>29.3333333333333</v>
      </c>
      <c r="G36" s="13" t="n">
        <f aca="false">SUMIF(Creatives!$C$2:$C$264,B36,Creatives!$H$2:$H$264)</f>
        <v>163533.03</v>
      </c>
      <c r="H36" s="13" t="n">
        <f aca="false">IFERROR(G36/C36,0)</f>
        <v>5840.46535714286</v>
      </c>
      <c r="I36" s="16" t="n">
        <f aca="false">IFERROR(SUMIF(Creatives!$C$2:$C$264,B36,Creatives!$J$2:$J$264)/SUMIF(Creatives!$C$2:$C$264,B36,Creatives!$I$2:$I$264),0)</f>
        <v>0.00624690447728957</v>
      </c>
      <c r="J36" s="16" t="n">
        <f aca="false">IFERROR(SUMIF(Creatives!$C$2:$C$264,B36,Creatives!$K$2:$K$264)/SUMIF(Creatives!$C$2:$C$264,B36,Creatives!$I$2:$I$264),0)</f>
        <v>0.193912852424097</v>
      </c>
      <c r="K36" s="13" t="n">
        <f aca="false">IFERROR(G36/SUMIF(Creatives!$C$2:$C$264,B36,Creatives!$I$2:$I$264)*1000,0)</f>
        <v>304.493358358191</v>
      </c>
      <c r="L36" s="13" t="n">
        <f aca="false">SUMIF(Creatives!$C$2:$C$264,B36,Creatives!$O$2:$O$264)</f>
        <v>39</v>
      </c>
      <c r="M36" s="13" t="n">
        <f aca="false">IFERROR(G36/L36,0)</f>
        <v>4193.15461538462</v>
      </c>
      <c r="N36" s="13" t="n">
        <f aca="false">SUMIF(Creatives!$C$2:$C$264,B36,Creatives!$U$2:$U$264)</f>
        <v>702229.68</v>
      </c>
    </row>
    <row r="37" customFormat="false" ht="15" hidden="false" customHeight="false" outlineLevel="0" collapsed="false">
      <c r="B37" s="12" t="s">
        <v>43</v>
      </c>
      <c r="C37" s="13" t="n">
        <f aca="false">COUNTIF(Creatives!$C$2:$C$264,B37)</f>
        <v>52</v>
      </c>
      <c r="D37" s="13" t="n">
        <f aca="false">COUNTIFS(Creatives!$C$2:$C$264,B37,Creatives!$Q$2:$Q$264,"Yes")</f>
        <v>7</v>
      </c>
      <c r="E37" s="14" t="n">
        <f aca="false">IFERROR(D37/C37,0)</f>
        <v>0.134615384615385</v>
      </c>
      <c r="F37" s="15" t="n">
        <f aca="false">IFERROR(AVERAGEIFS(Creatives!$S$2:$S$264,Creatives!$C$2:$C$264,B37,Creatives!$Q$2:$Q$264,"Yes"),0)</f>
        <v>6</v>
      </c>
      <c r="G37" s="13" t="n">
        <f aca="false">SUMIF(Creatives!$C$2:$C$264,B37,Creatives!$H$2:$H$264)</f>
        <v>557075.66</v>
      </c>
      <c r="H37" s="13" t="n">
        <f aca="false">IFERROR(G37/C37,0)</f>
        <v>10712.9934615385</v>
      </c>
      <c r="I37" s="16" t="n">
        <f aca="false">IFERROR(SUMIF(Creatives!$C$2:$C$264,B37,Creatives!$J$2:$J$264)/SUMIF(Creatives!$C$2:$C$264,B37,Creatives!$I$2:$I$264),0)</f>
        <v>0.000614616169623716</v>
      </c>
      <c r="J37" s="16" t="n">
        <f aca="false">IFERROR(SUMIF(Creatives!$C$2:$C$264,B37,Creatives!$K$2:$K$264)/SUMIF(Creatives!$C$2:$C$264,B37,Creatives!$I$2:$I$264),0)</f>
        <v>0.0584102490254364</v>
      </c>
      <c r="K37" s="13" t="n">
        <f aca="false">IFERROR(G37/SUMIF(Creatives!$C$2:$C$264,B37,Creatives!$I$2:$I$264)*1000,0)</f>
        <v>9.29668761953362</v>
      </c>
      <c r="L37" s="13" t="n">
        <f aca="false">SUMIF(Creatives!$C$2:$C$264,B37,Creatives!$O$2:$O$264)</f>
        <v>85</v>
      </c>
      <c r="M37" s="13" t="n">
        <f aca="false">IFERROR(G37/L37,0)</f>
        <v>6553.83129411765</v>
      </c>
      <c r="N37" s="13" t="n">
        <f aca="false">SUMIF(Creatives!$C$2:$C$264,B37,Creatives!$U$2:$U$264)</f>
        <v>606307.36</v>
      </c>
    </row>
    <row r="38" customFormat="false" ht="15" hidden="false" customHeight="false" outlineLevel="0" collapsed="false">
      <c r="B38" s="12" t="s">
        <v>44</v>
      </c>
      <c r="C38" s="13" t="n">
        <f aca="false">COUNTIF(Creatives!$C$2:$C$264,B38)</f>
        <v>35</v>
      </c>
      <c r="D38" s="13" t="n">
        <f aca="false">COUNTIFS(Creatives!$C$2:$C$264,B38,Creatives!$Q$2:$Q$264,"Yes")</f>
        <v>10</v>
      </c>
      <c r="E38" s="14" t="n">
        <f aca="false">IFERROR(D38/C38,0)</f>
        <v>0.285714285714286</v>
      </c>
      <c r="F38" s="15" t="n">
        <f aca="false">IFERROR(AVERAGEIFS(Creatives!$S$2:$S$264,Creatives!$C$2:$C$264,B38,Creatives!$Q$2:$Q$264,"Yes"),0)</f>
        <v>10.6</v>
      </c>
      <c r="G38" s="13" t="n">
        <f aca="false">SUMIF(Creatives!$C$2:$C$264,B38,Creatives!$H$2:$H$264)</f>
        <v>359093.82</v>
      </c>
      <c r="H38" s="13" t="n">
        <f aca="false">IFERROR(G38/C38,0)</f>
        <v>10259.8234285714</v>
      </c>
      <c r="I38" s="16" t="n">
        <f aca="false">IFERROR(SUMIF(Creatives!$C$2:$C$264,B38,Creatives!$J$2:$J$264)/SUMIF(Creatives!$C$2:$C$264,B38,Creatives!$I$2:$I$264),0)</f>
        <v>0.00651494364722453</v>
      </c>
      <c r="J38" s="16" t="n">
        <f aca="false">IFERROR(SUMIF(Creatives!$C$2:$C$264,B38,Creatives!$K$2:$K$264)/SUMIF(Creatives!$C$2:$C$264,B38,Creatives!$I$2:$I$264),0)</f>
        <v>0.191954536476592</v>
      </c>
      <c r="K38" s="13" t="n">
        <f aca="false">IFERROR(G38/SUMIF(Creatives!$C$2:$C$264,B38,Creatives!$I$2:$I$264)*1000,0)</f>
        <v>273.847126462202</v>
      </c>
      <c r="L38" s="13" t="n">
        <f aca="false">SUMIF(Creatives!$C$2:$C$264,B38,Creatives!$O$2:$O$264)</f>
        <v>108</v>
      </c>
      <c r="M38" s="13" t="n">
        <f aca="false">IFERROR(G38/L38,0)</f>
        <v>3324.94277777778</v>
      </c>
      <c r="N38" s="13" t="n">
        <f aca="false">SUMIF(Creatives!$C$2:$C$264,B38,Creatives!$U$2:$U$264)</f>
        <v>1329009.46</v>
      </c>
    </row>
    <row r="39" customFormat="false" ht="15" hidden="false" customHeight="false" outlineLevel="0" collapsed="false">
      <c r="B39" s="12" t="s">
        <v>45</v>
      </c>
      <c r="C39" s="13" t="n">
        <f aca="false">COUNTIF(Creatives!$C$2:$C$264,B39)</f>
        <v>24</v>
      </c>
      <c r="D39" s="13" t="n">
        <f aca="false">COUNTIFS(Creatives!$C$2:$C$264,B39,Creatives!$Q$2:$Q$264,"Yes")</f>
        <v>8</v>
      </c>
      <c r="E39" s="14" t="n">
        <f aca="false">IFERROR(D39/C39,0)</f>
        <v>0.333333333333333</v>
      </c>
      <c r="F39" s="15" t="n">
        <f aca="false">IFERROR(AVERAGEIFS(Creatives!$S$2:$S$264,Creatives!$C$2:$C$264,B39,Creatives!$Q$2:$Q$264,"Yes"),0)</f>
        <v>15.5</v>
      </c>
      <c r="G39" s="13" t="n">
        <f aca="false">SUMIF(Creatives!$C$2:$C$264,B39,Creatives!$H$2:$H$264)</f>
        <v>124789.85</v>
      </c>
      <c r="H39" s="13" t="n">
        <f aca="false">IFERROR(G39/C39,0)</f>
        <v>5199.57708333333</v>
      </c>
      <c r="I39" s="16" t="n">
        <f aca="false">IFERROR(SUMIF(Creatives!$C$2:$C$264,B39,Creatives!$J$2:$J$264)/SUMIF(Creatives!$C$2:$C$264,B39,Creatives!$I$2:$I$264),0)</f>
        <v>0.00967314660881687</v>
      </c>
      <c r="J39" s="16" t="n">
        <f aca="false">IFERROR(SUMIF(Creatives!$C$2:$C$264,B39,Creatives!$K$2:$K$264)/SUMIF(Creatives!$C$2:$C$264,B39,Creatives!$I$2:$I$264),0)</f>
        <v>0.281453566784237</v>
      </c>
      <c r="K39" s="13" t="n">
        <f aca="false">IFERROR(G39/SUMIF(Creatives!$C$2:$C$264,B39,Creatives!$I$2:$I$264)*1000,0)</f>
        <v>376.516068104262</v>
      </c>
      <c r="L39" s="13" t="n">
        <f aca="false">SUMIF(Creatives!$C$2:$C$264,B39,Creatives!$O$2:$O$264)</f>
        <v>45</v>
      </c>
      <c r="M39" s="13" t="n">
        <f aca="false">IFERROR(G39/L39,0)</f>
        <v>2773.10777777778</v>
      </c>
      <c r="N39" s="13" t="n">
        <f aca="false">SUMIF(Creatives!$C$2:$C$264,B39,Creatives!$U$2:$U$264)</f>
        <v>941152.49</v>
      </c>
    </row>
    <row r="40" customFormat="false" ht="15" hidden="false" customHeight="false" outlineLevel="0" collapsed="false">
      <c r="B40" s="12" t="s">
        <v>46</v>
      </c>
      <c r="C40" s="13" t="n">
        <f aca="false">COUNTIF(Creatives!$C$2:$C$264,B40)</f>
        <v>31</v>
      </c>
      <c r="D40" s="13" t="n">
        <f aca="false">COUNTIFS(Creatives!$C$2:$C$264,B40,Creatives!$Q$2:$Q$264,"Yes")</f>
        <v>6</v>
      </c>
      <c r="E40" s="14" t="n">
        <f aca="false">IFERROR(D40/C40,0)</f>
        <v>0.193548387096774</v>
      </c>
      <c r="F40" s="15" t="n">
        <f aca="false">IFERROR(AVERAGEIFS(Creatives!$S$2:$S$264,Creatives!$C$2:$C$264,B40,Creatives!$Q$2:$Q$264,"Yes"),0)</f>
        <v>6.66666666666667</v>
      </c>
      <c r="G40" s="13" t="n">
        <f aca="false">SUMIF(Creatives!$C$2:$C$264,B40,Creatives!$H$2:$H$264)</f>
        <v>132839.82</v>
      </c>
      <c r="H40" s="13" t="n">
        <f aca="false">IFERROR(G40/C40,0)</f>
        <v>4285.15548387097</v>
      </c>
      <c r="I40" s="16" t="n">
        <f aca="false">IFERROR(SUMIF(Creatives!$C$2:$C$264,B40,Creatives!$J$2:$J$264)/SUMIF(Creatives!$C$2:$C$264,B40,Creatives!$I$2:$I$264),0)</f>
        <v>0.00955500570052982</v>
      </c>
      <c r="J40" s="16" t="n">
        <f aca="false">IFERROR(SUMIF(Creatives!$C$2:$C$264,B40,Creatives!$K$2:$K$264)/SUMIF(Creatives!$C$2:$C$264,B40,Creatives!$I$2:$I$264),0)</f>
        <v>0.224752653481912</v>
      </c>
      <c r="K40" s="13" t="n">
        <f aca="false">IFERROR(G40/SUMIF(Creatives!$C$2:$C$264,B40,Creatives!$I$2:$I$264)*1000,0)</f>
        <v>468.8900027179</v>
      </c>
      <c r="L40" s="13" t="n">
        <f aca="false">SUMIF(Creatives!$C$2:$C$264,B40,Creatives!$O$2:$O$264)</f>
        <v>61</v>
      </c>
      <c r="M40" s="13" t="n">
        <f aca="false">IFERROR(G40/L40,0)</f>
        <v>2177.70196721312</v>
      </c>
      <c r="N40" s="13" t="n">
        <f aca="false">SUMIF(Creatives!$C$2:$C$264,B40,Creatives!$U$2:$U$264)</f>
        <v>768928.99</v>
      </c>
    </row>
    <row r="41" customFormat="false" ht="15" hidden="false" customHeight="false" outlineLevel="0" collapsed="false">
      <c r="B41" s="12" t="s">
        <v>47</v>
      </c>
      <c r="C41" s="13" t="n">
        <f aca="false">COUNTIF(Creatives!$C$2:$C$264,B41)</f>
        <v>31</v>
      </c>
      <c r="D41" s="13" t="n">
        <f aca="false">COUNTIFS(Creatives!$C$2:$C$264,B41,Creatives!$Q$2:$Q$264,"Yes")</f>
        <v>7</v>
      </c>
      <c r="E41" s="14" t="n">
        <f aca="false">IFERROR(D41/C41,0)</f>
        <v>0.225806451612903</v>
      </c>
      <c r="F41" s="15" t="n">
        <f aca="false">IFERROR(AVERAGEIFS(Creatives!$S$2:$S$264,Creatives!$C$2:$C$264,B41,Creatives!$Q$2:$Q$264,"Yes"),0)</f>
        <v>8.85714285714286</v>
      </c>
      <c r="G41" s="13" t="n">
        <f aca="false">SUMIF(Creatives!$C$2:$C$264,B41,Creatives!$H$2:$H$264)</f>
        <v>143533.55</v>
      </c>
      <c r="H41" s="13" t="n">
        <f aca="false">IFERROR(G41/C41,0)</f>
        <v>4630.11451612903</v>
      </c>
      <c r="I41" s="16" t="n">
        <f aca="false">IFERROR(SUMIF(Creatives!$C$2:$C$264,B41,Creatives!$J$2:$J$264)/SUMIF(Creatives!$C$2:$C$264,B41,Creatives!$I$2:$I$264),0)</f>
        <v>0.00927831495682767</v>
      </c>
      <c r="J41" s="16" t="n">
        <f aca="false">IFERROR(SUMIF(Creatives!$C$2:$C$264,B41,Creatives!$K$2:$K$264)/SUMIF(Creatives!$C$2:$C$264,B41,Creatives!$I$2:$I$264),0)</f>
        <v>0.220445251809865</v>
      </c>
      <c r="K41" s="13" t="n">
        <f aca="false">IFERROR(G41/SUMIF(Creatives!$C$2:$C$264,B41,Creatives!$I$2:$I$264)*1000,0)</f>
        <v>550.082397262111</v>
      </c>
      <c r="L41" s="13" t="n">
        <f aca="false">SUMIF(Creatives!$C$2:$C$264,B41,Creatives!$O$2:$O$264)</f>
        <v>41</v>
      </c>
      <c r="M41" s="13" t="n">
        <f aca="false">IFERROR(G41/L41,0)</f>
        <v>3500.81829268293</v>
      </c>
      <c r="N41" s="13" t="n">
        <f aca="false">SUMIF(Creatives!$C$2:$C$264,B41,Creatives!$U$2:$U$264)</f>
        <v>567548.31</v>
      </c>
    </row>
    <row r="42" customFormat="false" ht="15" hidden="false" customHeight="false" outlineLevel="0" collapsed="false">
      <c r="B42" s="12" t="s">
        <v>48</v>
      </c>
      <c r="C42" s="13" t="n">
        <f aca="false">COUNTIF(Creatives!$C$2:$C$264,B42)</f>
        <v>35</v>
      </c>
      <c r="D42" s="13" t="n">
        <f aca="false">COUNTIFS(Creatives!$C$2:$C$264,B42,Creatives!$Q$2:$Q$264,"Yes")</f>
        <v>2</v>
      </c>
      <c r="E42" s="14" t="n">
        <f aca="false">IFERROR(D42/C42,0)</f>
        <v>0.0571428571428571</v>
      </c>
      <c r="F42" s="15" t="n">
        <f aca="false">IFERROR(AVERAGEIFS(Creatives!$S$2:$S$264,Creatives!$C$2:$C$264,B42,Creatives!$Q$2:$Q$264,"Yes"),0)</f>
        <v>8.5</v>
      </c>
      <c r="G42" s="13" t="n">
        <f aca="false">SUMIF(Creatives!$C$2:$C$264,B42,Creatives!$H$2:$H$264)</f>
        <v>184913.49</v>
      </c>
      <c r="H42" s="13" t="n">
        <f aca="false">IFERROR(G42/C42,0)</f>
        <v>5283.24257142857</v>
      </c>
      <c r="I42" s="16" t="n">
        <f aca="false">IFERROR(SUMIF(Creatives!$C$2:$C$264,B42,Creatives!$J$2:$J$264)/SUMIF(Creatives!$C$2:$C$264,B42,Creatives!$I$2:$I$264),0)</f>
        <v>0.00851763898028669</v>
      </c>
      <c r="J42" s="16" t="n">
        <f aca="false">IFERROR(SUMIF(Creatives!$C$2:$C$264,B42,Creatives!$K$2:$K$264)/SUMIF(Creatives!$C$2:$C$264,B42,Creatives!$I$2:$I$264),0)</f>
        <v>0.225870504420474</v>
      </c>
      <c r="K42" s="13" t="n">
        <f aca="false">IFERROR(G42/SUMIF(Creatives!$C$2:$C$264,B42,Creatives!$I$2:$I$264)*1000,0)</f>
        <v>529.064948070155</v>
      </c>
      <c r="L42" s="13" t="n">
        <f aca="false">SUMIF(Creatives!$C$2:$C$264,B42,Creatives!$O$2:$O$264)</f>
        <v>53</v>
      </c>
      <c r="M42" s="13" t="n">
        <f aca="false">IFERROR(G42/L42,0)</f>
        <v>3488.93377358491</v>
      </c>
      <c r="N42" s="13" t="n">
        <f aca="false">SUMIF(Creatives!$C$2:$C$264,B42,Creatives!$U$2:$U$264)</f>
        <v>115466.84</v>
      </c>
    </row>
    <row r="43" customFormat="false" ht="15" hidden="false" customHeight="false" outlineLevel="0" collapsed="false">
      <c r="B43" s="17" t="s">
        <v>49</v>
      </c>
      <c r="C43" s="18" t="n">
        <f aca="false">SUM(C33:C42)</f>
        <v>263</v>
      </c>
      <c r="D43" s="18" t="n">
        <f aca="false">SUM(D33:D42)</f>
        <v>59</v>
      </c>
      <c r="E43" s="19" t="n">
        <f aca="false">IFERROR(D43/C43,0)</f>
        <v>0.224334600760456</v>
      </c>
      <c r="F43" s="20" t="n">
        <f aca="false">C17</f>
        <v>13.2033898305085</v>
      </c>
      <c r="G43" s="18" t="n">
        <f aca="false">SUM(G33:G42)</f>
        <v>2097022.27</v>
      </c>
      <c r="H43" s="18" t="n">
        <f aca="false">IFERROR(G43/C43,0)</f>
        <v>7973.46870722434</v>
      </c>
      <c r="I43" s="21" t="n">
        <f aca="false">IFERROR(SUM(Creatives!$J$2:$J$264)/SUM(Creatives!$I$2:$I$264),0)</f>
        <v>0.00391132244889738</v>
      </c>
      <c r="J43" s="21" t="n">
        <f aca="false">IFERROR(SUM(Creatives!$K$2:$K$264)/SUM(Creatives!$I$2:$I$264),0)</f>
        <v>0.084770551786923</v>
      </c>
      <c r="K43" s="18" t="n">
        <f aca="false">IFERROR(G43/SUM(Creatives!$I$2:$I$264)*1000,0)</f>
        <v>29.0502342203941</v>
      </c>
      <c r="L43" s="18" t="n">
        <f aca="false">SUM(L33:L42)</f>
        <v>510</v>
      </c>
      <c r="M43" s="18" t="n">
        <f aca="false">IFERROR(G43/L43,0)</f>
        <v>4111.80837254902</v>
      </c>
      <c r="N43" s="18" t="n">
        <f aca="false">SUM(N33:N42)</f>
        <v>7316800.75</v>
      </c>
    </row>
    <row r="45" customFormat="false" ht="15" hidden="false" customHeight="false" outlineLevel="0" collapsed="false">
      <c r="B45" s="5" t="s">
        <v>50</v>
      </c>
    </row>
    <row r="46" customFormat="false" ht="43.5" hidden="false" customHeight="true" outlineLevel="0" collapsed="false">
      <c r="B46" s="11" t="s">
        <v>51</v>
      </c>
      <c r="C46" s="11" t="s">
        <v>28</v>
      </c>
      <c r="D46" s="11" t="s">
        <v>8</v>
      </c>
      <c r="E46" s="11" t="s">
        <v>29</v>
      </c>
      <c r="F46" s="11" t="s">
        <v>31</v>
      </c>
      <c r="G46" s="11" t="s">
        <v>33</v>
      </c>
      <c r="H46" s="11" t="s">
        <v>34</v>
      </c>
      <c r="I46" s="11" t="s">
        <v>35</v>
      </c>
      <c r="J46" s="11" t="s">
        <v>36</v>
      </c>
      <c r="K46" s="11" t="s">
        <v>37</v>
      </c>
    </row>
    <row r="47" customFormat="false" ht="15" hidden="false" customHeight="false" outlineLevel="0" collapsed="false">
      <c r="B47" s="12" t="s">
        <v>52</v>
      </c>
      <c r="C47" s="13" t="n">
        <f aca="false">COUNTIF(Creatives!$D$2:$D$264,B47)</f>
        <v>254</v>
      </c>
      <c r="D47" s="13" t="n">
        <f aca="false">COUNTIFS(Creatives!$D$2:$D$264,B47,Creatives!$Q$2:$Q$264,"Yes")</f>
        <v>59</v>
      </c>
      <c r="E47" s="14" t="n">
        <f aca="false">IFERROR(D47/C47,0)</f>
        <v>0.232283464566929</v>
      </c>
      <c r="F47" s="13" t="n">
        <f aca="false">SUMIF(Creatives!$D$2:$D$264,B47,Creatives!$H$2:$H$264)</f>
        <v>1720175.34</v>
      </c>
      <c r="G47" s="16" t="n">
        <f aca="false">IFERROR(SUMIF(Creatives!$D$2:$D$264,B47,Creatives!$J$2:$J$264)/SUMIF(Creatives!$D$2:$D$264,B47,Creatives!$I$2:$I$264),0)</f>
        <v>0.0198054926278744</v>
      </c>
      <c r="H47" s="16" t="n">
        <f aca="false">IFERROR(SUMIF(Creatives!$D$2:$D$264,B47,Creatives!$K$2:$K$264)/SUMIF(Creatives!$D$2:$D$264,B47,Creatives!$I$2:$I$264),0)</f>
        <v>0.213829855066929</v>
      </c>
      <c r="I47" s="13" t="n">
        <f aca="false">IFERROR(F47/SUMIF(Creatives!$D$2:$D$264,B47,Creatives!$I$2:$I$264)*1000,0)</f>
        <v>138.001247660837</v>
      </c>
      <c r="J47" s="13" t="n">
        <f aca="false">SUMIF(Creatives!$D$2:$D$264,B47,Creatives!$O$2:$O$264)</f>
        <v>477</v>
      </c>
      <c r="K47" s="13" t="n">
        <f aca="false">IFERROR(F47/J47,0)</f>
        <v>3606.23761006289</v>
      </c>
    </row>
    <row r="48" customFormat="false" ht="15" hidden="false" customHeight="false" outlineLevel="0" collapsed="false">
      <c r="B48" s="12" t="s">
        <v>53</v>
      </c>
      <c r="C48" s="13" t="n">
        <f aca="false">COUNTIF(Creatives!$D$2:$D$264,B48)</f>
        <v>8</v>
      </c>
      <c r="D48" s="13" t="n">
        <f aca="false">COUNTIFS(Creatives!$D$2:$D$264,B48,Creatives!$Q$2:$Q$264,"Yes")</f>
        <v>0</v>
      </c>
      <c r="E48" s="14" t="n">
        <f aca="false">IFERROR(D48/C48,0)</f>
        <v>0</v>
      </c>
      <c r="F48" s="13" t="n">
        <f aca="false">SUMIF(Creatives!$D$2:$D$264,B48,Creatives!$H$2:$H$264)</f>
        <v>191071.19</v>
      </c>
      <c r="G48" s="16" t="n">
        <f aca="false">IFERROR(SUMIF(Creatives!$D$2:$D$264,B48,Creatives!$J$2:$J$264)/SUMIF(Creatives!$D$2:$D$264,B48,Creatives!$I$2:$I$264),0)</f>
        <v>0.00466846524026276</v>
      </c>
      <c r="H48" s="16" t="n">
        <f aca="false">IFERROR(SUMIF(Creatives!$D$2:$D$264,B48,Creatives!$K$2:$K$264)/SUMIF(Creatives!$D$2:$D$264,B48,Creatives!$I$2:$I$264),0)</f>
        <v>0.128017018925108</v>
      </c>
      <c r="I48" s="13" t="n">
        <f aca="false">IFERROR(F48/SUMIF(Creatives!$D$2:$D$264,B48,Creatives!$I$2:$I$264)*1000,0)</f>
        <v>136.769274598381</v>
      </c>
      <c r="J48" s="13" t="n">
        <f aca="false">SUMIF(Creatives!$D$2:$D$264,B48,Creatives!$O$2:$O$264)</f>
        <v>33</v>
      </c>
      <c r="K48" s="13" t="n">
        <f aca="false">IFERROR(F48/J48,0)</f>
        <v>5790.03606060606</v>
      </c>
    </row>
    <row r="49" customFormat="false" ht="15" hidden="false" customHeight="false" outlineLevel="0" collapsed="false">
      <c r="B49" s="12" t="s">
        <v>54</v>
      </c>
      <c r="C49" s="13" t="n">
        <f aca="false">COUNTIF(Creatives!$D$2:$D$264,B49)</f>
        <v>1</v>
      </c>
      <c r="D49" s="13" t="n">
        <f aca="false">COUNTIFS(Creatives!$D$2:$D$264,B49,Creatives!$Q$2:$Q$264,"Yes")</f>
        <v>0</v>
      </c>
      <c r="E49" s="14" t="n">
        <f aca="false">IFERROR(D49/C49,0)</f>
        <v>0</v>
      </c>
      <c r="F49" s="13" t="n">
        <f aca="false">SUMIF(Creatives!$D$2:$D$264,B49,Creatives!$H$2:$H$264)</f>
        <v>185775.74</v>
      </c>
      <c r="G49" s="16" t="n">
        <f aca="false">IFERROR(SUMIF(Creatives!$D$2:$D$264,B49,Creatives!$J$2:$J$264)/SUMIF(Creatives!$D$2:$D$264,B49,Creatives!$I$2:$I$264),0)</f>
        <v>0.000496312742832673</v>
      </c>
      <c r="H49" s="16" t="n">
        <f aca="false">IFERROR(SUMIF(Creatives!$D$2:$D$264,B49,Creatives!$K$2:$K$264)/SUMIF(Creatives!$D$2:$D$264,B49,Creatives!$I$2:$I$264),0)</f>
        <v>0.0561523465629447</v>
      </c>
      <c r="I49" s="13" t="n">
        <f aca="false">IFERROR(F49/SUMIF(Creatives!$D$2:$D$264,B49,Creatives!$I$2:$I$264)*1000,0)</f>
        <v>3.18523049266485</v>
      </c>
      <c r="J49" s="13" t="n">
        <f aca="false">SUMIF(Creatives!$D$2:$D$264,B49,Creatives!$O$2:$O$264)</f>
        <v>0</v>
      </c>
      <c r="K49" s="13" t="n">
        <f aca="false">IFERROR(F49/J49,0)</f>
        <v>0</v>
      </c>
    </row>
    <row r="51" customFormat="false" ht="15" hidden="false" customHeight="false" outlineLevel="0" collapsed="false">
      <c r="B51" s="5" t="s">
        <v>55</v>
      </c>
    </row>
    <row r="52" customFormat="false" ht="15" hidden="false" customHeight="false" outlineLevel="0" collapsed="false">
      <c r="B52" s="6" t="s">
        <v>56</v>
      </c>
    </row>
    <row r="53" customFormat="false" ht="15" hidden="false" customHeight="false" outlineLevel="0" collapsed="false">
      <c r="B53" s="6" t="s">
        <v>57</v>
      </c>
    </row>
    <row r="54" customFormat="false" ht="15" hidden="false" customHeight="false" outlineLevel="0" collapsed="false">
      <c r="B54" s="6" t="s">
        <v>58</v>
      </c>
    </row>
    <row r="55" customFormat="false" ht="15" hidden="false" customHeight="false" outlineLevel="0" collapsed="false">
      <c r="B55" s="6" t="s">
        <v>59</v>
      </c>
    </row>
    <row r="56" customFormat="false" ht="15" hidden="false" customHeight="false" outlineLevel="0" collapsed="false">
      <c r="B56" s="6" t="s">
        <v>60</v>
      </c>
    </row>
    <row r="57" customFormat="false" ht="15" hidden="false" customHeight="false" outlineLevel="0" collapsed="false">
      <c r="B57" s="6" t="s">
        <v>61</v>
      </c>
    </row>
    <row r="58" customFormat="false" ht="15" hidden="false" customHeight="false" outlineLevel="0" collapsed="false">
      <c r="B58" s="6" t="s">
        <v>62</v>
      </c>
    </row>
    <row r="59" customFormat="false" ht="15" hidden="false" customHeight="false" outlineLevel="0" collapsed="false">
      <c r="B59" s="6" t="s">
        <v>63</v>
      </c>
    </row>
    <row r="60" customFormat="false" ht="15" hidden="false" customHeight="false" outlineLevel="0" collapsed="false">
      <c r="B60" s="6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30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12"/>
    <col collapsed="false" customWidth="true" hidden="false" outlineLevel="0" max="11" min="11" style="0" width="13"/>
    <col collapsed="false" customWidth="true" hidden="false" outlineLevel="0" max="12" min="12" style="0" width="9"/>
    <col collapsed="false" customWidth="true" hidden="false" outlineLevel="0" max="14" min="13" style="0" width="10"/>
    <col collapsed="false" customWidth="true" hidden="false" outlineLevel="0" max="15" min="15" style="0" width="13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3"/>
    <col collapsed="false" customWidth="true" hidden="false" outlineLevel="0" max="19" min="19" style="0" width="9"/>
    <col collapsed="false" customWidth="true" hidden="false" outlineLevel="0" max="20" min="20" style="0" width="36"/>
    <col collapsed="false" customWidth="true" hidden="false" outlineLevel="0" max="21" min="21" style="0" width="12"/>
    <col collapsed="false" customWidth="true" hidden="false" outlineLevel="0" max="22" min="22" style="0" width="13"/>
    <col collapsed="false" customWidth="true" hidden="false" outlineLevel="0" max="23" min="23" style="0" width="12"/>
    <col collapsed="false" customWidth="true" hidden="false" outlineLevel="0" max="24" min="24" style="0" width="13"/>
    <col collapsed="false" customWidth="true" hidden="false" outlineLevel="0" max="25" min="25" style="0" width="9"/>
    <col collapsed="false" customWidth="true" hidden="false" outlineLevel="0" max="26" min="26" style="0" width="10"/>
    <col collapsed="false" customWidth="true" hidden="false" outlineLevel="0" max="27" min="27" style="0" width="13"/>
  </cols>
  <sheetData>
    <row r="1" customFormat="false" ht="43.5" hidden="false" customHeight="true" outlineLevel="0" collapsed="false">
      <c r="A1" s="11" t="s">
        <v>65</v>
      </c>
      <c r="B1" s="11" t="s">
        <v>66</v>
      </c>
      <c r="C1" s="11" t="s">
        <v>27</v>
      </c>
      <c r="D1" s="11" t="s">
        <v>51</v>
      </c>
      <c r="E1" s="11" t="s">
        <v>67</v>
      </c>
      <c r="F1" s="11" t="s">
        <v>68</v>
      </c>
      <c r="G1" s="11" t="s">
        <v>69</v>
      </c>
      <c r="H1" s="11" t="s">
        <v>70</v>
      </c>
      <c r="I1" s="11" t="s">
        <v>71</v>
      </c>
      <c r="J1" s="11" t="s">
        <v>72</v>
      </c>
      <c r="K1" s="11" t="s">
        <v>73</v>
      </c>
      <c r="L1" s="11" t="s">
        <v>33</v>
      </c>
      <c r="M1" s="11" t="s">
        <v>34</v>
      </c>
      <c r="N1" s="11" t="s">
        <v>74</v>
      </c>
      <c r="O1" s="11" t="s">
        <v>75</v>
      </c>
      <c r="P1" s="11" t="s">
        <v>76</v>
      </c>
      <c r="Q1" s="11" t="s">
        <v>77</v>
      </c>
      <c r="R1" s="11" t="s">
        <v>78</v>
      </c>
      <c r="S1" s="11" t="s">
        <v>79</v>
      </c>
      <c r="T1" s="11" t="s">
        <v>80</v>
      </c>
      <c r="U1" s="11" t="s">
        <v>81</v>
      </c>
      <c r="V1" s="11" t="s">
        <v>82</v>
      </c>
      <c r="W1" s="11" t="s">
        <v>83</v>
      </c>
      <c r="X1" s="11" t="s">
        <v>84</v>
      </c>
      <c r="Y1" s="11" t="s">
        <v>85</v>
      </c>
      <c r="Z1" s="11" t="s">
        <v>86</v>
      </c>
      <c r="AA1" s="11" t="s">
        <v>87</v>
      </c>
    </row>
    <row r="2" customFormat="false" ht="15" hidden="false" customHeight="false" outlineLevel="0" collapsed="false">
      <c r="A2" s="6" t="s">
        <v>88</v>
      </c>
      <c r="B2" s="22" t="n">
        <v>46070</v>
      </c>
      <c r="C2" s="6" t="str">
        <f aca="false">TEXT(B2,"yyyy-mm")</f>
        <v>2026-02</v>
      </c>
      <c r="D2" s="6" t="s">
        <v>53</v>
      </c>
      <c r="E2" s="6" t="s">
        <v>89</v>
      </c>
      <c r="F2" s="22" t="n">
        <v>46119</v>
      </c>
      <c r="G2" s="7" t="n">
        <f aca="false">Summary!$C$5-B2</f>
        <v>250</v>
      </c>
      <c r="H2" s="7" t="n">
        <v>84491.93</v>
      </c>
      <c r="I2" s="7" t="n">
        <v>616630</v>
      </c>
      <c r="J2" s="7" t="n">
        <v>2699</v>
      </c>
      <c r="K2" s="7" t="n">
        <v>63620</v>
      </c>
      <c r="L2" s="10" t="n">
        <f aca="false">IFERROR(J2/I2,"-")</f>
        <v>0.00437701701182233</v>
      </c>
      <c r="M2" s="10" t="n">
        <f aca="false">IFERROR(K2/I2,"-")</f>
        <v>0.103173702220132</v>
      </c>
      <c r="N2" s="7" t="n">
        <f aca="false">IFERROR(H2/I2*1000,"-")</f>
        <v>137.022087799815</v>
      </c>
      <c r="O2" s="7" t="n">
        <v>17</v>
      </c>
      <c r="P2" s="7" t="n">
        <f aca="false">IFERROR(H2/O2,"-")</f>
        <v>4970.11352941177</v>
      </c>
      <c r="Q2" s="6" t="s">
        <v>90</v>
      </c>
      <c r="R2" s="22"/>
      <c r="S2" s="7" t="str">
        <f aca="false">IF(Q2="Yes",R2-B2,"")</f>
        <v/>
      </c>
      <c r="T2" s="6"/>
      <c r="U2" s="7" t="n">
        <v>0</v>
      </c>
      <c r="V2" s="7" t="n">
        <v>0</v>
      </c>
      <c r="W2" s="7" t="n">
        <v>0</v>
      </c>
      <c r="X2" s="7" t="n">
        <v>0</v>
      </c>
      <c r="Y2" s="10" t="str">
        <f aca="false">IF(Q2="Yes",IFERROR(W2/V2,"-"),"")</f>
        <v/>
      </c>
      <c r="Z2" s="10" t="str">
        <f aca="false">IF(Q2="Yes",IFERROR(X2/V2,"-"),"")</f>
        <v/>
      </c>
      <c r="AA2" s="7" t="n">
        <v>0</v>
      </c>
    </row>
    <row r="3" customFormat="false" ht="15" hidden="false" customHeight="false" outlineLevel="0" collapsed="false">
      <c r="A3" s="6" t="s">
        <v>91</v>
      </c>
      <c r="B3" s="22" t="n">
        <v>46070</v>
      </c>
      <c r="C3" s="6" t="str">
        <f aca="false">TEXT(B3,"yyyy-mm")</f>
        <v>2026-02</v>
      </c>
      <c r="D3" s="6" t="s">
        <v>53</v>
      </c>
      <c r="E3" s="6" t="s">
        <v>89</v>
      </c>
      <c r="F3" s="22" t="n">
        <v>46077</v>
      </c>
      <c r="G3" s="7" t="n">
        <f aca="false">Summary!$C$5-B3</f>
        <v>250</v>
      </c>
      <c r="H3" s="7" t="n">
        <v>8897.63</v>
      </c>
      <c r="I3" s="7" t="n">
        <v>67376</v>
      </c>
      <c r="J3" s="7" t="n">
        <v>169</v>
      </c>
      <c r="K3" s="7" t="n">
        <v>19776</v>
      </c>
      <c r="L3" s="10" t="n">
        <f aca="false">IFERROR(J3/I3,"-")</f>
        <v>0.00250831156494894</v>
      </c>
      <c r="M3" s="10" t="n">
        <f aca="false">IFERROR(K3/I3,"-")</f>
        <v>0.293516979339824</v>
      </c>
      <c r="N3" s="7" t="n">
        <f aca="false">IFERROR(H3/I3*1000,"-")</f>
        <v>132.059338636903</v>
      </c>
      <c r="O3" s="7" t="n">
        <v>0</v>
      </c>
      <c r="P3" s="7" t="str">
        <f aca="false">IFERROR(H3/O3,"-")</f>
        <v>-</v>
      </c>
      <c r="Q3" s="6" t="s">
        <v>90</v>
      </c>
      <c r="R3" s="22"/>
      <c r="S3" s="7" t="str">
        <f aca="false">IF(Q3="Yes",R3-B3,"")</f>
        <v/>
      </c>
      <c r="T3" s="6"/>
      <c r="U3" s="7" t="n">
        <v>0</v>
      </c>
      <c r="V3" s="7" t="n">
        <v>0</v>
      </c>
      <c r="W3" s="7" t="n">
        <v>0</v>
      </c>
      <c r="X3" s="7" t="n">
        <v>0</v>
      </c>
      <c r="Y3" s="10" t="str">
        <f aca="false">IF(Q3="Yes",IFERROR(W3/V3,"-"),"")</f>
        <v/>
      </c>
      <c r="Z3" s="10" t="str">
        <f aca="false">IF(Q3="Yes",IFERROR(X3/V3,"-"),"")</f>
        <v/>
      </c>
      <c r="AA3" s="7" t="n">
        <v>0</v>
      </c>
    </row>
    <row r="4" customFormat="false" ht="15" hidden="false" customHeight="false" outlineLevel="0" collapsed="false">
      <c r="A4" s="6" t="s">
        <v>92</v>
      </c>
      <c r="B4" s="22" t="n">
        <v>46070</v>
      </c>
      <c r="C4" s="6" t="str">
        <f aca="false">TEXT(B4,"yyyy-mm")</f>
        <v>2026-02</v>
      </c>
      <c r="D4" s="6" t="s">
        <v>53</v>
      </c>
      <c r="E4" s="6" t="s">
        <v>89</v>
      </c>
      <c r="F4" s="22" t="n">
        <v>46077</v>
      </c>
      <c r="G4" s="7" t="n">
        <f aca="false">Summary!$C$5-B4</f>
        <v>250</v>
      </c>
      <c r="H4" s="7" t="n">
        <v>7057.41</v>
      </c>
      <c r="I4" s="7" t="n">
        <v>55349</v>
      </c>
      <c r="J4" s="7" t="n">
        <v>161</v>
      </c>
      <c r="K4" s="7" t="n">
        <v>15688</v>
      </c>
      <c r="L4" s="10" t="n">
        <f aca="false">IFERROR(J4/I4,"-")</f>
        <v>0.00290881497407361</v>
      </c>
      <c r="M4" s="10" t="n">
        <f aca="false">IFERROR(K4/I4,"-")</f>
        <v>0.283437821821532</v>
      </c>
      <c r="N4" s="7" t="n">
        <f aca="false">IFERROR(H4/I4*1000,"-")</f>
        <v>127.507452709173</v>
      </c>
      <c r="O4" s="7" t="n">
        <v>0</v>
      </c>
      <c r="P4" s="7" t="str">
        <f aca="false">IFERROR(H4/O4,"-")</f>
        <v>-</v>
      </c>
      <c r="Q4" s="6" t="s">
        <v>90</v>
      </c>
      <c r="R4" s="22"/>
      <c r="S4" s="7" t="str">
        <f aca="false">IF(Q4="Yes",R4-B4,"")</f>
        <v/>
      </c>
      <c r="T4" s="6"/>
      <c r="U4" s="7" t="n">
        <v>0</v>
      </c>
      <c r="V4" s="7" t="n">
        <v>0</v>
      </c>
      <c r="W4" s="7" t="n">
        <v>0</v>
      </c>
      <c r="X4" s="7" t="n">
        <v>0</v>
      </c>
      <c r="Y4" s="10" t="str">
        <f aca="false">IF(Q4="Yes",IFERROR(W4/V4,"-"),"")</f>
        <v/>
      </c>
      <c r="Z4" s="10" t="str">
        <f aca="false">IF(Q4="Yes",IFERROR(X4/V4,"-"),"")</f>
        <v/>
      </c>
      <c r="AA4" s="7" t="n">
        <v>0</v>
      </c>
    </row>
    <row r="5" customFormat="false" ht="15" hidden="false" customHeight="false" outlineLevel="0" collapsed="false">
      <c r="A5" s="6" t="s">
        <v>93</v>
      </c>
      <c r="B5" s="22" t="n">
        <v>46070</v>
      </c>
      <c r="C5" s="6" t="str">
        <f aca="false">TEXT(B5,"yyyy-mm")</f>
        <v>2026-02</v>
      </c>
      <c r="D5" s="6" t="s">
        <v>53</v>
      </c>
      <c r="E5" s="6" t="s">
        <v>89</v>
      </c>
      <c r="F5" s="22" t="n">
        <v>46087</v>
      </c>
      <c r="G5" s="7" t="n">
        <f aca="false">Summary!$C$5-B5</f>
        <v>250</v>
      </c>
      <c r="H5" s="7" t="n">
        <v>7403.22</v>
      </c>
      <c r="I5" s="7" t="n">
        <v>24799</v>
      </c>
      <c r="J5" s="7" t="n">
        <v>98</v>
      </c>
      <c r="K5" s="7" t="n">
        <v>2326</v>
      </c>
      <c r="L5" s="10" t="n">
        <f aca="false">IFERROR(J5/I5,"-")</f>
        <v>0.003951772248881</v>
      </c>
      <c r="M5" s="10" t="n">
        <f aca="false">IFERROR(K5/I5,"-")</f>
        <v>0.093794104600992</v>
      </c>
      <c r="N5" s="7" t="n">
        <f aca="false">IFERROR(H5/I5*1000,"-")</f>
        <v>298.528972942457</v>
      </c>
      <c r="O5" s="7" t="n">
        <v>1</v>
      </c>
      <c r="P5" s="7" t="n">
        <f aca="false">IFERROR(H5/O5,"-")</f>
        <v>7403.22</v>
      </c>
      <c r="Q5" s="6" t="s">
        <v>90</v>
      </c>
      <c r="R5" s="22"/>
      <c r="S5" s="7" t="str">
        <f aca="false">IF(Q5="Yes",R5-B5,"")</f>
        <v/>
      </c>
      <c r="T5" s="6"/>
      <c r="U5" s="7" t="n">
        <v>0</v>
      </c>
      <c r="V5" s="7" t="n">
        <v>0</v>
      </c>
      <c r="W5" s="7" t="n">
        <v>0</v>
      </c>
      <c r="X5" s="7" t="n">
        <v>0</v>
      </c>
      <c r="Y5" s="10" t="str">
        <f aca="false">IF(Q5="Yes",IFERROR(W5/V5,"-"),"")</f>
        <v/>
      </c>
      <c r="Z5" s="10" t="str">
        <f aca="false">IF(Q5="Yes",IFERROR(X5/V5,"-"),"")</f>
        <v/>
      </c>
      <c r="AA5" s="7" t="n">
        <v>0</v>
      </c>
    </row>
    <row r="6" customFormat="false" ht="15" hidden="false" customHeight="false" outlineLevel="0" collapsed="false">
      <c r="A6" s="6" t="s">
        <v>94</v>
      </c>
      <c r="B6" s="22" t="n">
        <v>46077</v>
      </c>
      <c r="C6" s="6" t="str">
        <f aca="false">TEXT(B6,"yyyy-mm")</f>
        <v>2026-02</v>
      </c>
      <c r="D6" s="6" t="s">
        <v>53</v>
      </c>
      <c r="E6" s="6" t="s">
        <v>89</v>
      </c>
      <c r="F6" s="22" t="n">
        <v>46107</v>
      </c>
      <c r="G6" s="7" t="n">
        <f aca="false">Summary!$C$5-B6</f>
        <v>243</v>
      </c>
      <c r="H6" s="7" t="n">
        <v>24506.44</v>
      </c>
      <c r="I6" s="7" t="n">
        <v>218309</v>
      </c>
      <c r="J6" s="7" t="n">
        <v>1483</v>
      </c>
      <c r="K6" s="7" t="n">
        <v>8474</v>
      </c>
      <c r="L6" s="10" t="n">
        <f aca="false">IFERROR(J6/I6,"-")</f>
        <v>0.00679312350842155</v>
      </c>
      <c r="M6" s="10" t="n">
        <f aca="false">IFERROR(K6/I6,"-")</f>
        <v>0.0388165398586407</v>
      </c>
      <c r="N6" s="7" t="n">
        <f aca="false">IFERROR(H6/I6*1000,"-")</f>
        <v>112.255747587136</v>
      </c>
      <c r="O6" s="7" t="n">
        <v>2</v>
      </c>
      <c r="P6" s="7" t="n">
        <f aca="false">IFERROR(H6/O6,"-")</f>
        <v>12253.22</v>
      </c>
      <c r="Q6" s="6" t="s">
        <v>90</v>
      </c>
      <c r="R6" s="22"/>
      <c r="S6" s="7" t="str">
        <f aca="false">IF(Q6="Yes",R6-B6,"")</f>
        <v/>
      </c>
      <c r="T6" s="6"/>
      <c r="U6" s="7" t="n">
        <v>0</v>
      </c>
      <c r="V6" s="7" t="n">
        <v>0</v>
      </c>
      <c r="W6" s="7" t="n">
        <v>0</v>
      </c>
      <c r="X6" s="7" t="n">
        <v>0</v>
      </c>
      <c r="Y6" s="10" t="str">
        <f aca="false">IF(Q6="Yes",IFERROR(W6/V6,"-"),"")</f>
        <v/>
      </c>
      <c r="Z6" s="10" t="str">
        <f aca="false">IF(Q6="Yes",IFERROR(X6/V6,"-"),"")</f>
        <v/>
      </c>
      <c r="AA6" s="7" t="n">
        <v>0</v>
      </c>
    </row>
    <row r="7" customFormat="false" ht="15" hidden="false" customHeight="false" outlineLevel="0" collapsed="false">
      <c r="A7" s="6" t="s">
        <v>95</v>
      </c>
      <c r="B7" s="22" t="n">
        <v>46078</v>
      </c>
      <c r="C7" s="6" t="str">
        <f aca="false">TEXT(B7,"yyyy-mm")</f>
        <v>2026-02</v>
      </c>
      <c r="D7" s="6" t="s">
        <v>53</v>
      </c>
      <c r="E7" s="6" t="s">
        <v>89</v>
      </c>
      <c r="F7" s="22" t="n">
        <v>46099</v>
      </c>
      <c r="G7" s="7" t="n">
        <f aca="false">Summary!$C$5-B7</f>
        <v>242</v>
      </c>
      <c r="H7" s="7" t="n">
        <v>39811.39</v>
      </c>
      <c r="I7" s="7" t="n">
        <v>309580</v>
      </c>
      <c r="J7" s="7" t="n">
        <v>1481</v>
      </c>
      <c r="K7" s="7" t="n">
        <v>50673</v>
      </c>
      <c r="L7" s="10" t="n">
        <f aca="false">IFERROR(J7/I7,"-")</f>
        <v>0.00478390076878351</v>
      </c>
      <c r="M7" s="10" t="n">
        <f aca="false">IFERROR(K7/I7,"-")</f>
        <v>0.163683054460883</v>
      </c>
      <c r="N7" s="7" t="n">
        <f aca="false">IFERROR(H7/I7*1000,"-")</f>
        <v>128.598068350669</v>
      </c>
      <c r="O7" s="7" t="n">
        <v>8</v>
      </c>
      <c r="P7" s="7" t="n">
        <f aca="false">IFERROR(H7/O7,"-")</f>
        <v>4976.42375</v>
      </c>
      <c r="Q7" s="6" t="s">
        <v>90</v>
      </c>
      <c r="R7" s="22"/>
      <c r="S7" s="7" t="str">
        <f aca="false">IF(Q7="Yes",R7-B7,"")</f>
        <v/>
      </c>
      <c r="T7" s="6"/>
      <c r="U7" s="7" t="n">
        <v>0</v>
      </c>
      <c r="V7" s="7" t="n">
        <v>0</v>
      </c>
      <c r="W7" s="7" t="n">
        <v>0</v>
      </c>
      <c r="X7" s="7" t="n">
        <v>0</v>
      </c>
      <c r="Y7" s="10" t="str">
        <f aca="false">IF(Q7="Yes",IFERROR(W7/V7,"-"),"")</f>
        <v/>
      </c>
      <c r="Z7" s="10" t="str">
        <f aca="false">IF(Q7="Yes",IFERROR(X7/V7,"-"),"")</f>
        <v/>
      </c>
      <c r="AA7" s="7" t="n">
        <v>0</v>
      </c>
    </row>
    <row r="8" customFormat="false" ht="15" hidden="false" customHeight="false" outlineLevel="0" collapsed="false">
      <c r="A8" s="6" t="s">
        <v>96</v>
      </c>
      <c r="B8" s="22" t="n">
        <v>46078</v>
      </c>
      <c r="C8" s="6" t="str">
        <f aca="false">TEXT(B8,"yyyy-mm")</f>
        <v>2026-02</v>
      </c>
      <c r="D8" s="6" t="s">
        <v>53</v>
      </c>
      <c r="E8" s="6" t="s">
        <v>89</v>
      </c>
      <c r="F8" s="22" t="n">
        <v>46105</v>
      </c>
      <c r="G8" s="7" t="n">
        <f aca="false">Summary!$C$5-B8</f>
        <v>242</v>
      </c>
      <c r="H8" s="7" t="n">
        <v>3584.68</v>
      </c>
      <c r="I8" s="7" t="n">
        <v>16741</v>
      </c>
      <c r="J8" s="7" t="n">
        <v>29</v>
      </c>
      <c r="K8" s="7" t="n">
        <v>1869</v>
      </c>
      <c r="L8" s="10" t="n">
        <f aca="false">IFERROR(J8/I8,"-")</f>
        <v>0.00173227405770265</v>
      </c>
      <c r="M8" s="10" t="n">
        <f aca="false">IFERROR(K8/I8,"-")</f>
        <v>0.111642076339526</v>
      </c>
      <c r="N8" s="7" t="n">
        <f aca="false">IFERROR(H8/I8*1000,"-")</f>
        <v>214.125798936742</v>
      </c>
      <c r="O8" s="7" t="n">
        <v>1</v>
      </c>
      <c r="P8" s="7" t="n">
        <f aca="false">IFERROR(H8/O8,"-")</f>
        <v>3584.68</v>
      </c>
      <c r="Q8" s="6" t="s">
        <v>90</v>
      </c>
      <c r="R8" s="22"/>
      <c r="S8" s="7" t="str">
        <f aca="false">IF(Q8="Yes",R8-B8,"")</f>
        <v/>
      </c>
      <c r="T8" s="6"/>
      <c r="U8" s="7" t="n">
        <v>0</v>
      </c>
      <c r="V8" s="7" t="n">
        <v>0</v>
      </c>
      <c r="W8" s="7" t="n">
        <v>0</v>
      </c>
      <c r="X8" s="7" t="n">
        <v>0</v>
      </c>
      <c r="Y8" s="10" t="str">
        <f aca="false">IF(Q8="Yes",IFERROR(W8/V8,"-"),"")</f>
        <v/>
      </c>
      <c r="Z8" s="10" t="str">
        <f aca="false">IF(Q8="Yes",IFERROR(X8/V8,"-"),"")</f>
        <v/>
      </c>
      <c r="AA8" s="7" t="n">
        <v>0</v>
      </c>
    </row>
    <row r="9" customFormat="false" ht="15" hidden="false" customHeight="false" outlineLevel="0" collapsed="false">
      <c r="A9" s="6" t="s">
        <v>97</v>
      </c>
      <c r="B9" s="22" t="n">
        <v>46079</v>
      </c>
      <c r="C9" s="6" t="str">
        <f aca="false">TEXT(B9,"yyyy-mm")</f>
        <v>2026-02</v>
      </c>
      <c r="D9" s="6" t="s">
        <v>53</v>
      </c>
      <c r="E9" s="6" t="s">
        <v>89</v>
      </c>
      <c r="F9" s="22" t="n">
        <v>46089</v>
      </c>
      <c r="G9" s="7" t="n">
        <f aca="false">Summary!$C$5-B9</f>
        <v>241</v>
      </c>
      <c r="H9" s="7" t="n">
        <v>15318.49</v>
      </c>
      <c r="I9" s="7" t="n">
        <v>88249</v>
      </c>
      <c r="J9" s="7" t="n">
        <v>402</v>
      </c>
      <c r="K9" s="7" t="n">
        <v>16418</v>
      </c>
      <c r="L9" s="10" t="n">
        <f aca="false">IFERROR(J9/I9,"-")</f>
        <v>0.00455529241124545</v>
      </c>
      <c r="M9" s="10" t="n">
        <f aca="false">IFERROR(K9/I9,"-")</f>
        <v>0.186041768178676</v>
      </c>
      <c r="N9" s="7" t="n">
        <f aca="false">IFERROR(H9/I9*1000,"-")</f>
        <v>173.582590170993</v>
      </c>
      <c r="O9" s="7" t="n">
        <v>4</v>
      </c>
      <c r="P9" s="7" t="n">
        <f aca="false">IFERROR(H9/O9,"-")</f>
        <v>3829.6225</v>
      </c>
      <c r="Q9" s="6" t="s">
        <v>90</v>
      </c>
      <c r="R9" s="22"/>
      <c r="S9" s="7" t="str">
        <f aca="false">IF(Q9="Yes",R9-B9,"")</f>
        <v/>
      </c>
      <c r="T9" s="6"/>
      <c r="U9" s="7" t="n">
        <v>0</v>
      </c>
      <c r="V9" s="7" t="n">
        <v>0</v>
      </c>
      <c r="W9" s="7" t="n">
        <v>0</v>
      </c>
      <c r="X9" s="7" t="n">
        <v>0</v>
      </c>
      <c r="Y9" s="10" t="str">
        <f aca="false">IF(Q9="Yes",IFERROR(W9/V9,"-"),"")</f>
        <v/>
      </c>
      <c r="Z9" s="10" t="str">
        <f aca="false">IF(Q9="Yes",IFERROR(X9/V9,"-"),"")</f>
        <v/>
      </c>
      <c r="AA9" s="7" t="n">
        <v>0</v>
      </c>
    </row>
    <row r="10" customFormat="false" ht="15" hidden="false" customHeight="false" outlineLevel="0" collapsed="false">
      <c r="A10" s="6" t="s">
        <v>98</v>
      </c>
      <c r="B10" s="22" t="n">
        <v>46088</v>
      </c>
      <c r="C10" s="6" t="str">
        <f aca="false">TEXT(B10,"yyyy-mm")</f>
        <v>2026-03</v>
      </c>
      <c r="D10" s="6" t="s">
        <v>52</v>
      </c>
      <c r="E10" s="6" t="s">
        <v>99</v>
      </c>
      <c r="F10" s="22" t="n">
        <v>46099</v>
      </c>
      <c r="G10" s="7" t="n">
        <f aca="false">Summary!$C$5-B10</f>
        <v>232</v>
      </c>
      <c r="H10" s="7" t="n">
        <v>11805.55</v>
      </c>
      <c r="I10" s="7" t="n">
        <v>33102</v>
      </c>
      <c r="J10" s="7" t="n">
        <v>301</v>
      </c>
      <c r="K10" s="7" t="n">
        <v>9752</v>
      </c>
      <c r="L10" s="10" t="n">
        <f aca="false">IFERROR(J10/I10,"-")</f>
        <v>0.00909310615672769</v>
      </c>
      <c r="M10" s="10" t="n">
        <f aca="false">IFERROR(K10/I10,"-")</f>
        <v>0.294604555615975</v>
      </c>
      <c r="N10" s="7" t="n">
        <f aca="false">IFERROR(H10/I10*1000,"-")</f>
        <v>356.641592653012</v>
      </c>
      <c r="O10" s="7" t="n">
        <v>3</v>
      </c>
      <c r="P10" s="7" t="n">
        <f aca="false">IFERROR(H10/O10,"-")</f>
        <v>3935.18333333333</v>
      </c>
      <c r="Q10" s="6" t="s">
        <v>100</v>
      </c>
      <c r="R10" s="22" t="n">
        <v>46101</v>
      </c>
      <c r="S10" s="7" t="n">
        <f aca="false">IF(Q10="Yes",R10-B10,"")</f>
        <v>13</v>
      </c>
      <c r="T10" s="6" t="s">
        <v>101</v>
      </c>
      <c r="U10" s="7" t="n">
        <v>64633.27</v>
      </c>
      <c r="V10" s="7" t="n">
        <v>326836</v>
      </c>
      <c r="W10" s="7" t="n">
        <v>1984</v>
      </c>
      <c r="X10" s="7" t="n">
        <v>71191.09</v>
      </c>
      <c r="Y10" s="10" t="n">
        <f aca="false">IF(Q10="Yes",IFERROR(W10/V10,"-"),"")</f>
        <v>0.00607032273066614</v>
      </c>
      <c r="Z10" s="10" t="n">
        <f aca="false">IF(Q10="Yes",IFERROR(X10/V10,"-"),"")</f>
        <v>0.217818997907207</v>
      </c>
      <c r="AA10" s="7" t="n">
        <v>16</v>
      </c>
    </row>
    <row r="11" customFormat="false" ht="15" hidden="false" customHeight="false" outlineLevel="0" collapsed="false">
      <c r="A11" s="6" t="s">
        <v>102</v>
      </c>
      <c r="B11" s="22" t="n">
        <v>46088</v>
      </c>
      <c r="C11" s="6" t="str">
        <f aca="false">TEXT(B11,"yyyy-mm")</f>
        <v>2026-03</v>
      </c>
      <c r="D11" s="6" t="s">
        <v>52</v>
      </c>
      <c r="E11" s="6" t="s">
        <v>99</v>
      </c>
      <c r="F11" s="22" t="n">
        <v>46206</v>
      </c>
      <c r="G11" s="7" t="n">
        <f aca="false">Summary!$C$5-B11</f>
        <v>232</v>
      </c>
      <c r="H11" s="7" t="n">
        <v>12704.62</v>
      </c>
      <c r="I11" s="7" t="n">
        <v>1024986</v>
      </c>
      <c r="J11" s="7" t="n">
        <v>597</v>
      </c>
      <c r="K11" s="7" t="n">
        <v>84292.53</v>
      </c>
      <c r="L11" s="10" t="n">
        <f aca="false">IFERROR(J11/I11,"-")</f>
        <v>0.000582446979763626</v>
      </c>
      <c r="M11" s="10" t="n">
        <f aca="false">IFERROR(K11/I11,"-")</f>
        <v>0.0822377378812979</v>
      </c>
      <c r="N11" s="7" t="n">
        <f aca="false">IFERROR(H11/I11*1000,"-")</f>
        <v>12.3949205159875</v>
      </c>
      <c r="O11" s="7" t="n">
        <v>3</v>
      </c>
      <c r="P11" s="7" t="n">
        <f aca="false">IFERROR(H11/O11,"-")</f>
        <v>4234.87333333333</v>
      </c>
      <c r="Q11" s="6" t="s">
        <v>100</v>
      </c>
      <c r="R11" s="22" t="n">
        <v>46099</v>
      </c>
      <c r="S11" s="7" t="n">
        <f aca="false">IF(Q11="Yes",R11-B11,"")</f>
        <v>11</v>
      </c>
      <c r="T11" s="6" t="s">
        <v>101</v>
      </c>
      <c r="U11" s="7" t="n">
        <v>28421.67</v>
      </c>
      <c r="V11" s="7" t="n">
        <v>146160</v>
      </c>
      <c r="W11" s="7" t="n">
        <v>990</v>
      </c>
      <c r="X11" s="7" t="n">
        <v>36244.35</v>
      </c>
      <c r="Y11" s="10" t="n">
        <f aca="false">IF(Q11="Yes",IFERROR(W11/V11,"-"),"")</f>
        <v>0.00677339901477833</v>
      </c>
      <c r="Z11" s="10" t="n">
        <f aca="false">IF(Q11="Yes",IFERROR(X11/V11,"-"),"")</f>
        <v>0.247977216748768</v>
      </c>
      <c r="AA11" s="7" t="n">
        <v>7</v>
      </c>
    </row>
    <row r="12" customFormat="false" ht="15" hidden="false" customHeight="false" outlineLevel="0" collapsed="false">
      <c r="A12" s="6" t="s">
        <v>103</v>
      </c>
      <c r="B12" s="22" t="n">
        <v>46088</v>
      </c>
      <c r="C12" s="6" t="str">
        <f aca="false">TEXT(B12,"yyyy-mm")</f>
        <v>2026-03</v>
      </c>
      <c r="D12" s="6" t="s">
        <v>52</v>
      </c>
      <c r="E12" s="6" t="s">
        <v>104</v>
      </c>
      <c r="F12" s="22" t="n">
        <v>46118</v>
      </c>
      <c r="G12" s="7" t="n">
        <f aca="false">Summary!$C$5-B12</f>
        <v>232</v>
      </c>
      <c r="H12" s="7" t="n">
        <v>4681.74</v>
      </c>
      <c r="I12" s="7" t="n">
        <v>31841</v>
      </c>
      <c r="J12" s="7" t="n">
        <v>276</v>
      </c>
      <c r="K12" s="7" t="n">
        <v>3529</v>
      </c>
      <c r="L12" s="10" t="n">
        <f aca="false">IFERROR(J12/I12,"-")</f>
        <v>0.00866806947017996</v>
      </c>
      <c r="M12" s="10" t="n">
        <f aca="false">IFERROR(K12/I12,"-")</f>
        <v>0.110831946232844</v>
      </c>
      <c r="N12" s="7" t="n">
        <f aca="false">IFERROR(H12/I12*1000,"-")</f>
        <v>147.03495493232</v>
      </c>
      <c r="O12" s="7" t="n">
        <v>4</v>
      </c>
      <c r="P12" s="7" t="n">
        <f aca="false">IFERROR(H12/O12,"-")</f>
        <v>1170.435</v>
      </c>
      <c r="Q12" s="6" t="s">
        <v>90</v>
      </c>
      <c r="R12" s="22"/>
      <c r="S12" s="7" t="str">
        <f aca="false">IF(Q12="Yes",R12-B12,"")</f>
        <v/>
      </c>
      <c r="T12" s="6"/>
      <c r="U12" s="7" t="n">
        <v>0</v>
      </c>
      <c r="V12" s="7" t="n">
        <v>0</v>
      </c>
      <c r="W12" s="7" t="n">
        <v>0</v>
      </c>
      <c r="X12" s="7" t="n">
        <v>0</v>
      </c>
      <c r="Y12" s="10" t="str">
        <f aca="false">IF(Q12="Yes",IFERROR(W12/V12,"-"),"")</f>
        <v/>
      </c>
      <c r="Z12" s="10" t="str">
        <f aca="false">IF(Q12="Yes",IFERROR(X12/V12,"-"),"")</f>
        <v/>
      </c>
      <c r="AA12" s="7" t="n">
        <v>0</v>
      </c>
    </row>
    <row r="13" customFormat="false" ht="15" hidden="false" customHeight="false" outlineLevel="0" collapsed="false">
      <c r="A13" s="6" t="s">
        <v>105</v>
      </c>
      <c r="B13" s="22" t="n">
        <v>46088</v>
      </c>
      <c r="C13" s="6" t="str">
        <f aca="false">TEXT(B13,"yyyy-mm")</f>
        <v>2026-03</v>
      </c>
      <c r="D13" s="6" t="s">
        <v>52</v>
      </c>
      <c r="E13" s="6" t="s">
        <v>104</v>
      </c>
      <c r="F13" s="22" t="n">
        <v>46104</v>
      </c>
      <c r="G13" s="7" t="n">
        <f aca="false">Summary!$C$5-B13</f>
        <v>232</v>
      </c>
      <c r="H13" s="7" t="n">
        <v>23470.05</v>
      </c>
      <c r="I13" s="7" t="n">
        <v>197832</v>
      </c>
      <c r="J13" s="7" t="n">
        <v>1415</v>
      </c>
      <c r="K13" s="7" t="n">
        <v>49077</v>
      </c>
      <c r="L13" s="10" t="n">
        <f aca="false">IFERROR(J13/I13,"-")</f>
        <v>0.00715253346273606</v>
      </c>
      <c r="M13" s="10" t="n">
        <f aca="false">IFERROR(K13/I13,"-")</f>
        <v>0.248074123498726</v>
      </c>
      <c r="N13" s="7" t="n">
        <f aca="false">IFERROR(H13/I13*1000,"-")</f>
        <v>118.636267135752</v>
      </c>
      <c r="O13" s="7" t="n">
        <v>8</v>
      </c>
      <c r="P13" s="7" t="n">
        <f aca="false">IFERROR(H13/O13,"-")</f>
        <v>2933.75625</v>
      </c>
      <c r="Q13" s="6" t="s">
        <v>90</v>
      </c>
      <c r="R13" s="22"/>
      <c r="S13" s="7" t="str">
        <f aca="false">IF(Q13="Yes",R13-B13,"")</f>
        <v/>
      </c>
      <c r="T13" s="6"/>
      <c r="U13" s="7" t="n">
        <v>0</v>
      </c>
      <c r="V13" s="7" t="n">
        <v>0</v>
      </c>
      <c r="W13" s="7" t="n">
        <v>0</v>
      </c>
      <c r="X13" s="7" t="n">
        <v>0</v>
      </c>
      <c r="Y13" s="10" t="str">
        <f aca="false">IF(Q13="Yes",IFERROR(W13/V13,"-"),"")</f>
        <v/>
      </c>
      <c r="Z13" s="10" t="str">
        <f aca="false">IF(Q13="Yes",IFERROR(X13/V13,"-"),"")</f>
        <v/>
      </c>
      <c r="AA13" s="7" t="n">
        <v>0</v>
      </c>
    </row>
    <row r="14" customFormat="false" ht="15" hidden="false" customHeight="false" outlineLevel="0" collapsed="false">
      <c r="A14" s="6" t="s">
        <v>106</v>
      </c>
      <c r="B14" s="22" t="n">
        <v>46090</v>
      </c>
      <c r="C14" s="6" t="str">
        <f aca="false">TEXT(B14,"yyyy-mm")</f>
        <v>2026-03</v>
      </c>
      <c r="D14" s="6" t="s">
        <v>52</v>
      </c>
      <c r="E14" s="6" t="s">
        <v>104</v>
      </c>
      <c r="F14" s="22" t="n">
        <v>46118</v>
      </c>
      <c r="G14" s="7" t="n">
        <f aca="false">Summary!$C$5-B14</f>
        <v>230</v>
      </c>
      <c r="H14" s="7" t="n">
        <v>1335.12</v>
      </c>
      <c r="I14" s="7" t="n">
        <v>3793</v>
      </c>
      <c r="J14" s="7" t="n">
        <v>9</v>
      </c>
      <c r="K14" s="7" t="n">
        <v>348</v>
      </c>
      <c r="L14" s="10" t="n">
        <f aca="false">IFERROR(J14/I14,"-")</f>
        <v>0.00237279198523596</v>
      </c>
      <c r="M14" s="10" t="n">
        <f aca="false">IFERROR(K14/I14,"-")</f>
        <v>0.0917479567624572</v>
      </c>
      <c r="N14" s="7" t="n">
        <f aca="false">IFERROR(H14/I14*1000,"-")</f>
        <v>351.995781703137</v>
      </c>
      <c r="O14" s="7" t="n">
        <v>0</v>
      </c>
      <c r="P14" s="7" t="str">
        <f aca="false">IFERROR(H14/O14,"-")</f>
        <v>-</v>
      </c>
      <c r="Q14" s="6" t="s">
        <v>90</v>
      </c>
      <c r="R14" s="22"/>
      <c r="S14" s="7" t="str">
        <f aca="false">IF(Q14="Yes",R14-B14,"")</f>
        <v/>
      </c>
      <c r="T14" s="6"/>
      <c r="U14" s="7" t="n">
        <v>0</v>
      </c>
      <c r="V14" s="7" t="n">
        <v>0</v>
      </c>
      <c r="W14" s="7" t="n">
        <v>0</v>
      </c>
      <c r="X14" s="7" t="n">
        <v>0</v>
      </c>
      <c r="Y14" s="10" t="str">
        <f aca="false">IF(Q14="Yes",IFERROR(W14/V14,"-"),"")</f>
        <v/>
      </c>
      <c r="Z14" s="10" t="str">
        <f aca="false">IF(Q14="Yes",IFERROR(X14/V14,"-"),"")</f>
        <v/>
      </c>
      <c r="AA14" s="7" t="n">
        <v>0</v>
      </c>
    </row>
    <row r="15" customFormat="false" ht="15" hidden="false" customHeight="false" outlineLevel="0" collapsed="false">
      <c r="A15" s="6" t="s">
        <v>107</v>
      </c>
      <c r="B15" s="22" t="n">
        <v>46090</v>
      </c>
      <c r="C15" s="6" t="str">
        <f aca="false">TEXT(B15,"yyyy-mm")</f>
        <v>2026-03</v>
      </c>
      <c r="D15" s="6" t="s">
        <v>52</v>
      </c>
      <c r="E15" s="6" t="s">
        <v>104</v>
      </c>
      <c r="F15" s="22" t="n">
        <v>46104</v>
      </c>
      <c r="G15" s="7" t="n">
        <f aca="false">Summary!$C$5-B15</f>
        <v>230</v>
      </c>
      <c r="H15" s="7" t="n">
        <v>5632.91</v>
      </c>
      <c r="I15" s="7" t="n">
        <v>44139</v>
      </c>
      <c r="J15" s="7" t="n">
        <v>140</v>
      </c>
      <c r="K15" s="7" t="n">
        <v>10046</v>
      </c>
      <c r="L15" s="10" t="n">
        <f aca="false">IFERROR(J15/I15,"-")</f>
        <v>0.00317179818301276</v>
      </c>
      <c r="M15" s="10" t="n">
        <f aca="false">IFERROR(K15/I15,"-")</f>
        <v>0.227599175332472</v>
      </c>
      <c r="N15" s="7" t="n">
        <f aca="false">IFERROR(H15/I15*1000,"-")</f>
        <v>127.617526450531</v>
      </c>
      <c r="O15" s="7" t="n">
        <v>2</v>
      </c>
      <c r="P15" s="7" t="n">
        <f aca="false">IFERROR(H15/O15,"-")</f>
        <v>2816.455</v>
      </c>
      <c r="Q15" s="6" t="s">
        <v>90</v>
      </c>
      <c r="R15" s="22"/>
      <c r="S15" s="7" t="str">
        <f aca="false">IF(Q15="Yes",R15-B15,"")</f>
        <v/>
      </c>
      <c r="T15" s="6"/>
      <c r="U15" s="7" t="n">
        <v>0</v>
      </c>
      <c r="V15" s="7" t="n">
        <v>0</v>
      </c>
      <c r="W15" s="7" t="n">
        <v>0</v>
      </c>
      <c r="X15" s="7" t="n">
        <v>0</v>
      </c>
      <c r="Y15" s="10" t="str">
        <f aca="false">IF(Q15="Yes",IFERROR(W15/V15,"-"),"")</f>
        <v/>
      </c>
      <c r="Z15" s="10" t="str">
        <f aca="false">IF(Q15="Yes",IFERROR(X15/V15,"-"),"")</f>
        <v/>
      </c>
      <c r="AA15" s="7" t="n">
        <v>0</v>
      </c>
    </row>
    <row r="16" customFormat="false" ht="15" hidden="false" customHeight="false" outlineLevel="0" collapsed="false">
      <c r="A16" s="6" t="s">
        <v>108</v>
      </c>
      <c r="B16" s="22" t="n">
        <v>46091</v>
      </c>
      <c r="C16" s="6" t="str">
        <f aca="false">TEXT(B16,"yyyy-mm")</f>
        <v>2026-03</v>
      </c>
      <c r="D16" s="6" t="s">
        <v>52</v>
      </c>
      <c r="E16" s="6" t="s">
        <v>99</v>
      </c>
      <c r="F16" s="22" t="n">
        <v>46107</v>
      </c>
      <c r="G16" s="7" t="n">
        <f aca="false">Summary!$C$5-B16</f>
        <v>229</v>
      </c>
      <c r="H16" s="7" t="n">
        <v>4312.71</v>
      </c>
      <c r="I16" s="7" t="n">
        <v>6697</v>
      </c>
      <c r="J16" s="7" t="n">
        <v>46</v>
      </c>
      <c r="K16" s="7" t="n">
        <v>735</v>
      </c>
      <c r="L16" s="10" t="n">
        <f aca="false">IFERROR(J16/I16,"-")</f>
        <v>0.00686874720023891</v>
      </c>
      <c r="M16" s="10" t="n">
        <f aca="false">IFERROR(K16/I16,"-")</f>
        <v>0.109750634612513</v>
      </c>
      <c r="N16" s="7" t="n">
        <f aca="false">IFERROR(H16/I16*1000,"-")</f>
        <v>643.976407346573</v>
      </c>
      <c r="O16" s="7" t="n">
        <v>7</v>
      </c>
      <c r="P16" s="7" t="n">
        <f aca="false">IFERROR(H16/O16,"-")</f>
        <v>616.101428571429</v>
      </c>
      <c r="Q16" s="6" t="s">
        <v>100</v>
      </c>
      <c r="R16" s="22" t="n">
        <v>46104</v>
      </c>
      <c r="S16" s="7" t="n">
        <f aca="false">IF(Q16="Yes",R16-B16,"")</f>
        <v>13</v>
      </c>
      <c r="T16" s="6" t="s">
        <v>101</v>
      </c>
      <c r="U16" s="7" t="n">
        <v>35987.52</v>
      </c>
      <c r="V16" s="7" t="n">
        <v>95214</v>
      </c>
      <c r="W16" s="7" t="n">
        <v>390</v>
      </c>
      <c r="X16" s="7" t="n">
        <v>8973.49</v>
      </c>
      <c r="Y16" s="10" t="n">
        <f aca="false">IF(Q16="Yes",IFERROR(W16/V16,"-"),"")</f>
        <v>0.00409603629718319</v>
      </c>
      <c r="Z16" s="10" t="n">
        <f aca="false">IF(Q16="Yes",IFERROR(X16/V16,"-"),"")</f>
        <v>0.0942454891087445</v>
      </c>
      <c r="AA16" s="7" t="n">
        <v>4</v>
      </c>
    </row>
    <row r="17" customFormat="false" ht="15" hidden="false" customHeight="false" outlineLevel="0" collapsed="false">
      <c r="A17" s="6" t="s">
        <v>109</v>
      </c>
      <c r="B17" s="22" t="n">
        <v>46091</v>
      </c>
      <c r="C17" s="6" t="str">
        <f aca="false">TEXT(B17,"yyyy-mm")</f>
        <v>2026-03</v>
      </c>
      <c r="D17" s="6" t="s">
        <v>52</v>
      </c>
      <c r="E17" s="6" t="s">
        <v>99</v>
      </c>
      <c r="F17" s="22" t="n">
        <v>46097</v>
      </c>
      <c r="G17" s="7" t="n">
        <f aca="false">Summary!$C$5-B17</f>
        <v>229</v>
      </c>
      <c r="H17" s="7" t="n">
        <v>2095.02</v>
      </c>
      <c r="I17" s="7" t="n">
        <v>5054</v>
      </c>
      <c r="J17" s="7" t="n">
        <v>30</v>
      </c>
      <c r="K17" s="7" t="n">
        <v>916</v>
      </c>
      <c r="L17" s="10" t="n">
        <f aca="false">IFERROR(J17/I17,"-")</f>
        <v>0.00593589236248516</v>
      </c>
      <c r="M17" s="10" t="n">
        <f aca="false">IFERROR(K17/I17,"-")</f>
        <v>0.181242580134547</v>
      </c>
      <c r="N17" s="7" t="n">
        <f aca="false">IFERROR(H17/I17*1000,"-")</f>
        <v>414.527107241789</v>
      </c>
      <c r="O17" s="7" t="n">
        <v>0</v>
      </c>
      <c r="P17" s="7" t="str">
        <f aca="false">IFERROR(H17/O17,"-")</f>
        <v>-</v>
      </c>
      <c r="Q17" s="6" t="s">
        <v>90</v>
      </c>
      <c r="R17" s="22"/>
      <c r="S17" s="7" t="str">
        <f aca="false">IF(Q17="Yes",R17-B17,"")</f>
        <v/>
      </c>
      <c r="T17" s="6"/>
      <c r="U17" s="7" t="n">
        <v>0</v>
      </c>
      <c r="V17" s="7" t="n">
        <v>0</v>
      </c>
      <c r="W17" s="7" t="n">
        <v>0</v>
      </c>
      <c r="X17" s="7" t="n">
        <v>0</v>
      </c>
      <c r="Y17" s="10" t="str">
        <f aca="false">IF(Q17="Yes",IFERROR(W17/V17,"-"),"")</f>
        <v/>
      </c>
      <c r="Z17" s="10" t="str">
        <f aca="false">IF(Q17="Yes",IFERROR(X17/V17,"-"),"")</f>
        <v/>
      </c>
      <c r="AA17" s="7" t="n">
        <v>0</v>
      </c>
    </row>
    <row r="18" customFormat="false" ht="15" hidden="false" customHeight="false" outlineLevel="0" collapsed="false">
      <c r="A18" s="6" t="s">
        <v>110</v>
      </c>
      <c r="B18" s="22" t="n">
        <v>46091</v>
      </c>
      <c r="C18" s="6" t="str">
        <f aca="false">TEXT(B18,"yyyy-mm")</f>
        <v>2026-03</v>
      </c>
      <c r="D18" s="6" t="s">
        <v>52</v>
      </c>
      <c r="E18" s="6" t="s">
        <v>99</v>
      </c>
      <c r="F18" s="22" t="n">
        <v>46107</v>
      </c>
      <c r="G18" s="7" t="n">
        <f aca="false">Summary!$C$5-B18</f>
        <v>229</v>
      </c>
      <c r="H18" s="7" t="n">
        <v>8516.26</v>
      </c>
      <c r="I18" s="7" t="n">
        <v>16240</v>
      </c>
      <c r="J18" s="7" t="n">
        <v>104</v>
      </c>
      <c r="K18" s="7" t="n">
        <v>3357</v>
      </c>
      <c r="L18" s="10" t="n">
        <f aca="false">IFERROR(J18/I18,"-")</f>
        <v>0.00640394088669951</v>
      </c>
      <c r="M18" s="10" t="n">
        <f aca="false">IFERROR(K18/I18,"-")</f>
        <v>0.206711822660099</v>
      </c>
      <c r="N18" s="7" t="n">
        <f aca="false">IFERROR(H18/I18*1000,"-")</f>
        <v>524.400246305419</v>
      </c>
      <c r="O18" s="7" t="n">
        <v>6</v>
      </c>
      <c r="P18" s="7" t="n">
        <f aca="false">IFERROR(H18/O18,"-")</f>
        <v>1419.37666666667</v>
      </c>
      <c r="Q18" s="6" t="s">
        <v>100</v>
      </c>
      <c r="R18" s="22" t="n">
        <v>46104</v>
      </c>
      <c r="S18" s="7" t="n">
        <f aca="false">IF(Q18="Yes",R18-B18,"")</f>
        <v>13</v>
      </c>
      <c r="T18" s="6" t="s">
        <v>101</v>
      </c>
      <c r="U18" s="7" t="n">
        <v>39666.48</v>
      </c>
      <c r="V18" s="7" t="n">
        <v>219864</v>
      </c>
      <c r="W18" s="7" t="n">
        <v>2022</v>
      </c>
      <c r="X18" s="7" t="n">
        <v>33184.72</v>
      </c>
      <c r="Y18" s="10" t="n">
        <f aca="false">IF(Q18="Yes",IFERROR(W18/V18,"-"),"")</f>
        <v>0.00919659425826875</v>
      </c>
      <c r="Z18" s="10" t="n">
        <f aca="false">IF(Q18="Yes",IFERROR(X18/V18,"-"),"")</f>
        <v>0.150932940363134</v>
      </c>
      <c r="AA18" s="7" t="n">
        <v>21</v>
      </c>
    </row>
    <row r="19" customFormat="false" ht="15" hidden="false" customHeight="false" outlineLevel="0" collapsed="false">
      <c r="A19" s="6" t="s">
        <v>111</v>
      </c>
      <c r="B19" s="22" t="n">
        <v>46091</v>
      </c>
      <c r="C19" s="6" t="str">
        <f aca="false">TEXT(B19,"yyyy-mm")</f>
        <v>2026-03</v>
      </c>
      <c r="D19" s="6" t="s">
        <v>52</v>
      </c>
      <c r="E19" s="6" t="s">
        <v>99</v>
      </c>
      <c r="F19" s="22" t="n">
        <v>46104</v>
      </c>
      <c r="G19" s="7" t="n">
        <f aca="false">Summary!$C$5-B19</f>
        <v>229</v>
      </c>
      <c r="H19" s="7" t="n">
        <v>7231.83</v>
      </c>
      <c r="I19" s="7" t="n">
        <v>14670</v>
      </c>
      <c r="J19" s="7" t="n">
        <v>67</v>
      </c>
      <c r="K19" s="7" t="n">
        <v>3264</v>
      </c>
      <c r="L19" s="10" t="n">
        <f aca="false">IFERROR(J19/I19,"-")</f>
        <v>0.00456714383094751</v>
      </c>
      <c r="M19" s="10" t="n">
        <f aca="false">IFERROR(K19/I19,"-")</f>
        <v>0.222494887525562</v>
      </c>
      <c r="N19" s="7" t="n">
        <f aca="false">IFERROR(H19/I19*1000,"-")</f>
        <v>492.967280163599</v>
      </c>
      <c r="O19" s="7" t="n">
        <v>1</v>
      </c>
      <c r="P19" s="7" t="n">
        <f aca="false">IFERROR(H19/O19,"-")</f>
        <v>7231.83</v>
      </c>
      <c r="Q19" s="6" t="s">
        <v>90</v>
      </c>
      <c r="R19" s="22"/>
      <c r="S19" s="7" t="str">
        <f aca="false">IF(Q19="Yes",R19-B19,"")</f>
        <v/>
      </c>
      <c r="T19" s="6"/>
      <c r="U19" s="7" t="n">
        <v>0</v>
      </c>
      <c r="V19" s="7" t="n">
        <v>0</v>
      </c>
      <c r="W19" s="7" t="n">
        <v>0</v>
      </c>
      <c r="X19" s="7" t="n">
        <v>0</v>
      </c>
      <c r="Y19" s="10" t="str">
        <f aca="false">IF(Q19="Yes",IFERROR(W19/V19,"-"),"")</f>
        <v/>
      </c>
      <c r="Z19" s="10" t="str">
        <f aca="false">IF(Q19="Yes",IFERROR(X19/V19,"-"),"")</f>
        <v/>
      </c>
      <c r="AA19" s="7" t="n">
        <v>0</v>
      </c>
    </row>
    <row r="20" customFormat="false" ht="15" hidden="false" customHeight="false" outlineLevel="0" collapsed="false">
      <c r="A20" s="6" t="s">
        <v>112</v>
      </c>
      <c r="B20" s="22" t="n">
        <v>46091</v>
      </c>
      <c r="C20" s="6" t="str">
        <f aca="false">TEXT(B20,"yyyy-mm")</f>
        <v>2026-03</v>
      </c>
      <c r="D20" s="6" t="s">
        <v>52</v>
      </c>
      <c r="E20" s="6" t="s">
        <v>104</v>
      </c>
      <c r="F20" s="22" t="n">
        <v>46104</v>
      </c>
      <c r="G20" s="7" t="n">
        <f aca="false">Summary!$C$5-B20</f>
        <v>229</v>
      </c>
      <c r="H20" s="7" t="n">
        <v>545.33</v>
      </c>
      <c r="I20" s="7" t="n">
        <v>2187</v>
      </c>
      <c r="J20" s="7" t="n">
        <v>14</v>
      </c>
      <c r="K20" s="7" t="n">
        <v>711</v>
      </c>
      <c r="L20" s="10" t="n">
        <f aca="false">IFERROR(J20/I20,"-")</f>
        <v>0.00640146319158665</v>
      </c>
      <c r="M20" s="10" t="n">
        <f aca="false">IFERROR(K20/I20,"-")</f>
        <v>0.325102880658436</v>
      </c>
      <c r="N20" s="7" t="n">
        <f aca="false">IFERROR(H20/I20*1000,"-")</f>
        <v>249.350708733425</v>
      </c>
      <c r="O20" s="7" t="n">
        <v>0</v>
      </c>
      <c r="P20" s="7" t="str">
        <f aca="false">IFERROR(H20/O20,"-")</f>
        <v>-</v>
      </c>
      <c r="Q20" s="6" t="s">
        <v>100</v>
      </c>
      <c r="R20" s="22" t="n">
        <v>46104</v>
      </c>
      <c r="S20" s="7" t="n">
        <f aca="false">IF(Q20="Yes",R20-B20,"")</f>
        <v>13</v>
      </c>
      <c r="T20" s="6" t="s">
        <v>53</v>
      </c>
      <c r="U20" s="7" t="n">
        <v>71941.33</v>
      </c>
      <c r="V20" s="7" t="n">
        <v>667037</v>
      </c>
      <c r="W20" s="7" t="n">
        <v>4972</v>
      </c>
      <c r="X20" s="7" t="n">
        <v>114276.9</v>
      </c>
      <c r="Y20" s="10" t="n">
        <f aca="false">IF(Q20="Yes",IFERROR(W20/V20,"-"),"")</f>
        <v>0.00745385938111379</v>
      </c>
      <c r="Z20" s="10" t="n">
        <f aca="false">IF(Q20="Yes",IFERROR(X20/V20,"-"),"")</f>
        <v>0.171320181639099</v>
      </c>
      <c r="AA20" s="7" t="n">
        <v>7</v>
      </c>
    </row>
    <row r="21" customFormat="false" ht="15" hidden="false" customHeight="false" outlineLevel="0" collapsed="false">
      <c r="A21" s="6" t="s">
        <v>113</v>
      </c>
      <c r="B21" s="22" t="n">
        <v>46091</v>
      </c>
      <c r="C21" s="6" t="str">
        <f aca="false">TEXT(B21,"yyyy-mm")</f>
        <v>2026-03</v>
      </c>
      <c r="D21" s="6" t="s">
        <v>52</v>
      </c>
      <c r="E21" s="6" t="s">
        <v>104</v>
      </c>
      <c r="F21" s="22" t="n">
        <v>46233</v>
      </c>
      <c r="G21" s="7" t="n">
        <f aca="false">Summary!$C$5-B21</f>
        <v>229</v>
      </c>
      <c r="H21" s="7" t="n">
        <v>115732.09</v>
      </c>
      <c r="I21" s="7" t="n">
        <v>3872854</v>
      </c>
      <c r="J21" s="7" t="n">
        <v>211003</v>
      </c>
      <c r="K21" s="7" t="n">
        <v>1313201.96</v>
      </c>
      <c r="L21" s="10" t="n">
        <f aca="false">IFERROR(J21/I21,"-")</f>
        <v>0.0544825598899416</v>
      </c>
      <c r="M21" s="10" t="n">
        <f aca="false">IFERROR(K21/I21,"-")</f>
        <v>0.339078612310198</v>
      </c>
      <c r="N21" s="7" t="n">
        <f aca="false">IFERROR(H21/I21*1000,"-")</f>
        <v>29.8828951465767</v>
      </c>
      <c r="O21" s="7" t="n">
        <v>0</v>
      </c>
      <c r="P21" s="7" t="str">
        <f aca="false">IFERROR(H21/O21,"-")</f>
        <v>-</v>
      </c>
      <c r="Q21" s="6" t="s">
        <v>100</v>
      </c>
      <c r="R21" s="22" t="n">
        <v>46104</v>
      </c>
      <c r="S21" s="7" t="n">
        <f aca="false">IF(Q21="Yes",R21-B21,"")</f>
        <v>13</v>
      </c>
      <c r="T21" s="6" t="s">
        <v>53</v>
      </c>
      <c r="U21" s="7" t="n">
        <v>1072285.42</v>
      </c>
      <c r="V21" s="7" t="n">
        <v>18088242</v>
      </c>
      <c r="W21" s="7" t="n">
        <v>359792</v>
      </c>
      <c r="X21" s="7" t="n">
        <v>5726738.63</v>
      </c>
      <c r="Y21" s="10" t="n">
        <f aca="false">IF(Q21="Yes",IFERROR(W21/V21,"-"),"")</f>
        <v>0.019890932463199</v>
      </c>
      <c r="Z21" s="10" t="n">
        <f aca="false">IF(Q21="Yes",IFERROR(X21/V21,"-"),"")</f>
        <v>0.316600067049081</v>
      </c>
      <c r="AA21" s="7" t="n">
        <v>62</v>
      </c>
    </row>
    <row r="22" customFormat="false" ht="15" hidden="false" customHeight="false" outlineLevel="0" collapsed="false">
      <c r="A22" s="6" t="s">
        <v>114</v>
      </c>
      <c r="B22" s="22" t="n">
        <v>46105</v>
      </c>
      <c r="C22" s="6" t="str">
        <f aca="false">TEXT(B22,"yyyy-mm")</f>
        <v>2026-03</v>
      </c>
      <c r="D22" s="6" t="s">
        <v>52</v>
      </c>
      <c r="E22" s="6" t="s">
        <v>104</v>
      </c>
      <c r="F22" s="22" t="n">
        <v>46119</v>
      </c>
      <c r="G22" s="7" t="n">
        <f aca="false">Summary!$C$5-B22</f>
        <v>215</v>
      </c>
      <c r="H22" s="7" t="n">
        <v>4959.16</v>
      </c>
      <c r="I22" s="7" t="n">
        <v>22283</v>
      </c>
      <c r="J22" s="7" t="n">
        <v>70</v>
      </c>
      <c r="K22" s="7" t="n">
        <v>3812</v>
      </c>
      <c r="L22" s="10" t="n">
        <f aca="false">IFERROR(J22/I22,"-")</f>
        <v>0.00314140824844052</v>
      </c>
      <c r="M22" s="10" t="n">
        <f aca="false">IFERROR(K22/I22,"-")</f>
        <v>0.171072117757932</v>
      </c>
      <c r="N22" s="7" t="n">
        <f aca="false">IFERROR(H22/I22*1000,"-")</f>
        <v>222.553516133375</v>
      </c>
      <c r="O22" s="7" t="n">
        <v>4</v>
      </c>
      <c r="P22" s="7" t="n">
        <f aca="false">IFERROR(H22/O22,"-")</f>
        <v>1239.79</v>
      </c>
      <c r="Q22" s="6" t="s">
        <v>100</v>
      </c>
      <c r="R22" s="22" t="n">
        <v>46118</v>
      </c>
      <c r="S22" s="7" t="n">
        <f aca="false">IF(Q22="Yes",R22-B22,"")</f>
        <v>13</v>
      </c>
      <c r="T22" s="6" t="s">
        <v>53</v>
      </c>
      <c r="U22" s="7" t="n">
        <v>86556.48</v>
      </c>
      <c r="V22" s="7" t="n">
        <v>520606</v>
      </c>
      <c r="W22" s="7" t="n">
        <v>1352</v>
      </c>
      <c r="X22" s="7" t="n">
        <v>59493.28</v>
      </c>
      <c r="Y22" s="10" t="n">
        <f aca="false">IF(Q22="Yes",IFERROR(W22/V22,"-"),"")</f>
        <v>0.00259697352700507</v>
      </c>
      <c r="Z22" s="10" t="n">
        <f aca="false">IF(Q22="Yes",IFERROR(X22/V22,"-"),"")</f>
        <v>0.114276977215015</v>
      </c>
      <c r="AA22" s="7" t="n">
        <v>3</v>
      </c>
    </row>
    <row r="23" customFormat="false" ht="15" hidden="false" customHeight="false" outlineLevel="0" collapsed="false">
      <c r="A23" s="6" t="s">
        <v>115</v>
      </c>
      <c r="B23" s="22" t="n">
        <v>46105</v>
      </c>
      <c r="C23" s="6" t="str">
        <f aca="false">TEXT(B23,"yyyy-mm")</f>
        <v>2026-03</v>
      </c>
      <c r="D23" s="6" t="s">
        <v>52</v>
      </c>
      <c r="E23" s="6" t="s">
        <v>104</v>
      </c>
      <c r="F23" s="22" t="n">
        <v>46118</v>
      </c>
      <c r="G23" s="7" t="n">
        <f aca="false">Summary!$C$5-B23</f>
        <v>215</v>
      </c>
      <c r="H23" s="7" t="n">
        <v>4800.66</v>
      </c>
      <c r="I23" s="7" t="n">
        <v>16973</v>
      </c>
      <c r="J23" s="7" t="n">
        <v>105</v>
      </c>
      <c r="K23" s="7" t="n">
        <v>5669</v>
      </c>
      <c r="L23" s="10" t="n">
        <f aca="false">IFERROR(J23/I23,"-")</f>
        <v>0.00618629588169446</v>
      </c>
      <c r="M23" s="10" t="n">
        <f aca="false">IFERROR(K23/I23,"-")</f>
        <v>0.334001060507865</v>
      </c>
      <c r="N23" s="7" t="n">
        <f aca="false">IFERROR(H23/I23*1000,"-")</f>
        <v>282.840982737289</v>
      </c>
      <c r="O23" s="7" t="n">
        <v>1</v>
      </c>
      <c r="P23" s="7" t="n">
        <f aca="false">IFERROR(H23/O23,"-")</f>
        <v>4800.66</v>
      </c>
      <c r="Q23" s="6" t="s">
        <v>90</v>
      </c>
      <c r="R23" s="22"/>
      <c r="S23" s="7" t="str">
        <f aca="false">IF(Q23="Yes",R23-B23,"")</f>
        <v/>
      </c>
      <c r="T23" s="6"/>
      <c r="U23" s="7" t="n">
        <v>0</v>
      </c>
      <c r="V23" s="7" t="n">
        <v>0</v>
      </c>
      <c r="W23" s="7" t="n">
        <v>0</v>
      </c>
      <c r="X23" s="7" t="n">
        <v>0</v>
      </c>
      <c r="Y23" s="10" t="str">
        <f aca="false">IF(Q23="Yes",IFERROR(W23/V23,"-"),"")</f>
        <v/>
      </c>
      <c r="Z23" s="10" t="str">
        <f aca="false">IF(Q23="Yes",IFERROR(X23/V23,"-"),"")</f>
        <v/>
      </c>
      <c r="AA23" s="7" t="n">
        <v>0</v>
      </c>
    </row>
    <row r="24" customFormat="false" ht="15" hidden="false" customHeight="false" outlineLevel="0" collapsed="false">
      <c r="A24" s="6" t="s">
        <v>116</v>
      </c>
      <c r="B24" s="22" t="n">
        <v>46105</v>
      </c>
      <c r="C24" s="6" t="str">
        <f aca="false">TEXT(B24,"yyyy-mm")</f>
        <v>2026-03</v>
      </c>
      <c r="D24" s="6" t="s">
        <v>52</v>
      </c>
      <c r="E24" s="6" t="s">
        <v>104</v>
      </c>
      <c r="F24" s="22" t="n">
        <v>46119</v>
      </c>
      <c r="G24" s="7" t="n">
        <f aca="false">Summary!$C$5-B24</f>
        <v>215</v>
      </c>
      <c r="H24" s="7" t="n">
        <v>7857.46</v>
      </c>
      <c r="I24" s="7" t="n">
        <v>33523</v>
      </c>
      <c r="J24" s="7" t="n">
        <v>81</v>
      </c>
      <c r="K24" s="7" t="n">
        <v>3994</v>
      </c>
      <c r="L24" s="10" t="n">
        <f aca="false">IFERROR(J24/I24,"-")</f>
        <v>0.00241625152880112</v>
      </c>
      <c r="M24" s="10" t="n">
        <f aca="false">IFERROR(K24/I24,"-")</f>
        <v>0.119142081555947</v>
      </c>
      <c r="N24" s="7" t="n">
        <f aca="false">IFERROR(H24/I24*1000,"-")</f>
        <v>234.390120215971</v>
      </c>
      <c r="O24" s="7" t="n">
        <v>3</v>
      </c>
      <c r="P24" s="7" t="n">
        <f aca="false">IFERROR(H24/O24,"-")</f>
        <v>2619.15333333333</v>
      </c>
      <c r="Q24" s="6" t="s">
        <v>100</v>
      </c>
      <c r="R24" s="22" t="n">
        <v>46119</v>
      </c>
      <c r="S24" s="7" t="n">
        <f aca="false">IF(Q24="Yes",R24-B24,"")</f>
        <v>14</v>
      </c>
      <c r="T24" s="6" t="s">
        <v>53</v>
      </c>
      <c r="U24" s="7" t="n">
        <v>237552.66</v>
      </c>
      <c r="V24" s="7" t="n">
        <v>1229269</v>
      </c>
      <c r="W24" s="7" t="n">
        <v>3128</v>
      </c>
      <c r="X24" s="7" t="n">
        <v>109630.41</v>
      </c>
      <c r="Y24" s="10" t="n">
        <f aca="false">IF(Q24="Yes",IFERROR(W24/V24,"-"),"")</f>
        <v>0.00254460171044743</v>
      </c>
      <c r="Z24" s="10" t="n">
        <f aca="false">IF(Q24="Yes",IFERROR(X24/V24,"-"),"")</f>
        <v>0.0891834171365259</v>
      </c>
      <c r="AA24" s="7" t="n">
        <v>9</v>
      </c>
    </row>
    <row r="25" customFormat="false" ht="15" hidden="false" customHeight="false" outlineLevel="0" collapsed="false">
      <c r="A25" s="6" t="s">
        <v>117</v>
      </c>
      <c r="B25" s="22" t="n">
        <v>46105</v>
      </c>
      <c r="C25" s="6" t="str">
        <f aca="false">TEXT(B25,"yyyy-mm")</f>
        <v>2026-03</v>
      </c>
      <c r="D25" s="6" t="s">
        <v>52</v>
      </c>
      <c r="E25" s="6" t="s">
        <v>104</v>
      </c>
      <c r="F25" s="22" t="n">
        <v>46119</v>
      </c>
      <c r="G25" s="7" t="n">
        <f aca="false">Summary!$C$5-B25</f>
        <v>215</v>
      </c>
      <c r="H25" s="7" t="n">
        <v>2753.72</v>
      </c>
      <c r="I25" s="7" t="n">
        <v>14142</v>
      </c>
      <c r="J25" s="7" t="n">
        <v>60</v>
      </c>
      <c r="K25" s="7" t="n">
        <v>4167</v>
      </c>
      <c r="L25" s="10" t="n">
        <f aca="false">IFERROR(J25/I25,"-")</f>
        <v>0.00424268137462877</v>
      </c>
      <c r="M25" s="10" t="n">
        <f aca="false">IFERROR(K25/I25,"-")</f>
        <v>0.294654221467968</v>
      </c>
      <c r="N25" s="7" t="n">
        <f aca="false">IFERROR(H25/I25*1000,"-")</f>
        <v>194.719275915712</v>
      </c>
      <c r="O25" s="7" t="n">
        <v>0</v>
      </c>
      <c r="P25" s="7" t="str">
        <f aca="false">IFERROR(H25/O25,"-")</f>
        <v>-</v>
      </c>
      <c r="Q25" s="6" t="s">
        <v>100</v>
      </c>
      <c r="R25" s="22" t="n">
        <v>46119</v>
      </c>
      <c r="S25" s="7" t="n">
        <f aca="false">IF(Q25="Yes",R25-B25,"")</f>
        <v>14</v>
      </c>
      <c r="T25" s="6" t="s">
        <v>53</v>
      </c>
      <c r="U25" s="7" t="n">
        <v>101064.15</v>
      </c>
      <c r="V25" s="7" t="n">
        <v>1816318</v>
      </c>
      <c r="W25" s="7" t="n">
        <v>6432</v>
      </c>
      <c r="X25" s="7" t="n">
        <v>414412.59</v>
      </c>
      <c r="Y25" s="10" t="n">
        <f aca="false">IF(Q25="Yes",IFERROR(W25/V25,"-"),"")</f>
        <v>0.00354123011499088</v>
      </c>
      <c r="Z25" s="10" t="n">
        <f aca="false">IF(Q25="Yes",IFERROR(X25/V25,"-"),"")</f>
        <v>0.228160812148533</v>
      </c>
      <c r="AA25" s="7" t="n">
        <v>7</v>
      </c>
    </row>
    <row r="26" customFormat="false" ht="15" hidden="false" customHeight="false" outlineLevel="0" collapsed="false">
      <c r="A26" s="6" t="s">
        <v>118</v>
      </c>
      <c r="B26" s="22" t="n">
        <v>46105</v>
      </c>
      <c r="C26" s="6" t="str">
        <f aca="false">TEXT(B26,"yyyy-mm")</f>
        <v>2026-03</v>
      </c>
      <c r="D26" s="6" t="s">
        <v>52</v>
      </c>
      <c r="E26" s="6" t="s">
        <v>104</v>
      </c>
      <c r="F26" s="22" t="n">
        <v>46206</v>
      </c>
      <c r="G26" s="7" t="n">
        <f aca="false">Summary!$C$5-B26</f>
        <v>215</v>
      </c>
      <c r="H26" s="7" t="n">
        <v>15963.05</v>
      </c>
      <c r="I26" s="7" t="n">
        <v>2426416</v>
      </c>
      <c r="J26" s="7" t="n">
        <v>1397</v>
      </c>
      <c r="K26" s="7" t="n">
        <v>289666.86</v>
      </c>
      <c r="L26" s="10" t="n">
        <f aca="false">IFERROR(J26/I26,"-")</f>
        <v>0.00057574628588008</v>
      </c>
      <c r="M26" s="10" t="n">
        <f aca="false">IFERROR(K26/I26,"-")</f>
        <v>0.119380543155007</v>
      </c>
      <c r="N26" s="7" t="n">
        <f aca="false">IFERROR(H26/I26*1000,"-")</f>
        <v>6.57885951955477</v>
      </c>
      <c r="O26" s="7" t="n">
        <v>3</v>
      </c>
      <c r="P26" s="7" t="n">
        <f aca="false">IFERROR(H26/O26,"-")</f>
        <v>5321.01666666667</v>
      </c>
      <c r="Q26" s="6" t="s">
        <v>100</v>
      </c>
      <c r="R26" s="22" t="n">
        <v>46112</v>
      </c>
      <c r="S26" s="7" t="n">
        <f aca="false">IF(Q26="Yes",R26-B26,"")</f>
        <v>7</v>
      </c>
      <c r="T26" s="6" t="s">
        <v>53</v>
      </c>
      <c r="U26" s="7" t="n">
        <v>548048.64</v>
      </c>
      <c r="V26" s="7" t="n">
        <v>5112283</v>
      </c>
      <c r="W26" s="7" t="n">
        <v>31252</v>
      </c>
      <c r="X26" s="7" t="n">
        <v>1370778.78</v>
      </c>
      <c r="Y26" s="10" t="n">
        <f aca="false">IF(Q26="Yes",IFERROR(W26/V26,"-"),"")</f>
        <v>0.00611312010700503</v>
      </c>
      <c r="Z26" s="10" t="n">
        <f aca="false">IF(Q26="Yes",IFERROR(X26/V26,"-"),"")</f>
        <v>0.268134369713101</v>
      </c>
      <c r="AA26" s="7" t="n">
        <v>23</v>
      </c>
    </row>
    <row r="27" customFormat="false" ht="15" hidden="false" customHeight="false" outlineLevel="0" collapsed="false">
      <c r="A27" s="6" t="s">
        <v>119</v>
      </c>
      <c r="B27" s="22" t="n">
        <v>46105</v>
      </c>
      <c r="C27" s="6" t="str">
        <f aca="false">TEXT(B27,"yyyy-mm")</f>
        <v>2026-03</v>
      </c>
      <c r="D27" s="6" t="s">
        <v>52</v>
      </c>
      <c r="E27" s="6" t="s">
        <v>104</v>
      </c>
      <c r="F27" s="22" t="n">
        <v>46118</v>
      </c>
      <c r="G27" s="7" t="n">
        <f aca="false">Summary!$C$5-B27</f>
        <v>215</v>
      </c>
      <c r="H27" s="7" t="n">
        <v>2940.12</v>
      </c>
      <c r="I27" s="7" t="n">
        <v>16036</v>
      </c>
      <c r="J27" s="7" t="n">
        <v>31</v>
      </c>
      <c r="K27" s="7" t="n">
        <v>2606</v>
      </c>
      <c r="L27" s="10" t="n">
        <f aca="false">IFERROR(J27/I27,"-")</f>
        <v>0.00193315041157396</v>
      </c>
      <c r="M27" s="10" t="n">
        <f aca="false">IFERROR(K27/I27,"-")</f>
        <v>0.162509353953604</v>
      </c>
      <c r="N27" s="7" t="n">
        <f aca="false">IFERROR(H27/I27*1000,"-")</f>
        <v>183.34497380893</v>
      </c>
      <c r="O27" s="7" t="n">
        <v>0</v>
      </c>
      <c r="P27" s="7" t="str">
        <f aca="false">IFERROR(H27/O27,"-")</f>
        <v>-</v>
      </c>
      <c r="Q27" s="6" t="s">
        <v>90</v>
      </c>
      <c r="R27" s="22"/>
      <c r="S27" s="7" t="str">
        <f aca="false">IF(Q27="Yes",R27-B27,"")</f>
        <v/>
      </c>
      <c r="T27" s="6"/>
      <c r="U27" s="7" t="n">
        <v>0</v>
      </c>
      <c r="V27" s="7" t="n">
        <v>0</v>
      </c>
      <c r="W27" s="7" t="n">
        <v>0</v>
      </c>
      <c r="X27" s="7" t="n">
        <v>0</v>
      </c>
      <c r="Y27" s="10" t="str">
        <f aca="false">IF(Q27="Yes",IFERROR(W27/V27,"-"),"")</f>
        <v/>
      </c>
      <c r="Z27" s="10" t="str">
        <f aca="false">IF(Q27="Yes",IFERROR(X27/V27,"-"),"")</f>
        <v/>
      </c>
      <c r="AA27" s="7" t="n">
        <v>0</v>
      </c>
    </row>
    <row r="28" customFormat="false" ht="15" hidden="false" customHeight="false" outlineLevel="0" collapsed="false">
      <c r="A28" s="6" t="s">
        <v>120</v>
      </c>
      <c r="B28" s="22" t="n">
        <v>46106</v>
      </c>
      <c r="C28" s="6" t="str">
        <f aca="false">TEXT(B28,"yyyy-mm")</f>
        <v>2026-03</v>
      </c>
      <c r="D28" s="6" t="s">
        <v>52</v>
      </c>
      <c r="E28" s="6" t="s">
        <v>104</v>
      </c>
      <c r="F28" s="22" t="n">
        <v>46118</v>
      </c>
      <c r="G28" s="7" t="n">
        <f aca="false">Summary!$C$5-B28</f>
        <v>214</v>
      </c>
      <c r="H28" s="7" t="n">
        <v>2834.46</v>
      </c>
      <c r="I28" s="7" t="n">
        <v>10779</v>
      </c>
      <c r="J28" s="7" t="n">
        <v>37</v>
      </c>
      <c r="K28" s="7" t="n">
        <v>1934</v>
      </c>
      <c r="L28" s="10" t="n">
        <f aca="false">IFERROR(J28/I28,"-")</f>
        <v>0.00343260042675573</v>
      </c>
      <c r="M28" s="10" t="n">
        <f aca="false">IFERROR(K28/I28,"-")</f>
        <v>0.179422952036367</v>
      </c>
      <c r="N28" s="7" t="n">
        <f aca="false">IFERROR(H28/I28*1000,"-")</f>
        <v>262.961313665461</v>
      </c>
      <c r="O28" s="7" t="n">
        <v>0</v>
      </c>
      <c r="P28" s="7" t="str">
        <f aca="false">IFERROR(H28/O28,"-")</f>
        <v>-</v>
      </c>
      <c r="Q28" s="6" t="s">
        <v>90</v>
      </c>
      <c r="R28" s="22"/>
      <c r="S28" s="7" t="str">
        <f aca="false">IF(Q28="Yes",R28-B28,"")</f>
        <v/>
      </c>
      <c r="T28" s="6"/>
      <c r="U28" s="7" t="n">
        <v>0</v>
      </c>
      <c r="V28" s="7" t="n">
        <v>0</v>
      </c>
      <c r="W28" s="7" t="n">
        <v>0</v>
      </c>
      <c r="X28" s="7" t="n">
        <v>0</v>
      </c>
      <c r="Y28" s="10" t="str">
        <f aca="false">IF(Q28="Yes",IFERROR(W28/V28,"-"),"")</f>
        <v/>
      </c>
      <c r="Z28" s="10" t="str">
        <f aca="false">IF(Q28="Yes",IFERROR(X28/V28,"-"),"")</f>
        <v/>
      </c>
      <c r="AA28" s="7" t="n">
        <v>0</v>
      </c>
    </row>
    <row r="29" customFormat="false" ht="15" hidden="false" customHeight="false" outlineLevel="0" collapsed="false">
      <c r="A29" s="6" t="s">
        <v>121</v>
      </c>
      <c r="B29" s="22" t="n">
        <v>46113</v>
      </c>
      <c r="C29" s="6" t="str">
        <f aca="false">TEXT(B29,"yyyy-mm")</f>
        <v>2026-04</v>
      </c>
      <c r="D29" s="6" t="s">
        <v>52</v>
      </c>
      <c r="E29" s="6" t="s">
        <v>122</v>
      </c>
      <c r="F29" s="22" t="n">
        <v>46126</v>
      </c>
      <c r="G29" s="7" t="n">
        <f aca="false">Summary!$C$5-B29</f>
        <v>207</v>
      </c>
      <c r="H29" s="7" t="n">
        <v>16051.63</v>
      </c>
      <c r="I29" s="7" t="n">
        <v>57655</v>
      </c>
      <c r="J29" s="7" t="n">
        <v>286</v>
      </c>
      <c r="K29" s="7" t="n">
        <v>13757</v>
      </c>
      <c r="L29" s="10" t="n">
        <f aca="false">IFERROR(J29/I29,"-")</f>
        <v>0.00496054114994363</v>
      </c>
      <c r="M29" s="10" t="n">
        <f aca="false">IFERROR(K29/I29,"-")</f>
        <v>0.238608967132079</v>
      </c>
      <c r="N29" s="7" t="n">
        <f aca="false">IFERROR(H29/I29*1000,"-")</f>
        <v>278.408290694649</v>
      </c>
      <c r="O29" s="7" t="n">
        <v>5</v>
      </c>
      <c r="P29" s="7" t="n">
        <f aca="false">IFERROR(H29/O29,"-")</f>
        <v>3210.326</v>
      </c>
      <c r="Q29" s="6" t="s">
        <v>90</v>
      </c>
      <c r="R29" s="22"/>
      <c r="S29" s="7" t="str">
        <f aca="false">IF(Q29="Yes",R29-B29,"")</f>
        <v/>
      </c>
      <c r="T29" s="6"/>
      <c r="U29" s="7" t="n">
        <v>0</v>
      </c>
      <c r="V29" s="7" t="n">
        <v>0</v>
      </c>
      <c r="W29" s="7" t="n">
        <v>0</v>
      </c>
      <c r="X29" s="7" t="n">
        <v>0</v>
      </c>
      <c r="Y29" s="10" t="str">
        <f aca="false">IF(Q29="Yes",IFERROR(W29/V29,"-"),"")</f>
        <v/>
      </c>
      <c r="Z29" s="10" t="str">
        <f aca="false">IF(Q29="Yes",IFERROR(X29/V29,"-"),"")</f>
        <v/>
      </c>
      <c r="AA29" s="7" t="n">
        <v>0</v>
      </c>
    </row>
    <row r="30" customFormat="false" ht="15" hidden="false" customHeight="false" outlineLevel="0" collapsed="false">
      <c r="A30" s="6" t="s">
        <v>123</v>
      </c>
      <c r="B30" s="22" t="n">
        <v>46113</v>
      </c>
      <c r="C30" s="6" t="str">
        <f aca="false">TEXT(B30,"yyyy-mm")</f>
        <v>2026-04</v>
      </c>
      <c r="D30" s="6" t="s">
        <v>52</v>
      </c>
      <c r="E30" s="6" t="s">
        <v>122</v>
      </c>
      <c r="F30" s="22" t="n">
        <v>46126</v>
      </c>
      <c r="G30" s="7" t="n">
        <f aca="false">Summary!$C$5-B30</f>
        <v>207</v>
      </c>
      <c r="H30" s="7" t="n">
        <v>7164.1</v>
      </c>
      <c r="I30" s="7" t="n">
        <v>37817</v>
      </c>
      <c r="J30" s="7" t="n">
        <v>272</v>
      </c>
      <c r="K30" s="7" t="n">
        <v>8627</v>
      </c>
      <c r="L30" s="10" t="n">
        <f aca="false">IFERROR(J30/I30,"-")</f>
        <v>0.00719253245894704</v>
      </c>
      <c r="M30" s="10" t="n">
        <f aca="false">IFERROR(K30/I30,"-")</f>
        <v>0.228124917365206</v>
      </c>
      <c r="N30" s="7" t="n">
        <f aca="false">IFERROR(H30/I30*1000,"-")</f>
        <v>189.44125657773</v>
      </c>
      <c r="O30" s="7" t="n">
        <v>0</v>
      </c>
      <c r="P30" s="7" t="str">
        <f aca="false">IFERROR(H30/O30,"-")</f>
        <v>-</v>
      </c>
      <c r="Q30" s="6" t="s">
        <v>90</v>
      </c>
      <c r="R30" s="22"/>
      <c r="S30" s="7" t="str">
        <f aca="false">IF(Q30="Yes",R30-B30,"")</f>
        <v/>
      </c>
      <c r="T30" s="6"/>
      <c r="U30" s="7" t="n">
        <v>0</v>
      </c>
      <c r="V30" s="7" t="n">
        <v>0</v>
      </c>
      <c r="W30" s="7" t="n">
        <v>0</v>
      </c>
      <c r="X30" s="7" t="n">
        <v>0</v>
      </c>
      <c r="Y30" s="10" t="str">
        <f aca="false">IF(Q30="Yes",IFERROR(W30/V30,"-"),"")</f>
        <v/>
      </c>
      <c r="Z30" s="10" t="str">
        <f aca="false">IF(Q30="Yes",IFERROR(X30/V30,"-"),"")</f>
        <v/>
      </c>
      <c r="AA30" s="7" t="n">
        <v>0</v>
      </c>
    </row>
    <row r="31" customFormat="false" ht="15" hidden="false" customHeight="false" outlineLevel="0" collapsed="false">
      <c r="A31" s="6" t="s">
        <v>124</v>
      </c>
      <c r="B31" s="22" t="n">
        <v>46118</v>
      </c>
      <c r="C31" s="6" t="str">
        <f aca="false">TEXT(B31,"yyyy-mm")</f>
        <v>2026-04</v>
      </c>
      <c r="D31" s="6" t="s">
        <v>52</v>
      </c>
      <c r="E31" s="6" t="s">
        <v>99</v>
      </c>
      <c r="F31" s="22" t="n">
        <v>46127</v>
      </c>
      <c r="G31" s="7" t="n">
        <f aca="false">Summary!$C$5-B31</f>
        <v>202</v>
      </c>
      <c r="H31" s="7" t="n">
        <v>10757.87</v>
      </c>
      <c r="I31" s="7" t="n">
        <v>24340</v>
      </c>
      <c r="J31" s="7" t="n">
        <v>347</v>
      </c>
      <c r="K31" s="7" t="n">
        <v>8307</v>
      </c>
      <c r="L31" s="10" t="n">
        <f aca="false">IFERROR(J31/I31,"-")</f>
        <v>0.0142563681183237</v>
      </c>
      <c r="M31" s="10" t="n">
        <f aca="false">IFERROR(K31/I31,"-")</f>
        <v>0.341290057518488</v>
      </c>
      <c r="N31" s="7" t="n">
        <f aca="false">IFERROR(H31/I31*1000,"-")</f>
        <v>441.983155299918</v>
      </c>
      <c r="O31" s="7" t="n">
        <v>3</v>
      </c>
      <c r="P31" s="7" t="n">
        <f aca="false">IFERROR(H31/O31,"-")</f>
        <v>3585.95666666667</v>
      </c>
      <c r="Q31" s="6" t="s">
        <v>100</v>
      </c>
      <c r="R31" s="22" t="n">
        <v>46187</v>
      </c>
      <c r="S31" s="7" t="n">
        <f aca="false">IF(Q31="Yes",R31-B31,"")</f>
        <v>69</v>
      </c>
      <c r="T31" s="6" t="s">
        <v>101</v>
      </c>
      <c r="U31" s="7" t="n">
        <v>38554.99</v>
      </c>
      <c r="V31" s="7" t="n">
        <v>201229</v>
      </c>
      <c r="W31" s="7" t="n">
        <v>2372</v>
      </c>
      <c r="X31" s="7" t="n">
        <v>40074.86</v>
      </c>
      <c r="Y31" s="10" t="n">
        <f aca="false">IF(Q31="Yes",IFERROR(W31/V31,"-"),"")</f>
        <v>0.0117875654105522</v>
      </c>
      <c r="Z31" s="10" t="n">
        <f aca="false">IF(Q31="Yes",IFERROR(X31/V31,"-"),"")</f>
        <v>0.199150520054267</v>
      </c>
      <c r="AA31" s="7" t="n">
        <v>10</v>
      </c>
    </row>
    <row r="32" customFormat="false" ht="15" hidden="false" customHeight="false" outlineLevel="0" collapsed="false">
      <c r="A32" s="6" t="s">
        <v>125</v>
      </c>
      <c r="B32" s="22" t="n">
        <v>46118</v>
      </c>
      <c r="C32" s="6" t="str">
        <f aca="false">TEXT(B32,"yyyy-mm")</f>
        <v>2026-04</v>
      </c>
      <c r="D32" s="6" t="s">
        <v>52</v>
      </c>
      <c r="E32" s="6" t="s">
        <v>99</v>
      </c>
      <c r="F32" s="22" t="n">
        <v>46133</v>
      </c>
      <c r="G32" s="7" t="n">
        <f aca="false">Summary!$C$5-B32</f>
        <v>202</v>
      </c>
      <c r="H32" s="7" t="n">
        <v>4304.89</v>
      </c>
      <c r="I32" s="7" t="n">
        <v>10534</v>
      </c>
      <c r="J32" s="7" t="n">
        <v>46</v>
      </c>
      <c r="K32" s="7" t="n">
        <v>1002</v>
      </c>
      <c r="L32" s="10" t="n">
        <f aca="false">IFERROR(J32/I32,"-")</f>
        <v>0.00436681222707424</v>
      </c>
      <c r="M32" s="10" t="n">
        <f aca="false">IFERROR(K32/I32,"-")</f>
        <v>0.0951205619897475</v>
      </c>
      <c r="N32" s="7" t="n">
        <f aca="false">IFERROR(H32/I32*1000,"-")</f>
        <v>408.666223656731</v>
      </c>
      <c r="O32" s="7" t="n">
        <v>1</v>
      </c>
      <c r="P32" s="7" t="n">
        <f aca="false">IFERROR(H32/O32,"-")</f>
        <v>4304.89</v>
      </c>
      <c r="Q32" s="6" t="s">
        <v>100</v>
      </c>
      <c r="R32" s="22" t="n">
        <v>46186</v>
      </c>
      <c r="S32" s="7" t="n">
        <f aca="false">IF(Q32="Yes",R32-B32,"")</f>
        <v>68</v>
      </c>
      <c r="T32" s="6" t="s">
        <v>101</v>
      </c>
      <c r="U32" s="7" t="n">
        <v>11990.04</v>
      </c>
      <c r="V32" s="7" t="n">
        <v>34074</v>
      </c>
      <c r="W32" s="7" t="n">
        <v>117</v>
      </c>
      <c r="X32" s="7" t="n">
        <v>2825.38</v>
      </c>
      <c r="Y32" s="10" t="n">
        <f aca="false">IF(Q32="Yes",IFERROR(W32/V32,"-"),"")</f>
        <v>0.00343370311674591</v>
      </c>
      <c r="Z32" s="10" t="n">
        <f aca="false">IF(Q32="Yes",IFERROR(X32/V32,"-"),"")</f>
        <v>0.0829189411281329</v>
      </c>
      <c r="AA32" s="7" t="n">
        <v>2</v>
      </c>
    </row>
    <row r="33" customFormat="false" ht="15" hidden="false" customHeight="false" outlineLevel="0" collapsed="false">
      <c r="A33" s="6" t="s">
        <v>126</v>
      </c>
      <c r="B33" s="22" t="n">
        <v>46118</v>
      </c>
      <c r="C33" s="6" t="str">
        <f aca="false">TEXT(B33,"yyyy-mm")</f>
        <v>2026-04</v>
      </c>
      <c r="D33" s="6" t="s">
        <v>52</v>
      </c>
      <c r="E33" s="6" t="s">
        <v>99</v>
      </c>
      <c r="F33" s="22" t="n">
        <v>46133</v>
      </c>
      <c r="G33" s="7" t="n">
        <f aca="false">Summary!$C$5-B33</f>
        <v>202</v>
      </c>
      <c r="H33" s="7" t="n">
        <v>5488.73</v>
      </c>
      <c r="I33" s="7" t="n">
        <v>10128</v>
      </c>
      <c r="J33" s="7" t="n">
        <v>59</v>
      </c>
      <c r="K33" s="7" t="n">
        <v>1249</v>
      </c>
      <c r="L33" s="10" t="n">
        <f aca="false">IFERROR(J33/I33,"-")</f>
        <v>0.00582543443917852</v>
      </c>
      <c r="M33" s="10" t="n">
        <f aca="false">IFERROR(K33/I33,"-")</f>
        <v>0.123321484992101</v>
      </c>
      <c r="N33" s="7" t="n">
        <f aca="false">IFERROR(H33/I33*1000,"-")</f>
        <v>541.9362164297</v>
      </c>
      <c r="O33" s="7" t="n">
        <v>3</v>
      </c>
      <c r="P33" s="7" t="n">
        <f aca="false">IFERROR(H33/O33,"-")</f>
        <v>1829.57666666667</v>
      </c>
      <c r="Q33" s="6" t="s">
        <v>100</v>
      </c>
      <c r="R33" s="22" t="n">
        <v>46187</v>
      </c>
      <c r="S33" s="7" t="n">
        <f aca="false">IF(Q33="Yes",R33-B33,"")</f>
        <v>69</v>
      </c>
      <c r="T33" s="6" t="s">
        <v>101</v>
      </c>
      <c r="U33" s="7" t="n">
        <v>15247.99</v>
      </c>
      <c r="V33" s="7" t="n">
        <v>73701</v>
      </c>
      <c r="W33" s="7" t="n">
        <v>228</v>
      </c>
      <c r="X33" s="7" t="n">
        <v>5859.33</v>
      </c>
      <c r="Y33" s="10" t="n">
        <f aca="false">IF(Q33="Yes",IFERROR(W33/V33,"-"),"")</f>
        <v>0.00309358081979892</v>
      </c>
      <c r="Z33" s="10" t="n">
        <f aca="false">IF(Q33="Yes",IFERROR(X33/V33,"-"),"")</f>
        <v>0.0795013636178614</v>
      </c>
      <c r="AA33" s="7" t="n">
        <v>4</v>
      </c>
    </row>
    <row r="34" customFormat="false" ht="15" hidden="false" customHeight="false" outlineLevel="0" collapsed="false">
      <c r="A34" s="6" t="s">
        <v>127</v>
      </c>
      <c r="B34" s="22" t="n">
        <v>46118</v>
      </c>
      <c r="C34" s="6" t="str">
        <f aca="false">TEXT(B34,"yyyy-mm")</f>
        <v>2026-04</v>
      </c>
      <c r="D34" s="6" t="s">
        <v>52</v>
      </c>
      <c r="E34" s="6" t="s">
        <v>99</v>
      </c>
      <c r="F34" s="22" t="n">
        <v>46129</v>
      </c>
      <c r="G34" s="7" t="n">
        <f aca="false">Summary!$C$5-B34</f>
        <v>202</v>
      </c>
      <c r="H34" s="7" t="n">
        <v>6268.54</v>
      </c>
      <c r="I34" s="7" t="n">
        <v>15005</v>
      </c>
      <c r="J34" s="7" t="n">
        <v>106</v>
      </c>
      <c r="K34" s="7" t="n">
        <v>3092</v>
      </c>
      <c r="L34" s="10" t="n">
        <f aca="false">IFERROR(J34/I34,"-")</f>
        <v>0.00706431189603466</v>
      </c>
      <c r="M34" s="10" t="n">
        <f aca="false">IFERROR(K34/I34,"-")</f>
        <v>0.206064645118294</v>
      </c>
      <c r="N34" s="7" t="n">
        <f aca="false">IFERROR(H34/I34*1000,"-")</f>
        <v>417.763412195935</v>
      </c>
      <c r="O34" s="7" t="n">
        <v>3</v>
      </c>
      <c r="P34" s="7" t="n">
        <f aca="false">IFERROR(H34/O34,"-")</f>
        <v>2089.51333333333</v>
      </c>
      <c r="Q34" s="6" t="s">
        <v>90</v>
      </c>
      <c r="R34" s="22"/>
      <c r="S34" s="7" t="str">
        <f aca="false">IF(Q34="Yes",R34-B34,"")</f>
        <v/>
      </c>
      <c r="T34" s="6"/>
      <c r="U34" s="7" t="n">
        <v>0</v>
      </c>
      <c r="V34" s="7" t="n">
        <v>0</v>
      </c>
      <c r="W34" s="7" t="n">
        <v>0</v>
      </c>
      <c r="X34" s="7" t="n">
        <v>0</v>
      </c>
      <c r="Y34" s="10" t="str">
        <f aca="false">IF(Q34="Yes",IFERROR(W34/V34,"-"),"")</f>
        <v/>
      </c>
      <c r="Z34" s="10" t="str">
        <f aca="false">IF(Q34="Yes",IFERROR(X34/V34,"-"),"")</f>
        <v/>
      </c>
      <c r="AA34" s="7" t="n">
        <v>0</v>
      </c>
    </row>
    <row r="35" customFormat="false" ht="15" hidden="false" customHeight="false" outlineLevel="0" collapsed="false">
      <c r="A35" s="6" t="s">
        <v>128</v>
      </c>
      <c r="B35" s="22" t="n">
        <v>46118</v>
      </c>
      <c r="C35" s="6" t="str">
        <f aca="false">TEXT(B35,"yyyy-mm")</f>
        <v>2026-04</v>
      </c>
      <c r="D35" s="6" t="s">
        <v>52</v>
      </c>
      <c r="E35" s="6" t="s">
        <v>99</v>
      </c>
      <c r="F35" s="22" t="n">
        <v>46133</v>
      </c>
      <c r="G35" s="7" t="n">
        <f aca="false">Summary!$C$5-B35</f>
        <v>202</v>
      </c>
      <c r="H35" s="7" t="n">
        <v>1510.5</v>
      </c>
      <c r="I35" s="7" t="n">
        <v>2362</v>
      </c>
      <c r="J35" s="7" t="n">
        <v>12</v>
      </c>
      <c r="K35" s="7" t="n">
        <v>346</v>
      </c>
      <c r="L35" s="10" t="n">
        <f aca="false">IFERROR(J35/I35,"-")</f>
        <v>0.00508044030482642</v>
      </c>
      <c r="M35" s="10" t="n">
        <f aca="false">IFERROR(K35/I35,"-")</f>
        <v>0.146486028789162</v>
      </c>
      <c r="N35" s="7" t="n">
        <f aca="false">IFERROR(H35/I35*1000,"-")</f>
        <v>639.500423370026</v>
      </c>
      <c r="O35" s="7" t="n">
        <v>1</v>
      </c>
      <c r="P35" s="7" t="n">
        <f aca="false">IFERROR(H35/O35,"-")</f>
        <v>1510.5</v>
      </c>
      <c r="Q35" s="6" t="s">
        <v>90</v>
      </c>
      <c r="R35" s="22"/>
      <c r="S35" s="7" t="str">
        <f aca="false">IF(Q35="Yes",R35-B35,"")</f>
        <v/>
      </c>
      <c r="T35" s="6"/>
      <c r="U35" s="7" t="n">
        <v>0</v>
      </c>
      <c r="V35" s="7" t="n">
        <v>0</v>
      </c>
      <c r="W35" s="7" t="n">
        <v>0</v>
      </c>
      <c r="X35" s="7" t="n">
        <v>0</v>
      </c>
      <c r="Y35" s="10" t="str">
        <f aca="false">IF(Q35="Yes",IFERROR(W35/V35,"-"),"")</f>
        <v/>
      </c>
      <c r="Z35" s="10" t="str">
        <f aca="false">IF(Q35="Yes",IFERROR(X35/V35,"-"),"")</f>
        <v/>
      </c>
      <c r="AA35" s="7" t="n">
        <v>0</v>
      </c>
    </row>
    <row r="36" customFormat="false" ht="15" hidden="false" customHeight="false" outlineLevel="0" collapsed="false">
      <c r="A36" s="6" t="s">
        <v>129</v>
      </c>
      <c r="B36" s="22" t="n">
        <v>46119</v>
      </c>
      <c r="C36" s="6" t="str">
        <f aca="false">TEXT(B36,"yyyy-mm")</f>
        <v>2026-04</v>
      </c>
      <c r="D36" s="6" t="s">
        <v>52</v>
      </c>
      <c r="E36" s="6" t="s">
        <v>99</v>
      </c>
      <c r="F36" s="22" t="n">
        <v>46120</v>
      </c>
      <c r="G36" s="7" t="n">
        <f aca="false">Summary!$C$5-B36</f>
        <v>201</v>
      </c>
      <c r="H36" s="7" t="n">
        <v>1246.65</v>
      </c>
      <c r="I36" s="7" t="n">
        <v>2607</v>
      </c>
      <c r="J36" s="7" t="n">
        <v>20</v>
      </c>
      <c r="K36" s="7" t="n">
        <v>0</v>
      </c>
      <c r="L36" s="10" t="n">
        <f aca="false">IFERROR(J36/I36,"-")</f>
        <v>0.0076716532412735</v>
      </c>
      <c r="M36" s="10" t="n">
        <f aca="false">IFERROR(K36/I36,"-")</f>
        <v>0</v>
      </c>
      <c r="N36" s="7" t="n">
        <f aca="false">IFERROR(H36/I36*1000,"-")</f>
        <v>478.19332566168</v>
      </c>
      <c r="O36" s="7" t="n">
        <v>2</v>
      </c>
      <c r="P36" s="7" t="n">
        <f aca="false">IFERROR(H36/O36,"-")</f>
        <v>623.325</v>
      </c>
      <c r="Q36" s="6" t="s">
        <v>90</v>
      </c>
      <c r="R36" s="22"/>
      <c r="S36" s="7" t="str">
        <f aca="false">IF(Q36="Yes",R36-B36,"")</f>
        <v/>
      </c>
      <c r="T36" s="6"/>
      <c r="U36" s="7" t="n">
        <v>0</v>
      </c>
      <c r="V36" s="7" t="n">
        <v>0</v>
      </c>
      <c r="W36" s="7" t="n">
        <v>0</v>
      </c>
      <c r="X36" s="7" t="n">
        <v>0</v>
      </c>
      <c r="Y36" s="10" t="str">
        <f aca="false">IF(Q36="Yes",IFERROR(W36/V36,"-"),"")</f>
        <v/>
      </c>
      <c r="Z36" s="10" t="str">
        <f aca="false">IF(Q36="Yes",IFERROR(X36/V36,"-"),"")</f>
        <v/>
      </c>
      <c r="AA36" s="7" t="n">
        <v>0</v>
      </c>
    </row>
    <row r="37" customFormat="false" ht="15" hidden="false" customHeight="false" outlineLevel="0" collapsed="false">
      <c r="A37" s="6" t="s">
        <v>130</v>
      </c>
      <c r="B37" s="22" t="n">
        <v>46119</v>
      </c>
      <c r="C37" s="6" t="str">
        <f aca="false">TEXT(B37,"yyyy-mm")</f>
        <v>2026-04</v>
      </c>
      <c r="D37" s="6" t="s">
        <v>52</v>
      </c>
      <c r="E37" s="6" t="s">
        <v>104</v>
      </c>
      <c r="F37" s="22" t="n">
        <v>46159</v>
      </c>
      <c r="G37" s="7" t="n">
        <f aca="false">Summary!$C$5-B37</f>
        <v>201</v>
      </c>
      <c r="H37" s="7" t="n">
        <v>5589.59</v>
      </c>
      <c r="I37" s="7" t="n">
        <v>40534</v>
      </c>
      <c r="J37" s="7" t="n">
        <v>163</v>
      </c>
      <c r="K37" s="7" t="n">
        <v>4295</v>
      </c>
      <c r="L37" s="10" t="n">
        <f aca="false">IFERROR(J37/I37,"-")</f>
        <v>0.00402131543889081</v>
      </c>
      <c r="M37" s="10" t="n">
        <f aca="false">IFERROR(K37/I37,"-")</f>
        <v>0.10596042828243</v>
      </c>
      <c r="N37" s="7" t="n">
        <f aca="false">IFERROR(H37/I37*1000,"-")</f>
        <v>137.898801006562</v>
      </c>
      <c r="O37" s="7" t="n">
        <v>1</v>
      </c>
      <c r="P37" s="7" t="n">
        <f aca="false">IFERROR(H37/O37,"-")</f>
        <v>5589.59</v>
      </c>
      <c r="Q37" s="6" t="s">
        <v>90</v>
      </c>
      <c r="R37" s="22"/>
      <c r="S37" s="7" t="str">
        <f aca="false">IF(Q37="Yes",R37-B37,"")</f>
        <v/>
      </c>
      <c r="T37" s="6"/>
      <c r="U37" s="7" t="n">
        <v>0</v>
      </c>
      <c r="V37" s="7" t="n">
        <v>0</v>
      </c>
      <c r="W37" s="7" t="n">
        <v>0</v>
      </c>
      <c r="X37" s="7" t="n">
        <v>0</v>
      </c>
      <c r="Y37" s="10" t="str">
        <f aca="false">IF(Q37="Yes",IFERROR(W37/V37,"-"),"")</f>
        <v/>
      </c>
      <c r="Z37" s="10" t="str">
        <f aca="false">IF(Q37="Yes",IFERROR(X37/V37,"-"),"")</f>
        <v/>
      </c>
      <c r="AA37" s="7" t="n">
        <v>0</v>
      </c>
    </row>
    <row r="38" customFormat="false" ht="15" hidden="false" customHeight="false" outlineLevel="0" collapsed="false">
      <c r="A38" s="6" t="s">
        <v>131</v>
      </c>
      <c r="B38" s="22" t="n">
        <v>46119</v>
      </c>
      <c r="C38" s="6" t="str">
        <f aca="false">TEXT(B38,"yyyy-mm")</f>
        <v>2026-04</v>
      </c>
      <c r="D38" s="6" t="s">
        <v>52</v>
      </c>
      <c r="E38" s="6" t="s">
        <v>104</v>
      </c>
      <c r="F38" s="22" t="n">
        <v>46131</v>
      </c>
      <c r="G38" s="7" t="n">
        <f aca="false">Summary!$C$5-B38</f>
        <v>201</v>
      </c>
      <c r="H38" s="7" t="n">
        <v>1387.76</v>
      </c>
      <c r="I38" s="7" t="n">
        <v>4733</v>
      </c>
      <c r="J38" s="7" t="n">
        <v>10</v>
      </c>
      <c r="K38" s="7" t="n">
        <v>575</v>
      </c>
      <c r="L38" s="10" t="n">
        <f aca="false">IFERROR(J38/I38,"-")</f>
        <v>0.0021128248468202</v>
      </c>
      <c r="M38" s="10" t="n">
        <f aca="false">IFERROR(K38/I38,"-")</f>
        <v>0.121487428692161</v>
      </c>
      <c r="N38" s="7" t="n">
        <f aca="false">IFERROR(H38/I38*1000,"-")</f>
        <v>293.20938094232</v>
      </c>
      <c r="O38" s="7" t="n">
        <v>0</v>
      </c>
      <c r="P38" s="7" t="str">
        <f aca="false">IFERROR(H38/O38,"-")</f>
        <v>-</v>
      </c>
      <c r="Q38" s="6" t="s">
        <v>90</v>
      </c>
      <c r="R38" s="22"/>
      <c r="S38" s="7" t="str">
        <f aca="false">IF(Q38="Yes",R38-B38,"")</f>
        <v/>
      </c>
      <c r="T38" s="6"/>
      <c r="U38" s="7" t="n">
        <v>0</v>
      </c>
      <c r="V38" s="7" t="n">
        <v>0</v>
      </c>
      <c r="W38" s="7" t="n">
        <v>0</v>
      </c>
      <c r="X38" s="7" t="n">
        <v>0</v>
      </c>
      <c r="Y38" s="10" t="str">
        <f aca="false">IF(Q38="Yes",IFERROR(W38/V38,"-"),"")</f>
        <v/>
      </c>
      <c r="Z38" s="10" t="str">
        <f aca="false">IF(Q38="Yes",IFERROR(X38/V38,"-"),"")</f>
        <v/>
      </c>
      <c r="AA38" s="7" t="n">
        <v>0</v>
      </c>
    </row>
    <row r="39" customFormat="false" ht="15" hidden="false" customHeight="false" outlineLevel="0" collapsed="false">
      <c r="A39" s="6" t="s">
        <v>132</v>
      </c>
      <c r="B39" s="22" t="n">
        <v>46119</v>
      </c>
      <c r="C39" s="6" t="str">
        <f aca="false">TEXT(B39,"yyyy-mm")</f>
        <v>2026-04</v>
      </c>
      <c r="D39" s="6" t="s">
        <v>52</v>
      </c>
      <c r="E39" s="6" t="s">
        <v>104</v>
      </c>
      <c r="F39" s="22" t="n">
        <v>46125</v>
      </c>
      <c r="G39" s="7" t="n">
        <f aca="false">Summary!$C$5-B39</f>
        <v>201</v>
      </c>
      <c r="H39" s="7" t="n">
        <v>3212.33</v>
      </c>
      <c r="I39" s="7" t="n">
        <v>10966</v>
      </c>
      <c r="J39" s="7" t="n">
        <v>47</v>
      </c>
      <c r="K39" s="7" t="n">
        <v>1963</v>
      </c>
      <c r="L39" s="10" t="n">
        <f aca="false">IFERROR(J39/I39,"-")</f>
        <v>0.00428597483129674</v>
      </c>
      <c r="M39" s="10" t="n">
        <f aca="false">IFERROR(K39/I39,"-")</f>
        <v>0.179007842422032</v>
      </c>
      <c r="N39" s="7" t="n">
        <f aca="false">IFERROR(H39/I39*1000,"-")</f>
        <v>292.935436804669</v>
      </c>
      <c r="O39" s="7" t="n">
        <v>0</v>
      </c>
      <c r="P39" s="7" t="str">
        <f aca="false">IFERROR(H39/O39,"-")</f>
        <v>-</v>
      </c>
      <c r="Q39" s="6" t="s">
        <v>90</v>
      </c>
      <c r="R39" s="22"/>
      <c r="S39" s="7" t="str">
        <f aca="false">IF(Q39="Yes",R39-B39,"")</f>
        <v/>
      </c>
      <c r="T39" s="6"/>
      <c r="U39" s="7" t="n">
        <v>0</v>
      </c>
      <c r="V39" s="7" t="n">
        <v>0</v>
      </c>
      <c r="W39" s="7" t="n">
        <v>0</v>
      </c>
      <c r="X39" s="7" t="n">
        <v>0</v>
      </c>
      <c r="Y39" s="10" t="str">
        <f aca="false">IF(Q39="Yes",IFERROR(W39/V39,"-"),"")</f>
        <v/>
      </c>
      <c r="Z39" s="10" t="str">
        <f aca="false">IF(Q39="Yes",IFERROR(X39/V39,"-"),"")</f>
        <v/>
      </c>
      <c r="AA39" s="7" t="n">
        <v>0</v>
      </c>
    </row>
    <row r="40" customFormat="false" ht="15" hidden="false" customHeight="false" outlineLevel="0" collapsed="false">
      <c r="A40" s="6" t="s">
        <v>133</v>
      </c>
      <c r="B40" s="22" t="n">
        <v>46119</v>
      </c>
      <c r="C40" s="6" t="str">
        <f aca="false">TEXT(B40,"yyyy-mm")</f>
        <v>2026-04</v>
      </c>
      <c r="D40" s="6" t="s">
        <v>52</v>
      </c>
      <c r="E40" s="6" t="s">
        <v>104</v>
      </c>
      <c r="F40" s="22" t="n">
        <v>46125</v>
      </c>
      <c r="G40" s="7" t="n">
        <f aca="false">Summary!$C$5-B40</f>
        <v>201</v>
      </c>
      <c r="H40" s="7" t="n">
        <v>9504.7</v>
      </c>
      <c r="I40" s="7" t="n">
        <v>40851</v>
      </c>
      <c r="J40" s="7" t="n">
        <v>217</v>
      </c>
      <c r="K40" s="7" t="n">
        <v>3955</v>
      </c>
      <c r="L40" s="10" t="n">
        <f aca="false">IFERROR(J40/I40,"-")</f>
        <v>0.00531198746664708</v>
      </c>
      <c r="M40" s="10" t="n">
        <f aca="false">IFERROR(K40/I40,"-")</f>
        <v>0.0968152554405033</v>
      </c>
      <c r="N40" s="7" t="n">
        <f aca="false">IFERROR(H40/I40*1000,"-")</f>
        <v>232.667498959634</v>
      </c>
      <c r="O40" s="7" t="n">
        <v>0</v>
      </c>
      <c r="P40" s="7" t="str">
        <f aca="false">IFERROR(H40/O40,"-")</f>
        <v>-</v>
      </c>
      <c r="Q40" s="6" t="s">
        <v>90</v>
      </c>
      <c r="R40" s="22"/>
      <c r="S40" s="7" t="str">
        <f aca="false">IF(Q40="Yes",R40-B40,"")</f>
        <v/>
      </c>
      <c r="T40" s="6"/>
      <c r="U40" s="7" t="n">
        <v>0</v>
      </c>
      <c r="V40" s="7" t="n">
        <v>0</v>
      </c>
      <c r="W40" s="7" t="n">
        <v>0</v>
      </c>
      <c r="X40" s="7" t="n">
        <v>0</v>
      </c>
      <c r="Y40" s="10" t="str">
        <f aca="false">IF(Q40="Yes",IFERROR(W40/V40,"-"),"")</f>
        <v/>
      </c>
      <c r="Z40" s="10" t="str">
        <f aca="false">IF(Q40="Yes",IFERROR(X40/V40,"-"),"")</f>
        <v/>
      </c>
      <c r="AA40" s="7" t="n">
        <v>0</v>
      </c>
    </row>
    <row r="41" customFormat="false" ht="15" hidden="false" customHeight="false" outlineLevel="0" collapsed="false">
      <c r="A41" s="6" t="s">
        <v>134</v>
      </c>
      <c r="B41" s="22" t="n">
        <v>46119</v>
      </c>
      <c r="C41" s="6" t="str">
        <f aca="false">TEXT(B41,"yyyy-mm")</f>
        <v>2026-04</v>
      </c>
      <c r="D41" s="6" t="s">
        <v>52</v>
      </c>
      <c r="E41" s="6" t="s">
        <v>104</v>
      </c>
      <c r="F41" s="22" t="n">
        <v>46166</v>
      </c>
      <c r="G41" s="7" t="n">
        <f aca="false">Summary!$C$5-B41</f>
        <v>201</v>
      </c>
      <c r="H41" s="7" t="n">
        <v>2786.29</v>
      </c>
      <c r="I41" s="7" t="n">
        <v>11926</v>
      </c>
      <c r="J41" s="7" t="n">
        <v>18</v>
      </c>
      <c r="K41" s="7" t="n">
        <v>949</v>
      </c>
      <c r="L41" s="10" t="n">
        <f aca="false">IFERROR(J41/I41,"-")</f>
        <v>0.00150930739560624</v>
      </c>
      <c r="M41" s="10" t="n">
        <f aca="false">IFERROR(K41/I41,"-")</f>
        <v>0.0795740399127956</v>
      </c>
      <c r="N41" s="7" t="n">
        <f aca="false">IFERROR(H41/I41*1000,"-")</f>
        <v>233.63156129465</v>
      </c>
      <c r="O41" s="7" t="n">
        <v>0</v>
      </c>
      <c r="P41" s="7" t="str">
        <f aca="false">IFERROR(H41/O41,"-")</f>
        <v>-</v>
      </c>
      <c r="Q41" s="6" t="s">
        <v>90</v>
      </c>
      <c r="R41" s="22"/>
      <c r="S41" s="7" t="str">
        <f aca="false">IF(Q41="Yes",R41-B41,"")</f>
        <v/>
      </c>
      <c r="T41" s="6"/>
      <c r="U41" s="7" t="n">
        <v>0</v>
      </c>
      <c r="V41" s="7" t="n">
        <v>0</v>
      </c>
      <c r="W41" s="7" t="n">
        <v>0</v>
      </c>
      <c r="X41" s="7" t="n">
        <v>0</v>
      </c>
      <c r="Y41" s="10" t="str">
        <f aca="false">IF(Q41="Yes",IFERROR(W41/V41,"-"),"")</f>
        <v/>
      </c>
      <c r="Z41" s="10" t="str">
        <f aca="false">IF(Q41="Yes",IFERROR(X41/V41,"-"),"")</f>
        <v/>
      </c>
      <c r="AA41" s="7" t="n">
        <v>0</v>
      </c>
    </row>
    <row r="42" customFormat="false" ht="15" hidden="false" customHeight="false" outlineLevel="0" collapsed="false">
      <c r="A42" s="6" t="s">
        <v>135</v>
      </c>
      <c r="B42" s="22" t="n">
        <v>46119</v>
      </c>
      <c r="C42" s="6" t="str">
        <f aca="false">TEXT(B42,"yyyy-mm")</f>
        <v>2026-04</v>
      </c>
      <c r="D42" s="6" t="s">
        <v>52</v>
      </c>
      <c r="E42" s="6" t="s">
        <v>104</v>
      </c>
      <c r="F42" s="22" t="n">
        <v>46129</v>
      </c>
      <c r="G42" s="7" t="n">
        <f aca="false">Summary!$C$5-B42</f>
        <v>201</v>
      </c>
      <c r="H42" s="7" t="n">
        <v>6399.83</v>
      </c>
      <c r="I42" s="7" t="n">
        <v>27938</v>
      </c>
      <c r="J42" s="7" t="n">
        <v>69</v>
      </c>
      <c r="K42" s="7" t="n">
        <v>5264</v>
      </c>
      <c r="L42" s="10" t="n">
        <f aca="false">IFERROR(J42/I42,"-")</f>
        <v>0.00246975445629608</v>
      </c>
      <c r="M42" s="10" t="n">
        <f aca="false">IFERROR(K42/I42,"-")</f>
        <v>0.1884172095354</v>
      </c>
      <c r="N42" s="7" t="n">
        <f aca="false">IFERROR(H42/I42*1000,"-")</f>
        <v>229.072589304889</v>
      </c>
      <c r="O42" s="7" t="n">
        <v>3</v>
      </c>
      <c r="P42" s="7" t="n">
        <f aca="false">IFERROR(H42/O42,"-")</f>
        <v>2133.27666666667</v>
      </c>
      <c r="Q42" s="6" t="s">
        <v>100</v>
      </c>
      <c r="R42" s="22" t="n">
        <v>46127</v>
      </c>
      <c r="S42" s="7" t="n">
        <f aca="false">IF(Q42="Yes",R42-B42,"")</f>
        <v>8</v>
      </c>
      <c r="T42" s="6" t="s">
        <v>53</v>
      </c>
      <c r="U42" s="7" t="n">
        <v>37795.35</v>
      </c>
      <c r="V42" s="7" t="n">
        <v>223016</v>
      </c>
      <c r="W42" s="7" t="n">
        <v>629</v>
      </c>
      <c r="X42" s="7" t="n">
        <v>33410.2</v>
      </c>
      <c r="Y42" s="10" t="n">
        <f aca="false">IF(Q42="Yes",IFERROR(W42/V42,"-"),"")</f>
        <v>0.00282042544032715</v>
      </c>
      <c r="Z42" s="10" t="n">
        <f aca="false">IF(Q42="Yes",IFERROR(X42/V42,"-"),"")</f>
        <v>0.149810775908455</v>
      </c>
      <c r="AA42" s="7" t="n">
        <v>6</v>
      </c>
    </row>
    <row r="43" customFormat="false" ht="15" hidden="false" customHeight="false" outlineLevel="0" collapsed="false">
      <c r="A43" s="6" t="s">
        <v>136</v>
      </c>
      <c r="B43" s="22" t="n">
        <v>46119</v>
      </c>
      <c r="C43" s="6" t="str">
        <f aca="false">TEXT(B43,"yyyy-mm")</f>
        <v>2026-04</v>
      </c>
      <c r="D43" s="6" t="s">
        <v>52</v>
      </c>
      <c r="E43" s="6" t="s">
        <v>104</v>
      </c>
      <c r="F43" s="22" t="n">
        <v>46120</v>
      </c>
      <c r="G43" s="7" t="n">
        <f aca="false">Summary!$C$5-B43</f>
        <v>201</v>
      </c>
      <c r="H43" s="7" t="n">
        <v>723.39</v>
      </c>
      <c r="I43" s="7" t="n">
        <v>3461</v>
      </c>
      <c r="J43" s="7" t="n">
        <v>22</v>
      </c>
      <c r="K43" s="7" t="n">
        <v>1416</v>
      </c>
      <c r="L43" s="10" t="n">
        <f aca="false">IFERROR(J43/I43,"-")</f>
        <v>0.00635654435134354</v>
      </c>
      <c r="M43" s="10" t="n">
        <f aca="false">IFERROR(K43/I43,"-")</f>
        <v>0.409130309159203</v>
      </c>
      <c r="N43" s="7" t="n">
        <f aca="false">IFERROR(H43/I43*1000,"-")</f>
        <v>209.0118462872</v>
      </c>
      <c r="O43" s="7" t="n">
        <v>0</v>
      </c>
      <c r="P43" s="7" t="str">
        <f aca="false">IFERROR(H43/O43,"-")</f>
        <v>-</v>
      </c>
      <c r="Q43" s="6" t="s">
        <v>90</v>
      </c>
      <c r="R43" s="22"/>
      <c r="S43" s="7" t="str">
        <f aca="false">IF(Q43="Yes",R43-B43,"")</f>
        <v/>
      </c>
      <c r="T43" s="6"/>
      <c r="U43" s="7" t="n">
        <v>0</v>
      </c>
      <c r="V43" s="7" t="n">
        <v>0</v>
      </c>
      <c r="W43" s="7" t="n">
        <v>0</v>
      </c>
      <c r="X43" s="7" t="n">
        <v>0</v>
      </c>
      <c r="Y43" s="10" t="str">
        <f aca="false">IF(Q43="Yes",IFERROR(W43/V43,"-"),"")</f>
        <v/>
      </c>
      <c r="Z43" s="10" t="str">
        <f aca="false">IF(Q43="Yes",IFERROR(X43/V43,"-"),"")</f>
        <v/>
      </c>
      <c r="AA43" s="7" t="n">
        <v>0</v>
      </c>
    </row>
    <row r="44" customFormat="false" ht="15" hidden="false" customHeight="false" outlineLevel="0" collapsed="false">
      <c r="A44" s="6" t="s">
        <v>137</v>
      </c>
      <c r="B44" s="22" t="n">
        <v>46123</v>
      </c>
      <c r="C44" s="6" t="str">
        <f aca="false">TEXT(B44,"yyyy-mm")</f>
        <v>2026-04</v>
      </c>
      <c r="D44" s="6" t="s">
        <v>52</v>
      </c>
      <c r="E44" s="6" t="s">
        <v>99</v>
      </c>
      <c r="F44" s="22" t="n">
        <v>46125</v>
      </c>
      <c r="G44" s="7" t="n">
        <f aca="false">Summary!$C$5-B44</f>
        <v>197</v>
      </c>
      <c r="H44" s="7" t="n">
        <v>2150.71</v>
      </c>
      <c r="I44" s="7" t="n">
        <v>4106</v>
      </c>
      <c r="J44" s="7" t="n">
        <v>29</v>
      </c>
      <c r="K44" s="7" t="n">
        <v>195</v>
      </c>
      <c r="L44" s="10" t="n">
        <f aca="false">IFERROR(J44/I44,"-")</f>
        <v>0.00706283487579153</v>
      </c>
      <c r="M44" s="10" t="n">
        <f aca="false">IFERROR(K44/I44,"-")</f>
        <v>0.047491475888943</v>
      </c>
      <c r="N44" s="7" t="n">
        <f aca="false">IFERROR(H44/I44*1000,"-")</f>
        <v>523.796882610813</v>
      </c>
      <c r="O44" s="7" t="n">
        <v>0</v>
      </c>
      <c r="P44" s="7" t="str">
        <f aca="false">IFERROR(H44/O44,"-")</f>
        <v>-</v>
      </c>
      <c r="Q44" s="6" t="s">
        <v>90</v>
      </c>
      <c r="R44" s="22"/>
      <c r="S44" s="7" t="str">
        <f aca="false">IF(Q44="Yes",R44-B44,"")</f>
        <v/>
      </c>
      <c r="T44" s="6"/>
      <c r="U44" s="7" t="n">
        <v>0</v>
      </c>
      <c r="V44" s="7" t="n">
        <v>0</v>
      </c>
      <c r="W44" s="7" t="n">
        <v>0</v>
      </c>
      <c r="X44" s="7" t="n">
        <v>0</v>
      </c>
      <c r="Y44" s="10" t="str">
        <f aca="false">IF(Q44="Yes",IFERROR(W44/V44,"-"),"")</f>
        <v/>
      </c>
      <c r="Z44" s="10" t="str">
        <f aca="false">IF(Q44="Yes",IFERROR(X44/V44,"-"),"")</f>
        <v/>
      </c>
      <c r="AA44" s="7" t="n">
        <v>0</v>
      </c>
    </row>
    <row r="45" customFormat="false" ht="15" hidden="false" customHeight="false" outlineLevel="0" collapsed="false">
      <c r="A45" s="6" t="s">
        <v>138</v>
      </c>
      <c r="B45" s="22" t="n">
        <v>46127</v>
      </c>
      <c r="C45" s="6" t="str">
        <f aca="false">TEXT(B45,"yyyy-mm")</f>
        <v>2026-04</v>
      </c>
      <c r="D45" s="6" t="s">
        <v>52</v>
      </c>
      <c r="E45" s="6" t="s">
        <v>99</v>
      </c>
      <c r="F45" s="22" t="n">
        <v>46132</v>
      </c>
      <c r="G45" s="7" t="n">
        <f aca="false">Summary!$C$5-B45</f>
        <v>193</v>
      </c>
      <c r="H45" s="7" t="n">
        <v>1450.75</v>
      </c>
      <c r="I45" s="7" t="n">
        <v>1683</v>
      </c>
      <c r="J45" s="7" t="n">
        <v>13</v>
      </c>
      <c r="K45" s="7" t="n">
        <v>236</v>
      </c>
      <c r="L45" s="10" t="n">
        <f aca="false">IFERROR(J45/I45,"-")</f>
        <v>0.0077243018419489</v>
      </c>
      <c r="M45" s="10" t="n">
        <f aca="false">IFERROR(K45/I45,"-")</f>
        <v>0.140225787284611</v>
      </c>
      <c r="N45" s="7" t="n">
        <f aca="false">IFERROR(H45/I45*1000,"-")</f>
        <v>862.002376708259</v>
      </c>
      <c r="O45" s="7" t="n">
        <v>0</v>
      </c>
      <c r="P45" s="7" t="str">
        <f aca="false">IFERROR(H45/O45,"-")</f>
        <v>-</v>
      </c>
      <c r="Q45" s="6" t="s">
        <v>90</v>
      </c>
      <c r="R45" s="22"/>
      <c r="S45" s="7" t="str">
        <f aca="false">IF(Q45="Yes",R45-B45,"")</f>
        <v/>
      </c>
      <c r="T45" s="6"/>
      <c r="U45" s="7" t="n">
        <v>0</v>
      </c>
      <c r="V45" s="7" t="n">
        <v>0</v>
      </c>
      <c r="W45" s="7" t="n">
        <v>0</v>
      </c>
      <c r="X45" s="7" t="n">
        <v>0</v>
      </c>
      <c r="Y45" s="10" t="str">
        <f aca="false">IF(Q45="Yes",IFERROR(W45/V45,"-"),"")</f>
        <v/>
      </c>
      <c r="Z45" s="10" t="str">
        <f aca="false">IF(Q45="Yes",IFERROR(X45/V45,"-"),"")</f>
        <v/>
      </c>
      <c r="AA45" s="7" t="n">
        <v>0</v>
      </c>
    </row>
    <row r="46" customFormat="false" ht="15" hidden="false" customHeight="false" outlineLevel="0" collapsed="false">
      <c r="A46" s="6" t="s">
        <v>139</v>
      </c>
      <c r="B46" s="22" t="n">
        <v>46127</v>
      </c>
      <c r="C46" s="6" t="str">
        <f aca="false">TEXT(B46,"yyyy-mm")</f>
        <v>2026-04</v>
      </c>
      <c r="D46" s="6" t="s">
        <v>52</v>
      </c>
      <c r="E46" s="6" t="s">
        <v>99</v>
      </c>
      <c r="F46" s="22" t="n">
        <v>46133</v>
      </c>
      <c r="G46" s="7" t="n">
        <f aca="false">Summary!$C$5-B46</f>
        <v>193</v>
      </c>
      <c r="H46" s="7" t="n">
        <v>3636.78</v>
      </c>
      <c r="I46" s="7" t="n">
        <v>7222</v>
      </c>
      <c r="J46" s="7" t="n">
        <v>52</v>
      </c>
      <c r="K46" s="7" t="n">
        <v>1094</v>
      </c>
      <c r="L46" s="10" t="n">
        <f aca="false">IFERROR(J46/I46,"-")</f>
        <v>0.00720022154527832</v>
      </c>
      <c r="M46" s="10" t="n">
        <f aca="false">IFERROR(K46/I46,"-")</f>
        <v>0.15148158404874</v>
      </c>
      <c r="N46" s="7" t="n">
        <f aca="false">IFERROR(H46/I46*1000,"-")</f>
        <v>503.569648296871</v>
      </c>
      <c r="O46" s="7" t="n">
        <v>2</v>
      </c>
      <c r="P46" s="7" t="n">
        <f aca="false">IFERROR(H46/O46,"-")</f>
        <v>1818.39</v>
      </c>
      <c r="Q46" s="6" t="s">
        <v>100</v>
      </c>
      <c r="R46" s="22" t="n">
        <v>46133</v>
      </c>
      <c r="S46" s="7" t="n">
        <f aca="false">IF(Q46="Yes",R46-B46,"")</f>
        <v>6</v>
      </c>
      <c r="T46" s="6" t="s">
        <v>101</v>
      </c>
      <c r="U46" s="7" t="n">
        <v>16990.89</v>
      </c>
      <c r="V46" s="7" t="n">
        <v>42163</v>
      </c>
      <c r="W46" s="7" t="n">
        <v>165</v>
      </c>
      <c r="X46" s="7" t="n">
        <v>4305.28</v>
      </c>
      <c r="Y46" s="10" t="n">
        <f aca="false">IF(Q46="Yes",IFERROR(W46/V46,"-"),"")</f>
        <v>0.00391338377250196</v>
      </c>
      <c r="Z46" s="10" t="n">
        <f aca="false">IF(Q46="Yes",IFERROR(X46/V46,"-"),"")</f>
        <v>0.102110381139862</v>
      </c>
      <c r="AA46" s="7" t="n">
        <v>0</v>
      </c>
    </row>
    <row r="47" customFormat="false" ht="15" hidden="false" customHeight="false" outlineLevel="0" collapsed="false">
      <c r="A47" s="6" t="s">
        <v>140</v>
      </c>
      <c r="B47" s="22" t="n">
        <v>46127</v>
      </c>
      <c r="C47" s="6" t="str">
        <f aca="false">TEXT(B47,"yyyy-mm")</f>
        <v>2026-04</v>
      </c>
      <c r="D47" s="6" t="s">
        <v>52</v>
      </c>
      <c r="E47" s="6" t="s">
        <v>99</v>
      </c>
      <c r="F47" s="22" t="n">
        <v>46133</v>
      </c>
      <c r="G47" s="7" t="n">
        <f aca="false">Summary!$C$5-B47</f>
        <v>193</v>
      </c>
      <c r="H47" s="7" t="n">
        <v>4816.02</v>
      </c>
      <c r="I47" s="7" t="n">
        <v>11824</v>
      </c>
      <c r="J47" s="7" t="n">
        <v>75</v>
      </c>
      <c r="K47" s="7" t="n">
        <v>1566</v>
      </c>
      <c r="L47" s="10" t="n">
        <f aca="false">IFERROR(J47/I47,"-")</f>
        <v>0.00634303112313938</v>
      </c>
      <c r="M47" s="10" t="n">
        <f aca="false">IFERROR(K47/I47,"-")</f>
        <v>0.13244248985115</v>
      </c>
      <c r="N47" s="7" t="n">
        <f aca="false">IFERROR(H47/I47*1000,"-")</f>
        <v>407.308863328823</v>
      </c>
      <c r="O47" s="7" t="n">
        <v>1</v>
      </c>
      <c r="P47" s="7" t="n">
        <f aca="false">IFERROR(H47/O47,"-")</f>
        <v>4816.02</v>
      </c>
      <c r="Q47" s="6" t="s">
        <v>100</v>
      </c>
      <c r="R47" s="22" t="n">
        <v>46133</v>
      </c>
      <c r="S47" s="7" t="n">
        <f aca="false">IF(Q47="Yes",R47-B47,"")</f>
        <v>6</v>
      </c>
      <c r="T47" s="6" t="s">
        <v>101</v>
      </c>
      <c r="U47" s="7" t="n">
        <v>24327.68</v>
      </c>
      <c r="V47" s="7" t="n">
        <v>68121</v>
      </c>
      <c r="W47" s="7" t="n">
        <v>271</v>
      </c>
      <c r="X47" s="7" t="n">
        <v>6484.71</v>
      </c>
      <c r="Y47" s="10" t="n">
        <f aca="false">IF(Q47="Yes",IFERROR(W47/V47,"-"),"")</f>
        <v>0.00397821523465598</v>
      </c>
      <c r="Z47" s="10" t="n">
        <f aca="false">IF(Q47="Yes",IFERROR(X47/V47,"-"),"")</f>
        <v>0.0951939930417933</v>
      </c>
      <c r="AA47" s="7" t="n">
        <v>4</v>
      </c>
    </row>
    <row r="48" customFormat="false" ht="15" hidden="false" customHeight="false" outlineLevel="0" collapsed="false">
      <c r="A48" s="6" t="s">
        <v>141</v>
      </c>
      <c r="B48" s="22" t="n">
        <v>46128</v>
      </c>
      <c r="C48" s="6" t="str">
        <f aca="false">TEXT(B48,"yyyy-mm")</f>
        <v>2026-04</v>
      </c>
      <c r="D48" s="6" t="s">
        <v>52</v>
      </c>
      <c r="E48" s="6" t="s">
        <v>104</v>
      </c>
      <c r="F48" s="22" t="n">
        <v>46133</v>
      </c>
      <c r="G48" s="7" t="n">
        <f aca="false">Summary!$C$5-B48</f>
        <v>192</v>
      </c>
      <c r="H48" s="7" t="n">
        <v>10394.47</v>
      </c>
      <c r="I48" s="7" t="n">
        <v>37117</v>
      </c>
      <c r="J48" s="7" t="n">
        <v>209</v>
      </c>
      <c r="K48" s="7" t="n">
        <v>11845</v>
      </c>
      <c r="L48" s="10" t="n">
        <f aca="false">IFERROR(J48/I48,"-")</f>
        <v>0.00563084300994154</v>
      </c>
      <c r="M48" s="10" t="n">
        <f aca="false">IFERROR(K48/I48,"-")</f>
        <v>0.319126006950993</v>
      </c>
      <c r="N48" s="7" t="n">
        <f aca="false">IFERROR(H48/I48*1000,"-")</f>
        <v>280.046070533718</v>
      </c>
      <c r="O48" s="7" t="n">
        <v>2</v>
      </c>
      <c r="P48" s="7" t="n">
        <f aca="false">IFERROR(H48/O48,"-")</f>
        <v>5197.235</v>
      </c>
      <c r="Q48" s="6" t="s">
        <v>100</v>
      </c>
      <c r="R48" s="22" t="n">
        <v>46133</v>
      </c>
      <c r="S48" s="7" t="n">
        <f aca="false">IF(Q48="Yes",R48-B48,"")</f>
        <v>5</v>
      </c>
      <c r="T48" s="6" t="s">
        <v>53</v>
      </c>
      <c r="U48" s="7" t="n">
        <v>172806.81</v>
      </c>
      <c r="V48" s="7" t="n">
        <v>967259</v>
      </c>
      <c r="W48" s="7" t="n">
        <v>5889</v>
      </c>
      <c r="X48" s="7" t="n">
        <v>197713.57</v>
      </c>
      <c r="Y48" s="10" t="n">
        <f aca="false">IF(Q48="Yes",IFERROR(W48/V48,"-"),"")</f>
        <v>0.0060883382837482</v>
      </c>
      <c r="Z48" s="10" t="n">
        <f aca="false">IF(Q48="Yes",IFERROR(X48/V48,"-"),"")</f>
        <v>0.204406027754717</v>
      </c>
      <c r="AA48" s="7" t="n">
        <v>14</v>
      </c>
    </row>
    <row r="49" customFormat="false" ht="15" hidden="false" customHeight="false" outlineLevel="0" collapsed="false">
      <c r="A49" s="6" t="s">
        <v>142</v>
      </c>
      <c r="B49" s="22" t="n">
        <v>46128</v>
      </c>
      <c r="C49" s="6" t="str">
        <f aca="false">TEXT(B49,"yyyy-mm")</f>
        <v>2026-04</v>
      </c>
      <c r="D49" s="6" t="s">
        <v>52</v>
      </c>
      <c r="E49" s="6" t="s">
        <v>104</v>
      </c>
      <c r="F49" s="22" t="n">
        <v>46153</v>
      </c>
      <c r="G49" s="7" t="n">
        <f aca="false">Summary!$C$5-B49</f>
        <v>192</v>
      </c>
      <c r="H49" s="7" t="n">
        <v>3794.87</v>
      </c>
      <c r="I49" s="7" t="n">
        <v>12013</v>
      </c>
      <c r="J49" s="7" t="n">
        <v>52</v>
      </c>
      <c r="K49" s="7" t="n">
        <v>1062</v>
      </c>
      <c r="L49" s="10" t="n">
        <f aca="false">IFERROR(J49/I49,"-")</f>
        <v>0.00432864396903355</v>
      </c>
      <c r="M49" s="10" t="n">
        <f aca="false">IFERROR(K49/I49,"-")</f>
        <v>0.0884042287521851</v>
      </c>
      <c r="N49" s="7" t="n">
        <f aca="false">IFERROR(H49/I49*1000,"-")</f>
        <v>315.896944976276</v>
      </c>
      <c r="O49" s="7" t="n">
        <v>0</v>
      </c>
      <c r="P49" s="7" t="str">
        <f aca="false">IFERROR(H49/O49,"-")</f>
        <v>-</v>
      </c>
      <c r="Q49" s="6" t="s">
        <v>90</v>
      </c>
      <c r="R49" s="22"/>
      <c r="S49" s="7" t="str">
        <f aca="false">IF(Q49="Yes",R49-B49,"")</f>
        <v/>
      </c>
      <c r="T49" s="6"/>
      <c r="U49" s="7" t="n">
        <v>0</v>
      </c>
      <c r="V49" s="7" t="n">
        <v>0</v>
      </c>
      <c r="W49" s="7" t="n">
        <v>0</v>
      </c>
      <c r="X49" s="7" t="n">
        <v>0</v>
      </c>
      <c r="Y49" s="10" t="str">
        <f aca="false">IF(Q49="Yes",IFERROR(W49/V49,"-"),"")</f>
        <v/>
      </c>
      <c r="Z49" s="10" t="str">
        <f aca="false">IF(Q49="Yes",IFERROR(X49/V49,"-"),"")</f>
        <v/>
      </c>
      <c r="AA49" s="7" t="n">
        <v>0</v>
      </c>
    </row>
    <row r="50" customFormat="false" ht="15" hidden="false" customHeight="false" outlineLevel="0" collapsed="false">
      <c r="A50" s="6" t="s">
        <v>143</v>
      </c>
      <c r="B50" s="22" t="n">
        <v>46128</v>
      </c>
      <c r="C50" s="6" t="str">
        <f aca="false">TEXT(B50,"yyyy-mm")</f>
        <v>2026-04</v>
      </c>
      <c r="D50" s="6" t="s">
        <v>52</v>
      </c>
      <c r="E50" s="6" t="s">
        <v>104</v>
      </c>
      <c r="F50" s="22" t="n">
        <v>46132</v>
      </c>
      <c r="G50" s="7" t="n">
        <f aca="false">Summary!$C$5-B50</f>
        <v>192</v>
      </c>
      <c r="H50" s="7" t="n">
        <v>2618.73</v>
      </c>
      <c r="I50" s="7" t="n">
        <v>8423</v>
      </c>
      <c r="J50" s="7" t="n">
        <v>64</v>
      </c>
      <c r="K50" s="7" t="n">
        <v>1456</v>
      </c>
      <c r="L50" s="10" t="n">
        <f aca="false">IFERROR(J50/I50,"-")</f>
        <v>0.00759824290632791</v>
      </c>
      <c r="M50" s="10" t="n">
        <f aca="false">IFERROR(K50/I50,"-")</f>
        <v>0.17286002611896</v>
      </c>
      <c r="N50" s="7" t="n">
        <f aca="false">IFERROR(H50/I50*1000,"-")</f>
        <v>310.902291345126</v>
      </c>
      <c r="O50" s="7" t="n">
        <v>2</v>
      </c>
      <c r="P50" s="7" t="n">
        <f aca="false">IFERROR(H50/O50,"-")</f>
        <v>1309.365</v>
      </c>
      <c r="Q50" s="6" t="s">
        <v>90</v>
      </c>
      <c r="R50" s="22"/>
      <c r="S50" s="7" t="str">
        <f aca="false">IF(Q50="Yes",R50-B50,"")</f>
        <v/>
      </c>
      <c r="T50" s="6"/>
      <c r="U50" s="7" t="n">
        <v>0</v>
      </c>
      <c r="V50" s="7" t="n">
        <v>0</v>
      </c>
      <c r="W50" s="7" t="n">
        <v>0</v>
      </c>
      <c r="X50" s="7" t="n">
        <v>0</v>
      </c>
      <c r="Y50" s="10" t="str">
        <f aca="false">IF(Q50="Yes",IFERROR(W50/V50,"-"),"")</f>
        <v/>
      </c>
      <c r="Z50" s="10" t="str">
        <f aca="false">IF(Q50="Yes",IFERROR(X50/V50,"-"),"")</f>
        <v/>
      </c>
      <c r="AA50" s="7" t="n">
        <v>0</v>
      </c>
    </row>
    <row r="51" customFormat="false" ht="15" hidden="false" customHeight="false" outlineLevel="0" collapsed="false">
      <c r="A51" s="6" t="s">
        <v>144</v>
      </c>
      <c r="B51" s="22" t="n">
        <v>46134</v>
      </c>
      <c r="C51" s="6" t="str">
        <f aca="false">TEXT(B51,"yyyy-mm")</f>
        <v>2026-04</v>
      </c>
      <c r="D51" s="6" t="s">
        <v>52</v>
      </c>
      <c r="E51" s="6" t="s">
        <v>104</v>
      </c>
      <c r="F51" s="22" t="n">
        <v>46160</v>
      </c>
      <c r="G51" s="7" t="n">
        <f aca="false">Summary!$C$5-B51</f>
        <v>186</v>
      </c>
      <c r="H51" s="7" t="n">
        <v>16628.49</v>
      </c>
      <c r="I51" s="7" t="n">
        <v>55243</v>
      </c>
      <c r="J51" s="7" t="n">
        <v>398</v>
      </c>
      <c r="K51" s="7" t="n">
        <v>15424</v>
      </c>
      <c r="L51" s="10" t="n">
        <f aca="false">IFERROR(J51/I51,"-")</f>
        <v>0.00720453270097569</v>
      </c>
      <c r="M51" s="10" t="n">
        <f aca="false">IFERROR(K51/I51,"-")</f>
        <v>0.279202794924244</v>
      </c>
      <c r="N51" s="7" t="n">
        <f aca="false">IFERROR(H51/I51*1000,"-")</f>
        <v>301.006281338812</v>
      </c>
      <c r="O51" s="7" t="n">
        <v>2</v>
      </c>
      <c r="P51" s="7" t="n">
        <f aca="false">IFERROR(H51/O51,"-")</f>
        <v>8314.245</v>
      </c>
      <c r="Q51" s="6" t="s">
        <v>100</v>
      </c>
      <c r="R51" s="22" t="n">
        <v>46161</v>
      </c>
      <c r="S51" s="7" t="n">
        <f aca="false">IF(Q51="Yes",R51-B51,"")</f>
        <v>27</v>
      </c>
      <c r="T51" s="6" t="s">
        <v>101</v>
      </c>
      <c r="U51" s="7" t="n">
        <v>259740.91</v>
      </c>
      <c r="V51" s="7" t="n">
        <v>988686</v>
      </c>
      <c r="W51" s="7" t="n">
        <v>17569</v>
      </c>
      <c r="X51" s="7" t="n">
        <v>198285.72</v>
      </c>
      <c r="Y51" s="10" t="n">
        <f aca="false">IF(Q51="Yes",IFERROR(W51/V51,"-"),"")</f>
        <v>0.017770050349656</v>
      </c>
      <c r="Z51" s="10" t="n">
        <f aca="false">IF(Q51="Yes",IFERROR(X51/V51,"-"),"")</f>
        <v>0.200554796972952</v>
      </c>
      <c r="AA51" s="7" t="n">
        <v>43</v>
      </c>
    </row>
    <row r="52" customFormat="false" ht="15" hidden="false" customHeight="false" outlineLevel="0" collapsed="false">
      <c r="A52" s="6" t="s">
        <v>145</v>
      </c>
      <c r="B52" s="22" t="n">
        <v>46134</v>
      </c>
      <c r="C52" s="6" t="str">
        <f aca="false">TEXT(B52,"yyyy-mm")</f>
        <v>2026-04</v>
      </c>
      <c r="D52" s="6" t="s">
        <v>52</v>
      </c>
      <c r="E52" s="6" t="s">
        <v>104</v>
      </c>
      <c r="F52" s="22" t="n">
        <v>46148</v>
      </c>
      <c r="G52" s="7" t="n">
        <f aca="false">Summary!$C$5-B52</f>
        <v>186</v>
      </c>
      <c r="H52" s="7" t="n">
        <v>13072.47</v>
      </c>
      <c r="I52" s="7" t="n">
        <v>54627</v>
      </c>
      <c r="J52" s="7" t="n">
        <v>480</v>
      </c>
      <c r="K52" s="7" t="n">
        <v>13804</v>
      </c>
      <c r="L52" s="10" t="n">
        <f aca="false">IFERROR(J52/I52,"-")</f>
        <v>0.00878686363885991</v>
      </c>
      <c r="M52" s="10" t="n">
        <f aca="false">IFERROR(K52/I52,"-")</f>
        <v>0.252695553480879</v>
      </c>
      <c r="N52" s="7" t="n">
        <f aca="false">IFERROR(H52/I52*1000,"-")</f>
        <v>239.304190235598</v>
      </c>
      <c r="O52" s="7" t="n">
        <v>0</v>
      </c>
      <c r="P52" s="7" t="str">
        <f aca="false">IFERROR(H52/O52,"-")</f>
        <v>-</v>
      </c>
      <c r="Q52" s="6" t="s">
        <v>90</v>
      </c>
      <c r="R52" s="22"/>
      <c r="S52" s="7" t="str">
        <f aca="false">IF(Q52="Yes",R52-B52,"")</f>
        <v/>
      </c>
      <c r="T52" s="6"/>
      <c r="U52" s="7" t="n">
        <v>0</v>
      </c>
      <c r="V52" s="7" t="n">
        <v>0</v>
      </c>
      <c r="W52" s="7" t="n">
        <v>0</v>
      </c>
      <c r="X52" s="7" t="n">
        <v>0</v>
      </c>
      <c r="Y52" s="10" t="str">
        <f aca="false">IF(Q52="Yes",IFERROR(W52/V52,"-"),"")</f>
        <v/>
      </c>
      <c r="Z52" s="10" t="str">
        <f aca="false">IF(Q52="Yes",IFERROR(X52/V52,"-"),"")</f>
        <v/>
      </c>
      <c r="AA52" s="7" t="n">
        <v>0</v>
      </c>
    </row>
    <row r="53" customFormat="false" ht="15" hidden="false" customHeight="false" outlineLevel="0" collapsed="false">
      <c r="A53" s="6" t="s">
        <v>146</v>
      </c>
      <c r="B53" s="22" t="n">
        <v>46134</v>
      </c>
      <c r="C53" s="6" t="str">
        <f aca="false">TEXT(B53,"yyyy-mm")</f>
        <v>2026-04</v>
      </c>
      <c r="D53" s="6" t="s">
        <v>52</v>
      </c>
      <c r="E53" s="6" t="s">
        <v>104</v>
      </c>
      <c r="F53" s="22" t="n">
        <v>46140</v>
      </c>
      <c r="G53" s="7" t="n">
        <f aca="false">Summary!$C$5-B53</f>
        <v>186</v>
      </c>
      <c r="H53" s="7" t="n">
        <v>4134.74</v>
      </c>
      <c r="I53" s="7" t="n">
        <v>12946</v>
      </c>
      <c r="J53" s="7" t="n">
        <v>59</v>
      </c>
      <c r="K53" s="7" t="n">
        <v>1906</v>
      </c>
      <c r="L53" s="10" t="n">
        <f aca="false">IFERROR(J53/I53,"-")</f>
        <v>0.00455739224470879</v>
      </c>
      <c r="M53" s="10" t="n">
        <f aca="false">IFERROR(K53/I53,"-")</f>
        <v>0.147226942684999</v>
      </c>
      <c r="N53" s="7" t="n">
        <f aca="false">IFERROR(H53/I53*1000,"-")</f>
        <v>319.383593387919</v>
      </c>
      <c r="O53" s="7" t="n">
        <v>6</v>
      </c>
      <c r="P53" s="7" t="n">
        <f aca="false">IFERROR(H53/O53,"-")</f>
        <v>689.123333333333</v>
      </c>
      <c r="Q53" s="6" t="s">
        <v>100</v>
      </c>
      <c r="R53" s="22" t="n">
        <v>46140</v>
      </c>
      <c r="S53" s="7" t="n">
        <f aca="false">IF(Q53="Yes",R53-B53,"")</f>
        <v>6</v>
      </c>
      <c r="T53" s="6" t="s">
        <v>53</v>
      </c>
      <c r="U53" s="7" t="n">
        <v>124775.02</v>
      </c>
      <c r="V53" s="7" t="n">
        <v>806570</v>
      </c>
      <c r="W53" s="7" t="n">
        <v>3212</v>
      </c>
      <c r="X53" s="7" t="n">
        <v>101012.42</v>
      </c>
      <c r="Y53" s="10" t="n">
        <f aca="false">IF(Q53="Yes",IFERROR(W53/V53,"-"),"")</f>
        <v>0.00398229539903542</v>
      </c>
      <c r="Z53" s="10" t="n">
        <f aca="false">IF(Q53="Yes",IFERROR(X53/V53,"-"),"")</f>
        <v>0.12523701600605</v>
      </c>
      <c r="AA53" s="7" t="n">
        <v>14</v>
      </c>
    </row>
    <row r="54" customFormat="false" ht="15" hidden="false" customHeight="false" outlineLevel="0" collapsed="false">
      <c r="A54" s="6" t="s">
        <v>147</v>
      </c>
      <c r="B54" s="22" t="n">
        <v>46139</v>
      </c>
      <c r="C54" s="6" t="str">
        <f aca="false">TEXT(B54,"yyyy-mm")</f>
        <v>2026-04</v>
      </c>
      <c r="D54" s="6" t="s">
        <v>52</v>
      </c>
      <c r="E54" s="6" t="s">
        <v>148</v>
      </c>
      <c r="F54" s="22" t="n">
        <v>46148</v>
      </c>
      <c r="G54" s="7" t="n">
        <f aca="false">Summary!$C$5-B54</f>
        <v>181</v>
      </c>
      <c r="H54" s="7" t="n">
        <v>15604.73</v>
      </c>
      <c r="I54" s="7" t="n">
        <v>24168</v>
      </c>
      <c r="J54" s="7" t="n">
        <v>181</v>
      </c>
      <c r="K54" s="7" t="n">
        <v>306</v>
      </c>
      <c r="L54" s="10" t="n">
        <f aca="false">IFERROR(J54/I54,"-")</f>
        <v>0.00748924197285667</v>
      </c>
      <c r="M54" s="10" t="n">
        <f aca="false">IFERROR(K54/I54,"-")</f>
        <v>0.01266137040715</v>
      </c>
      <c r="N54" s="7" t="n">
        <f aca="false">IFERROR(H54/I54*1000,"-")</f>
        <v>645.677341939755</v>
      </c>
      <c r="O54" s="7" t="n">
        <v>1</v>
      </c>
      <c r="P54" s="7" t="n">
        <f aca="false">IFERROR(H54/O54,"-")</f>
        <v>15604.73</v>
      </c>
      <c r="Q54" s="6" t="s">
        <v>90</v>
      </c>
      <c r="R54" s="22"/>
      <c r="S54" s="7" t="str">
        <f aca="false">IF(Q54="Yes",R54-B54,"")</f>
        <v/>
      </c>
      <c r="T54" s="6"/>
      <c r="U54" s="7" t="n">
        <v>0</v>
      </c>
      <c r="V54" s="7" t="n">
        <v>0</v>
      </c>
      <c r="W54" s="7" t="n">
        <v>0</v>
      </c>
      <c r="X54" s="7" t="n">
        <v>0</v>
      </c>
      <c r="Y54" s="10" t="str">
        <f aca="false">IF(Q54="Yes",IFERROR(W54/V54,"-"),"")</f>
        <v/>
      </c>
      <c r="Z54" s="10" t="str">
        <f aca="false">IF(Q54="Yes",IFERROR(X54/V54,"-"),"")</f>
        <v/>
      </c>
      <c r="AA54" s="7" t="n">
        <v>0</v>
      </c>
    </row>
    <row r="55" customFormat="false" ht="15" hidden="false" customHeight="false" outlineLevel="0" collapsed="false">
      <c r="A55" s="6" t="s">
        <v>149</v>
      </c>
      <c r="B55" s="22" t="n">
        <v>46142</v>
      </c>
      <c r="C55" s="6" t="str">
        <f aca="false">TEXT(B55,"yyyy-mm")</f>
        <v>2026-04</v>
      </c>
      <c r="D55" s="6" t="s">
        <v>52</v>
      </c>
      <c r="E55" s="6" t="s">
        <v>148</v>
      </c>
      <c r="F55" s="22" t="n">
        <v>46142</v>
      </c>
      <c r="G55" s="7" t="n">
        <f aca="false">Summary!$C$5-B55</f>
        <v>178</v>
      </c>
      <c r="H55" s="7" t="n">
        <v>6.37</v>
      </c>
      <c r="I55" s="7" t="n">
        <v>22</v>
      </c>
      <c r="J55" s="7" t="n">
        <v>0</v>
      </c>
      <c r="K55" s="7" t="n">
        <v>0</v>
      </c>
      <c r="L55" s="10" t="n">
        <f aca="false">IFERROR(J55/I55,"-")</f>
        <v>0</v>
      </c>
      <c r="M55" s="10" t="n">
        <f aca="false">IFERROR(K55/I55,"-")</f>
        <v>0</v>
      </c>
      <c r="N55" s="7" t="n">
        <f aca="false">IFERROR(H55/I55*1000,"-")</f>
        <v>289.545454545455</v>
      </c>
      <c r="O55" s="7" t="n">
        <v>0</v>
      </c>
      <c r="P55" s="7" t="str">
        <f aca="false">IFERROR(H55/O55,"-")</f>
        <v>-</v>
      </c>
      <c r="Q55" s="6" t="s">
        <v>90</v>
      </c>
      <c r="R55" s="22"/>
      <c r="S55" s="7" t="str">
        <f aca="false">IF(Q55="Yes",R55-B55,"")</f>
        <v/>
      </c>
      <c r="T55" s="6"/>
      <c r="U55" s="7" t="n">
        <v>0</v>
      </c>
      <c r="V55" s="7" t="n">
        <v>0</v>
      </c>
      <c r="W55" s="7" t="n">
        <v>0</v>
      </c>
      <c r="X55" s="7" t="n">
        <v>0</v>
      </c>
      <c r="Y55" s="10" t="str">
        <f aca="false">IF(Q55="Yes",IFERROR(W55/V55,"-"),"")</f>
        <v/>
      </c>
      <c r="Z55" s="10" t="str">
        <f aca="false">IF(Q55="Yes",IFERROR(X55/V55,"-"),"")</f>
        <v/>
      </c>
      <c r="AA55" s="7" t="n">
        <v>0</v>
      </c>
    </row>
    <row r="56" customFormat="false" ht="15" hidden="false" customHeight="false" outlineLevel="0" collapsed="false">
      <c r="A56" s="6" t="s">
        <v>150</v>
      </c>
      <c r="B56" s="22" t="n">
        <v>46142</v>
      </c>
      <c r="C56" s="6" t="str">
        <f aca="false">TEXT(B56,"yyyy-mm")</f>
        <v>2026-04</v>
      </c>
      <c r="D56" s="6" t="s">
        <v>52</v>
      </c>
      <c r="E56" s="6" t="s">
        <v>148</v>
      </c>
      <c r="F56" s="22" t="n">
        <v>46148</v>
      </c>
      <c r="G56" s="7" t="n">
        <f aca="false">Summary!$C$5-B56</f>
        <v>178</v>
      </c>
      <c r="H56" s="7" t="n">
        <v>2827.1</v>
      </c>
      <c r="I56" s="7" t="n">
        <v>6815</v>
      </c>
      <c r="J56" s="7" t="n">
        <v>49</v>
      </c>
      <c r="K56" s="7" t="n">
        <v>453</v>
      </c>
      <c r="L56" s="10" t="n">
        <f aca="false">IFERROR(J56/I56,"-")</f>
        <v>0.00719002201027146</v>
      </c>
      <c r="M56" s="10" t="n">
        <f aca="false">IFERROR(K56/I56,"-")</f>
        <v>0.0664710198092443</v>
      </c>
      <c r="N56" s="7" t="n">
        <f aca="false">IFERROR(H56/I56*1000,"-")</f>
        <v>414.83492296405</v>
      </c>
      <c r="O56" s="7" t="n">
        <v>1</v>
      </c>
      <c r="P56" s="7" t="n">
        <f aca="false">IFERROR(H56/O56,"-")</f>
        <v>2827.1</v>
      </c>
      <c r="Q56" s="6" t="s">
        <v>90</v>
      </c>
      <c r="R56" s="22"/>
      <c r="S56" s="7" t="str">
        <f aca="false">IF(Q56="Yes",R56-B56,"")</f>
        <v/>
      </c>
      <c r="T56" s="6"/>
      <c r="U56" s="7" t="n">
        <v>0</v>
      </c>
      <c r="V56" s="7" t="n">
        <v>0</v>
      </c>
      <c r="W56" s="7" t="n">
        <v>0</v>
      </c>
      <c r="X56" s="7" t="n">
        <v>0</v>
      </c>
      <c r="Y56" s="10" t="str">
        <f aca="false">IF(Q56="Yes",IFERROR(W56/V56,"-"),"")</f>
        <v/>
      </c>
      <c r="Z56" s="10" t="str">
        <f aca="false">IF(Q56="Yes",IFERROR(X56/V56,"-"),"")</f>
        <v/>
      </c>
      <c r="AA56" s="7" t="n">
        <v>0</v>
      </c>
    </row>
    <row r="57" customFormat="false" ht="15" hidden="false" customHeight="false" outlineLevel="0" collapsed="false">
      <c r="A57" s="6" t="s">
        <v>151</v>
      </c>
      <c r="B57" s="22" t="n">
        <v>46144</v>
      </c>
      <c r="C57" s="6" t="str">
        <f aca="false">TEXT(B57,"yyyy-mm")</f>
        <v>2026-05</v>
      </c>
      <c r="D57" s="6" t="s">
        <v>52</v>
      </c>
      <c r="E57" s="6" t="s">
        <v>99</v>
      </c>
      <c r="F57" s="22" t="n">
        <v>46148</v>
      </c>
      <c r="G57" s="7" t="n">
        <f aca="false">Summary!$C$5-B57</f>
        <v>176</v>
      </c>
      <c r="H57" s="7" t="n">
        <v>3146.31</v>
      </c>
      <c r="I57" s="7" t="n">
        <v>5578</v>
      </c>
      <c r="J57" s="7" t="n">
        <v>57</v>
      </c>
      <c r="K57" s="7" t="n">
        <v>989</v>
      </c>
      <c r="L57" s="10" t="n">
        <f aca="false">IFERROR(J57/I57,"-")</f>
        <v>0.0102187163858014</v>
      </c>
      <c r="M57" s="10" t="n">
        <f aca="false">IFERROR(K57/I57,"-")</f>
        <v>0.177303693079957</v>
      </c>
      <c r="N57" s="7" t="n">
        <f aca="false">IFERROR(H57/I57*1000,"-")</f>
        <v>564.057009680889</v>
      </c>
      <c r="O57" s="7" t="n">
        <v>0</v>
      </c>
      <c r="P57" s="7" t="str">
        <f aca="false">IFERROR(H57/O57,"-")</f>
        <v>-</v>
      </c>
      <c r="Q57" s="6" t="s">
        <v>90</v>
      </c>
      <c r="R57" s="22"/>
      <c r="S57" s="7" t="str">
        <f aca="false">IF(Q57="Yes",R57-B57,"")</f>
        <v/>
      </c>
      <c r="T57" s="6"/>
      <c r="U57" s="7" t="n">
        <v>0</v>
      </c>
      <c r="V57" s="7" t="n">
        <v>0</v>
      </c>
      <c r="W57" s="7" t="n">
        <v>0</v>
      </c>
      <c r="X57" s="7" t="n">
        <v>0</v>
      </c>
      <c r="Y57" s="10" t="str">
        <f aca="false">IF(Q57="Yes",IFERROR(W57/V57,"-"),"")</f>
        <v/>
      </c>
      <c r="Z57" s="10" t="str">
        <f aca="false">IF(Q57="Yes",IFERROR(X57/V57,"-"),"")</f>
        <v/>
      </c>
      <c r="AA57" s="7" t="n">
        <v>0</v>
      </c>
    </row>
    <row r="58" customFormat="false" ht="15" hidden="false" customHeight="false" outlineLevel="0" collapsed="false">
      <c r="A58" s="6" t="s">
        <v>152</v>
      </c>
      <c r="B58" s="22" t="n">
        <v>46144</v>
      </c>
      <c r="C58" s="6" t="str">
        <f aca="false">TEXT(B58,"yyyy-mm")</f>
        <v>2026-05</v>
      </c>
      <c r="D58" s="6" t="s">
        <v>52</v>
      </c>
      <c r="E58" s="6" t="s">
        <v>99</v>
      </c>
      <c r="F58" s="22" t="n">
        <v>46168</v>
      </c>
      <c r="G58" s="7" t="n">
        <f aca="false">Summary!$C$5-B58</f>
        <v>176</v>
      </c>
      <c r="H58" s="7" t="n">
        <v>8816.81</v>
      </c>
      <c r="I58" s="7" t="n">
        <v>24028</v>
      </c>
      <c r="J58" s="7" t="n">
        <v>111</v>
      </c>
      <c r="K58" s="7" t="n">
        <v>2389.83</v>
      </c>
      <c r="L58" s="10" t="n">
        <f aca="false">IFERROR(J58/I58,"-")</f>
        <v>0.00461961045446979</v>
      </c>
      <c r="M58" s="10" t="n">
        <f aca="false">IFERROR(K58/I58,"-")</f>
        <v>0.0994602130847345</v>
      </c>
      <c r="N58" s="7" t="n">
        <f aca="false">IFERROR(H58/I58*1000,"-")</f>
        <v>366.938987847511</v>
      </c>
      <c r="O58" s="7" t="n">
        <v>4</v>
      </c>
      <c r="P58" s="7" t="n">
        <f aca="false">IFERROR(H58/O58,"-")</f>
        <v>2204.2025</v>
      </c>
      <c r="Q58" s="6" t="s">
        <v>90</v>
      </c>
      <c r="R58" s="22"/>
      <c r="S58" s="7" t="str">
        <f aca="false">IF(Q58="Yes",R58-B58,"")</f>
        <v/>
      </c>
      <c r="T58" s="6"/>
      <c r="U58" s="7" t="n">
        <v>0</v>
      </c>
      <c r="V58" s="7" t="n">
        <v>0</v>
      </c>
      <c r="W58" s="7" t="n">
        <v>0</v>
      </c>
      <c r="X58" s="7" t="n">
        <v>0</v>
      </c>
      <c r="Y58" s="10" t="str">
        <f aca="false">IF(Q58="Yes",IFERROR(W58/V58,"-"),"")</f>
        <v/>
      </c>
      <c r="Z58" s="10" t="str">
        <f aca="false">IF(Q58="Yes",IFERROR(X58/V58,"-"),"")</f>
        <v/>
      </c>
      <c r="AA58" s="7" t="n">
        <v>0</v>
      </c>
    </row>
    <row r="59" customFormat="false" ht="15" hidden="false" customHeight="false" outlineLevel="0" collapsed="false">
      <c r="A59" s="6" t="s">
        <v>153</v>
      </c>
      <c r="B59" s="22" t="n">
        <v>46144</v>
      </c>
      <c r="C59" s="6" t="str">
        <f aca="false">TEXT(B59,"yyyy-mm")</f>
        <v>2026-05</v>
      </c>
      <c r="D59" s="6" t="s">
        <v>52</v>
      </c>
      <c r="E59" s="6" t="s">
        <v>99</v>
      </c>
      <c r="F59" s="22" t="n">
        <v>46155</v>
      </c>
      <c r="G59" s="7" t="n">
        <f aca="false">Summary!$C$5-B59</f>
        <v>176</v>
      </c>
      <c r="H59" s="7" t="n">
        <v>7953.61</v>
      </c>
      <c r="I59" s="7" t="n">
        <v>22676</v>
      </c>
      <c r="J59" s="7" t="n">
        <v>147</v>
      </c>
      <c r="K59" s="7" t="n">
        <v>2496</v>
      </c>
      <c r="L59" s="10" t="n">
        <f aca="false">IFERROR(J59/I59,"-")</f>
        <v>0.0064826248015523</v>
      </c>
      <c r="M59" s="10" t="n">
        <f aca="false">IFERROR(K59/I59,"-")</f>
        <v>0.110072323161051</v>
      </c>
      <c r="N59" s="7" t="n">
        <f aca="false">IFERROR(H59/I59*1000,"-")</f>
        <v>350.750132298465</v>
      </c>
      <c r="O59" s="7" t="n">
        <v>4</v>
      </c>
      <c r="P59" s="7" t="n">
        <f aca="false">IFERROR(H59/O59,"-")</f>
        <v>1988.4025</v>
      </c>
      <c r="Q59" s="6" t="s">
        <v>100</v>
      </c>
      <c r="R59" s="22" t="n">
        <v>46149</v>
      </c>
      <c r="S59" s="7" t="n">
        <f aca="false">IF(Q59="Yes",R59-B59,"")</f>
        <v>5</v>
      </c>
      <c r="T59" s="6" t="s">
        <v>101</v>
      </c>
      <c r="U59" s="7" t="n">
        <v>39456.43</v>
      </c>
      <c r="V59" s="7" t="n">
        <v>121980</v>
      </c>
      <c r="W59" s="7" t="n">
        <v>523</v>
      </c>
      <c r="X59" s="7" t="n">
        <v>12024</v>
      </c>
      <c r="Y59" s="10" t="n">
        <f aca="false">IF(Q59="Yes",IFERROR(W59/V59,"-"),"")</f>
        <v>0.00428758812920151</v>
      </c>
      <c r="Z59" s="10" t="n">
        <f aca="false">IF(Q59="Yes",IFERROR(X59/V59,"-"),"")</f>
        <v>0.0985735366453517</v>
      </c>
      <c r="AA59" s="7" t="n">
        <v>8</v>
      </c>
    </row>
    <row r="60" customFormat="false" ht="15" hidden="false" customHeight="false" outlineLevel="0" collapsed="false">
      <c r="A60" s="6" t="s">
        <v>154</v>
      </c>
      <c r="B60" s="22" t="n">
        <v>46144</v>
      </c>
      <c r="C60" s="6" t="str">
        <f aca="false">TEXT(B60,"yyyy-mm")</f>
        <v>2026-05</v>
      </c>
      <c r="D60" s="6" t="s">
        <v>52</v>
      </c>
      <c r="E60" s="6" t="s">
        <v>99</v>
      </c>
      <c r="F60" s="22" t="n">
        <v>46148</v>
      </c>
      <c r="G60" s="7" t="n">
        <f aca="false">Summary!$C$5-B60</f>
        <v>176</v>
      </c>
      <c r="H60" s="7" t="n">
        <v>6632.87</v>
      </c>
      <c r="I60" s="7" t="n">
        <v>22721</v>
      </c>
      <c r="J60" s="7" t="n">
        <v>115</v>
      </c>
      <c r="K60" s="7" t="n">
        <v>3403</v>
      </c>
      <c r="L60" s="10" t="n">
        <f aca="false">IFERROR(J60/I60,"-")</f>
        <v>0.00506139694555697</v>
      </c>
      <c r="M60" s="10" t="n">
        <f aca="false">IFERROR(K60/I60,"-")</f>
        <v>0.149773337441134</v>
      </c>
      <c r="N60" s="7" t="n">
        <f aca="false">IFERROR(H60/I60*1000,"-")</f>
        <v>291.9268518111</v>
      </c>
      <c r="O60" s="7" t="n">
        <v>2</v>
      </c>
      <c r="P60" s="7" t="n">
        <f aca="false">IFERROR(H60/O60,"-")</f>
        <v>3316.435</v>
      </c>
      <c r="Q60" s="6" t="s">
        <v>90</v>
      </c>
      <c r="R60" s="22"/>
      <c r="S60" s="7" t="str">
        <f aca="false">IF(Q60="Yes",R60-B60,"")</f>
        <v/>
      </c>
      <c r="T60" s="6"/>
      <c r="U60" s="7" t="n">
        <v>0</v>
      </c>
      <c r="V60" s="7" t="n">
        <v>0</v>
      </c>
      <c r="W60" s="7" t="n">
        <v>0</v>
      </c>
      <c r="X60" s="7" t="n">
        <v>0</v>
      </c>
      <c r="Y60" s="10" t="str">
        <f aca="false">IF(Q60="Yes",IFERROR(W60/V60,"-"),"")</f>
        <v/>
      </c>
      <c r="Z60" s="10" t="str">
        <f aca="false">IF(Q60="Yes",IFERROR(X60/V60,"-"),"")</f>
        <v/>
      </c>
      <c r="AA60" s="7" t="n">
        <v>0</v>
      </c>
    </row>
    <row r="61" customFormat="false" ht="15" hidden="false" customHeight="false" outlineLevel="0" collapsed="false">
      <c r="A61" s="6" t="s">
        <v>155</v>
      </c>
      <c r="B61" s="22" t="n">
        <v>46144</v>
      </c>
      <c r="C61" s="6" t="str">
        <f aca="false">TEXT(B61,"yyyy-mm")</f>
        <v>2026-05</v>
      </c>
      <c r="D61" s="6" t="s">
        <v>52</v>
      </c>
      <c r="E61" s="6" t="s">
        <v>99</v>
      </c>
      <c r="F61" s="22" t="n">
        <v>46154</v>
      </c>
      <c r="G61" s="7" t="n">
        <f aca="false">Summary!$C$5-B61</f>
        <v>176</v>
      </c>
      <c r="H61" s="7" t="n">
        <v>2069.74</v>
      </c>
      <c r="I61" s="7" t="n">
        <v>4388</v>
      </c>
      <c r="J61" s="7" t="n">
        <v>32</v>
      </c>
      <c r="K61" s="7" t="n">
        <v>457</v>
      </c>
      <c r="L61" s="10" t="n">
        <f aca="false">IFERROR(J61/I61,"-")</f>
        <v>0.0072926162260711</v>
      </c>
      <c r="M61" s="10" t="n">
        <f aca="false">IFERROR(K61/I61,"-")</f>
        <v>0.104147675478578</v>
      </c>
      <c r="N61" s="7" t="n">
        <f aca="false">IFERROR(H61/I61*1000,"-")</f>
        <v>471.681859617138</v>
      </c>
      <c r="O61" s="7" t="n">
        <v>2</v>
      </c>
      <c r="P61" s="7" t="n">
        <f aca="false">IFERROR(H61/O61,"-")</f>
        <v>1034.87</v>
      </c>
      <c r="Q61" s="6" t="s">
        <v>90</v>
      </c>
      <c r="R61" s="22"/>
      <c r="S61" s="7" t="str">
        <f aca="false">IF(Q61="Yes",R61-B61,"")</f>
        <v/>
      </c>
      <c r="T61" s="6"/>
      <c r="U61" s="7" t="n">
        <v>0</v>
      </c>
      <c r="V61" s="7" t="n">
        <v>0</v>
      </c>
      <c r="W61" s="7" t="n">
        <v>0</v>
      </c>
      <c r="X61" s="7" t="n">
        <v>0</v>
      </c>
      <c r="Y61" s="10" t="str">
        <f aca="false">IF(Q61="Yes",IFERROR(W61/V61,"-"),"")</f>
        <v/>
      </c>
      <c r="Z61" s="10" t="str">
        <f aca="false">IF(Q61="Yes",IFERROR(X61/V61,"-"),"")</f>
        <v/>
      </c>
      <c r="AA61" s="7" t="n">
        <v>0</v>
      </c>
    </row>
    <row r="62" customFormat="false" ht="15" hidden="false" customHeight="false" outlineLevel="0" collapsed="false">
      <c r="A62" s="6" t="s">
        <v>156</v>
      </c>
      <c r="B62" s="22" t="n">
        <v>46144</v>
      </c>
      <c r="C62" s="6" t="str">
        <f aca="false">TEXT(B62,"yyyy-mm")</f>
        <v>2026-05</v>
      </c>
      <c r="D62" s="6" t="s">
        <v>52</v>
      </c>
      <c r="E62" s="6" t="s">
        <v>104</v>
      </c>
      <c r="F62" s="22" t="n">
        <v>46154</v>
      </c>
      <c r="G62" s="7" t="n">
        <f aca="false">Summary!$C$5-B62</f>
        <v>176</v>
      </c>
      <c r="H62" s="7" t="n">
        <v>7416.41</v>
      </c>
      <c r="I62" s="7" t="n">
        <v>36702</v>
      </c>
      <c r="J62" s="7" t="n">
        <v>196</v>
      </c>
      <c r="K62" s="7" t="n">
        <v>7601</v>
      </c>
      <c r="L62" s="10" t="n">
        <f aca="false">IFERROR(J62/I62,"-")</f>
        <v>0.00534030843005831</v>
      </c>
      <c r="M62" s="10" t="n">
        <f aca="false">IFERROR(K62/I62,"-")</f>
        <v>0.207100430494251</v>
      </c>
      <c r="N62" s="7" t="n">
        <f aca="false">IFERROR(H62/I62*1000,"-")</f>
        <v>202.071004304943</v>
      </c>
      <c r="O62" s="7" t="n">
        <v>2</v>
      </c>
      <c r="P62" s="7" t="n">
        <f aca="false">IFERROR(H62/O62,"-")</f>
        <v>3708.205</v>
      </c>
      <c r="Q62" s="6" t="s">
        <v>90</v>
      </c>
      <c r="R62" s="22"/>
      <c r="S62" s="7" t="str">
        <f aca="false">IF(Q62="Yes",R62-B62,"")</f>
        <v/>
      </c>
      <c r="T62" s="6"/>
      <c r="U62" s="7" t="n">
        <v>0</v>
      </c>
      <c r="V62" s="7" t="n">
        <v>0</v>
      </c>
      <c r="W62" s="7" t="n">
        <v>0</v>
      </c>
      <c r="X62" s="7" t="n">
        <v>0</v>
      </c>
      <c r="Y62" s="10" t="str">
        <f aca="false">IF(Q62="Yes",IFERROR(W62/V62,"-"),"")</f>
        <v/>
      </c>
      <c r="Z62" s="10" t="str">
        <f aca="false">IF(Q62="Yes",IFERROR(X62/V62,"-"),"")</f>
        <v/>
      </c>
      <c r="AA62" s="7" t="n">
        <v>0</v>
      </c>
    </row>
    <row r="63" customFormat="false" ht="15" hidden="false" customHeight="false" outlineLevel="0" collapsed="false">
      <c r="A63" s="6" t="s">
        <v>157</v>
      </c>
      <c r="B63" s="22" t="n">
        <v>46144</v>
      </c>
      <c r="C63" s="6" t="str">
        <f aca="false">TEXT(B63,"yyyy-mm")</f>
        <v>2026-05</v>
      </c>
      <c r="D63" s="6" t="s">
        <v>52</v>
      </c>
      <c r="E63" s="6" t="s">
        <v>104</v>
      </c>
      <c r="F63" s="22" t="n">
        <v>46148</v>
      </c>
      <c r="G63" s="7" t="n">
        <f aca="false">Summary!$C$5-B63</f>
        <v>176</v>
      </c>
      <c r="H63" s="7" t="n">
        <v>2706.85</v>
      </c>
      <c r="I63" s="7" t="n">
        <v>11509</v>
      </c>
      <c r="J63" s="7" t="n">
        <v>29</v>
      </c>
      <c r="K63" s="7" t="n">
        <v>2069</v>
      </c>
      <c r="L63" s="10" t="n">
        <f aca="false">IFERROR(J63/I63,"-")</f>
        <v>0.00251976713876097</v>
      </c>
      <c r="M63" s="10" t="n">
        <f aca="false">IFERROR(K63/I63,"-")</f>
        <v>0.179772352072291</v>
      </c>
      <c r="N63" s="7" t="n">
        <f aca="false">IFERROR(H63/I63*1000,"-")</f>
        <v>235.194195846729</v>
      </c>
      <c r="O63" s="7" t="n">
        <v>0</v>
      </c>
      <c r="P63" s="7" t="str">
        <f aca="false">IFERROR(H63/O63,"-")</f>
        <v>-</v>
      </c>
      <c r="Q63" s="6" t="s">
        <v>90</v>
      </c>
      <c r="R63" s="22"/>
      <c r="S63" s="7" t="str">
        <f aca="false">IF(Q63="Yes",R63-B63,"")</f>
        <v/>
      </c>
      <c r="T63" s="6"/>
      <c r="U63" s="7" t="n">
        <v>0</v>
      </c>
      <c r="V63" s="7" t="n">
        <v>0</v>
      </c>
      <c r="W63" s="7" t="n">
        <v>0</v>
      </c>
      <c r="X63" s="7" t="n">
        <v>0</v>
      </c>
      <c r="Y63" s="10" t="str">
        <f aca="false">IF(Q63="Yes",IFERROR(W63/V63,"-"),"")</f>
        <v/>
      </c>
      <c r="Z63" s="10" t="str">
        <f aca="false">IF(Q63="Yes",IFERROR(X63/V63,"-"),"")</f>
        <v/>
      </c>
      <c r="AA63" s="7" t="n">
        <v>0</v>
      </c>
    </row>
    <row r="64" customFormat="false" ht="15" hidden="false" customHeight="false" outlineLevel="0" collapsed="false">
      <c r="A64" s="6" t="s">
        <v>158</v>
      </c>
      <c r="B64" s="22" t="n">
        <v>46144</v>
      </c>
      <c r="C64" s="6" t="str">
        <f aca="false">TEXT(B64,"yyyy-mm")</f>
        <v>2026-05</v>
      </c>
      <c r="D64" s="6" t="s">
        <v>52</v>
      </c>
      <c r="E64" s="6" t="s">
        <v>104</v>
      </c>
      <c r="F64" s="22" t="n">
        <v>46160</v>
      </c>
      <c r="G64" s="7" t="n">
        <f aca="false">Summary!$C$5-B64</f>
        <v>176</v>
      </c>
      <c r="H64" s="7" t="n">
        <v>7932.09</v>
      </c>
      <c r="I64" s="7" t="n">
        <v>25832</v>
      </c>
      <c r="J64" s="7" t="n">
        <v>61</v>
      </c>
      <c r="K64" s="7" t="n">
        <v>3424</v>
      </c>
      <c r="L64" s="10" t="n">
        <f aca="false">IFERROR(J64/I64,"-")</f>
        <v>0.0023614122019201</v>
      </c>
      <c r="M64" s="10" t="n">
        <f aca="false">IFERROR(K64/I64,"-")</f>
        <v>0.132548776711056</v>
      </c>
      <c r="N64" s="7" t="n">
        <f aca="false">IFERROR(H64/I64*1000,"-")</f>
        <v>307.064493651285</v>
      </c>
      <c r="O64" s="7" t="n">
        <v>2</v>
      </c>
      <c r="P64" s="7" t="n">
        <f aca="false">IFERROR(H64/O64,"-")</f>
        <v>3966.045</v>
      </c>
      <c r="Q64" s="6" t="s">
        <v>90</v>
      </c>
      <c r="R64" s="22"/>
      <c r="S64" s="7" t="str">
        <f aca="false">IF(Q64="Yes",R64-B64,"")</f>
        <v/>
      </c>
      <c r="T64" s="6"/>
      <c r="U64" s="7" t="n">
        <v>0</v>
      </c>
      <c r="V64" s="7" t="n">
        <v>0</v>
      </c>
      <c r="W64" s="7" t="n">
        <v>0</v>
      </c>
      <c r="X64" s="7" t="n">
        <v>0</v>
      </c>
      <c r="Y64" s="10" t="str">
        <f aca="false">IF(Q64="Yes",IFERROR(W64/V64,"-"),"")</f>
        <v/>
      </c>
      <c r="Z64" s="10" t="str">
        <f aca="false">IF(Q64="Yes",IFERROR(X64/V64,"-"),"")</f>
        <v/>
      </c>
      <c r="AA64" s="7" t="n">
        <v>0</v>
      </c>
    </row>
    <row r="65" customFormat="false" ht="15" hidden="false" customHeight="false" outlineLevel="0" collapsed="false">
      <c r="A65" s="6" t="s">
        <v>159</v>
      </c>
      <c r="B65" s="22" t="n">
        <v>46144</v>
      </c>
      <c r="C65" s="6" t="str">
        <f aca="false">TEXT(B65,"yyyy-mm")</f>
        <v>2026-05</v>
      </c>
      <c r="D65" s="6" t="s">
        <v>52</v>
      </c>
      <c r="E65" s="6" t="s">
        <v>104</v>
      </c>
      <c r="F65" s="22" t="n">
        <v>46149</v>
      </c>
      <c r="G65" s="7" t="n">
        <f aca="false">Summary!$C$5-B65</f>
        <v>176</v>
      </c>
      <c r="H65" s="7" t="n">
        <v>4328.66</v>
      </c>
      <c r="I65" s="7" t="n">
        <v>15073</v>
      </c>
      <c r="J65" s="7" t="n">
        <v>50</v>
      </c>
      <c r="K65" s="7" t="n">
        <v>1983</v>
      </c>
      <c r="L65" s="10" t="n">
        <f aca="false">IFERROR(J65/I65,"-")</f>
        <v>0.00331718967690573</v>
      </c>
      <c r="M65" s="10" t="n">
        <f aca="false">IFERROR(K65/I65,"-")</f>
        <v>0.131559742586081</v>
      </c>
      <c r="N65" s="7" t="n">
        <f aca="false">IFERROR(H65/I65*1000,"-")</f>
        <v>287.179725336695</v>
      </c>
      <c r="O65" s="7" t="n">
        <v>4</v>
      </c>
      <c r="P65" s="7" t="n">
        <f aca="false">IFERROR(H65/O65,"-")</f>
        <v>1082.165</v>
      </c>
      <c r="Q65" s="6" t="s">
        <v>100</v>
      </c>
      <c r="R65" s="22" t="n">
        <v>46149</v>
      </c>
      <c r="S65" s="7" t="n">
        <f aca="false">IF(Q65="Yes",R65-B65,"")</f>
        <v>5</v>
      </c>
      <c r="T65" s="6" t="s">
        <v>53</v>
      </c>
      <c r="U65" s="7" t="n">
        <v>32601.28</v>
      </c>
      <c r="V65" s="7" t="n">
        <v>164353</v>
      </c>
      <c r="W65" s="7" t="n">
        <v>475</v>
      </c>
      <c r="X65" s="7" t="n">
        <v>18362</v>
      </c>
      <c r="Y65" s="10" t="n">
        <f aca="false">IF(Q65="Yes",IFERROR(W65/V65,"-"),"")</f>
        <v>0.00289012065493176</v>
      </c>
      <c r="Z65" s="10" t="n">
        <f aca="false">IF(Q65="Yes",IFERROR(X65/V65,"-"),"")</f>
        <v>0.111722937822857</v>
      </c>
      <c r="AA65" s="7" t="n">
        <v>5</v>
      </c>
    </row>
    <row r="66" customFormat="false" ht="15" hidden="false" customHeight="false" outlineLevel="0" collapsed="false">
      <c r="A66" s="6" t="s">
        <v>160</v>
      </c>
      <c r="B66" s="22" t="n">
        <v>46145</v>
      </c>
      <c r="C66" s="6" t="str">
        <f aca="false">TEXT(B66,"yyyy-mm")</f>
        <v>2026-05</v>
      </c>
      <c r="D66" s="6" t="s">
        <v>52</v>
      </c>
      <c r="E66" s="6" t="s">
        <v>148</v>
      </c>
      <c r="F66" s="22" t="n">
        <v>46159</v>
      </c>
      <c r="G66" s="7" t="n">
        <f aca="false">Summary!$C$5-B66</f>
        <v>175</v>
      </c>
      <c r="H66" s="7" t="n">
        <v>1327.68</v>
      </c>
      <c r="I66" s="7" t="n">
        <v>3281</v>
      </c>
      <c r="J66" s="7" t="n">
        <v>13</v>
      </c>
      <c r="K66" s="7" t="n">
        <v>168</v>
      </c>
      <c r="L66" s="10" t="n">
        <f aca="false">IFERROR(J66/I66,"-")</f>
        <v>0.00396220664431576</v>
      </c>
      <c r="M66" s="10" t="n">
        <f aca="false">IFERROR(K66/I66,"-")</f>
        <v>0.051203901249619</v>
      </c>
      <c r="N66" s="7" t="n">
        <f aca="false">IFERROR(H66/I66*1000,"-")</f>
        <v>404.657116732703</v>
      </c>
      <c r="O66" s="7" t="n">
        <v>0</v>
      </c>
      <c r="P66" s="7" t="str">
        <f aca="false">IFERROR(H66/O66,"-")</f>
        <v>-</v>
      </c>
      <c r="Q66" s="6" t="s">
        <v>90</v>
      </c>
      <c r="R66" s="22"/>
      <c r="S66" s="7" t="str">
        <f aca="false">IF(Q66="Yes",R66-B66,"")</f>
        <v/>
      </c>
      <c r="T66" s="6"/>
      <c r="U66" s="7" t="n">
        <v>0</v>
      </c>
      <c r="V66" s="7" t="n">
        <v>0</v>
      </c>
      <c r="W66" s="7" t="n">
        <v>0</v>
      </c>
      <c r="X66" s="7" t="n">
        <v>0</v>
      </c>
      <c r="Y66" s="10" t="str">
        <f aca="false">IF(Q66="Yes",IFERROR(W66/V66,"-"),"")</f>
        <v/>
      </c>
      <c r="Z66" s="10" t="str">
        <f aca="false">IF(Q66="Yes",IFERROR(X66/V66,"-"),"")</f>
        <v/>
      </c>
      <c r="AA66" s="7" t="n">
        <v>0</v>
      </c>
    </row>
    <row r="67" customFormat="false" ht="15" hidden="false" customHeight="false" outlineLevel="0" collapsed="false">
      <c r="A67" s="6" t="s">
        <v>161</v>
      </c>
      <c r="B67" s="22" t="n">
        <v>46145</v>
      </c>
      <c r="C67" s="6" t="str">
        <f aca="false">TEXT(B67,"yyyy-mm")</f>
        <v>2026-05</v>
      </c>
      <c r="D67" s="6" t="s">
        <v>52</v>
      </c>
      <c r="E67" s="6" t="s">
        <v>104</v>
      </c>
      <c r="F67" s="22" t="n">
        <v>46159</v>
      </c>
      <c r="G67" s="7" t="n">
        <f aca="false">Summary!$C$5-B67</f>
        <v>175</v>
      </c>
      <c r="H67" s="7" t="n">
        <v>1983.63</v>
      </c>
      <c r="I67" s="7" t="n">
        <v>7175</v>
      </c>
      <c r="J67" s="7" t="n">
        <v>17</v>
      </c>
      <c r="K67" s="7" t="n">
        <v>809</v>
      </c>
      <c r="L67" s="10" t="n">
        <f aca="false">IFERROR(J67/I67,"-")</f>
        <v>0.00236933797909408</v>
      </c>
      <c r="M67" s="10" t="n">
        <f aca="false">IFERROR(K67/I67,"-")</f>
        <v>0.112752613240418</v>
      </c>
      <c r="N67" s="7" t="n">
        <f aca="false">IFERROR(H67/I67*1000,"-")</f>
        <v>276.464111498258</v>
      </c>
      <c r="O67" s="7" t="n">
        <v>0</v>
      </c>
      <c r="P67" s="7" t="str">
        <f aca="false">IFERROR(H67/O67,"-")</f>
        <v>-</v>
      </c>
      <c r="Q67" s="6" t="s">
        <v>90</v>
      </c>
      <c r="R67" s="22"/>
      <c r="S67" s="7" t="str">
        <f aca="false">IF(Q67="Yes",R67-B67,"")</f>
        <v/>
      </c>
      <c r="T67" s="6"/>
      <c r="U67" s="7" t="n">
        <v>0</v>
      </c>
      <c r="V67" s="7" t="n">
        <v>0</v>
      </c>
      <c r="W67" s="7" t="n">
        <v>0</v>
      </c>
      <c r="X67" s="7" t="n">
        <v>0</v>
      </c>
      <c r="Y67" s="10" t="str">
        <f aca="false">IF(Q67="Yes",IFERROR(W67/V67,"-"),"")</f>
        <v/>
      </c>
      <c r="Z67" s="10" t="str">
        <f aca="false">IF(Q67="Yes",IFERROR(X67/V67,"-"),"")</f>
        <v/>
      </c>
      <c r="AA67" s="7" t="n">
        <v>0</v>
      </c>
    </row>
    <row r="68" customFormat="false" ht="15" hidden="false" customHeight="false" outlineLevel="0" collapsed="false">
      <c r="A68" s="6" t="s">
        <v>162</v>
      </c>
      <c r="B68" s="22" t="n">
        <v>46146</v>
      </c>
      <c r="C68" s="6" t="str">
        <f aca="false">TEXT(B68,"yyyy-mm")</f>
        <v>2026-05</v>
      </c>
      <c r="D68" s="6" t="s">
        <v>52</v>
      </c>
      <c r="E68" s="6" t="s">
        <v>148</v>
      </c>
      <c r="F68" s="22" t="n">
        <v>46160</v>
      </c>
      <c r="G68" s="7" t="n">
        <f aca="false">Summary!$C$5-B68</f>
        <v>174</v>
      </c>
      <c r="H68" s="7" t="n">
        <v>21514.45</v>
      </c>
      <c r="I68" s="7" t="n">
        <v>46416</v>
      </c>
      <c r="J68" s="7" t="n">
        <v>480</v>
      </c>
      <c r="K68" s="7" t="n">
        <v>2516</v>
      </c>
      <c r="L68" s="10" t="n">
        <f aca="false">IFERROR(J68/I68,"-")</f>
        <v>0.0103412616339193</v>
      </c>
      <c r="M68" s="10" t="n">
        <f aca="false">IFERROR(K68/I68,"-")</f>
        <v>0.0542054463977939</v>
      </c>
      <c r="N68" s="7" t="n">
        <f aca="false">IFERROR(H68/I68*1000,"-")</f>
        <v>463.513659083075</v>
      </c>
      <c r="O68" s="7" t="n">
        <v>7</v>
      </c>
      <c r="P68" s="7" t="n">
        <f aca="false">IFERROR(H68/O68,"-")</f>
        <v>3073.49285714286</v>
      </c>
      <c r="Q68" s="6" t="s">
        <v>90</v>
      </c>
      <c r="R68" s="22"/>
      <c r="S68" s="7" t="str">
        <f aca="false">IF(Q68="Yes",R68-B68,"")</f>
        <v/>
      </c>
      <c r="T68" s="6"/>
      <c r="U68" s="7" t="n">
        <v>0</v>
      </c>
      <c r="V68" s="7" t="n">
        <v>0</v>
      </c>
      <c r="W68" s="7" t="n">
        <v>0</v>
      </c>
      <c r="X68" s="7" t="n">
        <v>0</v>
      </c>
      <c r="Y68" s="10" t="str">
        <f aca="false">IF(Q68="Yes",IFERROR(W68/V68,"-"),"")</f>
        <v/>
      </c>
      <c r="Z68" s="10" t="str">
        <f aca="false">IF(Q68="Yes",IFERROR(X68/V68,"-"),"")</f>
        <v/>
      </c>
      <c r="AA68" s="7" t="n">
        <v>0</v>
      </c>
    </row>
    <row r="69" customFormat="false" ht="15" hidden="false" customHeight="false" outlineLevel="0" collapsed="false">
      <c r="A69" s="6" t="s">
        <v>163</v>
      </c>
      <c r="B69" s="22" t="n">
        <v>46149</v>
      </c>
      <c r="C69" s="6" t="str">
        <f aca="false">TEXT(B69,"yyyy-mm")</f>
        <v>2026-05</v>
      </c>
      <c r="D69" s="6" t="s">
        <v>52</v>
      </c>
      <c r="E69" s="6" t="s">
        <v>104</v>
      </c>
      <c r="F69" s="22" t="n">
        <v>46154</v>
      </c>
      <c r="G69" s="7" t="n">
        <f aca="false">Summary!$C$5-B69</f>
        <v>171</v>
      </c>
      <c r="H69" s="7" t="n">
        <v>8859.21</v>
      </c>
      <c r="I69" s="7" t="n">
        <v>40219</v>
      </c>
      <c r="J69" s="7" t="n">
        <v>133</v>
      </c>
      <c r="K69" s="7" t="n">
        <v>4551</v>
      </c>
      <c r="L69" s="10" t="n">
        <f aca="false">IFERROR(J69/I69,"-")</f>
        <v>0.00330689475123698</v>
      </c>
      <c r="M69" s="10" t="n">
        <f aca="false">IFERROR(K69/I69,"-")</f>
        <v>0.113155473781049</v>
      </c>
      <c r="N69" s="7" t="n">
        <f aca="false">IFERROR(H69/I69*1000,"-")</f>
        <v>220.27424848952</v>
      </c>
      <c r="O69" s="7" t="n">
        <v>2</v>
      </c>
      <c r="P69" s="7" t="n">
        <f aca="false">IFERROR(H69/O69,"-")</f>
        <v>4429.605</v>
      </c>
      <c r="Q69" s="6" t="s">
        <v>90</v>
      </c>
      <c r="R69" s="22"/>
      <c r="S69" s="7" t="str">
        <f aca="false">IF(Q69="Yes",R69-B69,"")</f>
        <v/>
      </c>
      <c r="T69" s="6"/>
      <c r="U69" s="7" t="n">
        <v>0</v>
      </c>
      <c r="V69" s="7" t="n">
        <v>0</v>
      </c>
      <c r="W69" s="7" t="n">
        <v>0</v>
      </c>
      <c r="X69" s="7" t="n">
        <v>0</v>
      </c>
      <c r="Y69" s="10" t="str">
        <f aca="false">IF(Q69="Yes",IFERROR(W69/V69,"-"),"")</f>
        <v/>
      </c>
      <c r="Z69" s="10" t="str">
        <f aca="false">IF(Q69="Yes",IFERROR(X69/V69,"-"),"")</f>
        <v/>
      </c>
      <c r="AA69" s="7" t="n">
        <v>0</v>
      </c>
    </row>
    <row r="70" customFormat="false" ht="15" hidden="false" customHeight="false" outlineLevel="0" collapsed="false">
      <c r="A70" s="6" t="s">
        <v>164</v>
      </c>
      <c r="B70" s="22" t="n">
        <v>46149</v>
      </c>
      <c r="C70" s="6" t="str">
        <f aca="false">TEXT(B70,"yyyy-mm")</f>
        <v>2026-05</v>
      </c>
      <c r="D70" s="6" t="s">
        <v>52</v>
      </c>
      <c r="E70" s="6" t="s">
        <v>104</v>
      </c>
      <c r="F70" s="22" t="n">
        <v>46154</v>
      </c>
      <c r="G70" s="7" t="n">
        <f aca="false">Summary!$C$5-B70</f>
        <v>171</v>
      </c>
      <c r="H70" s="7" t="n">
        <v>3101.91</v>
      </c>
      <c r="I70" s="7" t="n">
        <v>10310</v>
      </c>
      <c r="J70" s="7" t="n">
        <v>35</v>
      </c>
      <c r="K70" s="7" t="n">
        <v>1699</v>
      </c>
      <c r="L70" s="10" t="n">
        <f aca="false">IFERROR(J70/I70,"-")</f>
        <v>0.00339476236663434</v>
      </c>
      <c r="M70" s="10" t="n">
        <f aca="false">IFERROR(K70/I70,"-")</f>
        <v>0.164791464597478</v>
      </c>
      <c r="N70" s="7" t="n">
        <f aca="false">IFERROR(H70/I70*1000,"-")</f>
        <v>300.864209505335</v>
      </c>
      <c r="O70" s="7" t="n">
        <v>0</v>
      </c>
      <c r="P70" s="7" t="str">
        <f aca="false">IFERROR(H70/O70,"-")</f>
        <v>-</v>
      </c>
      <c r="Q70" s="6" t="s">
        <v>90</v>
      </c>
      <c r="R70" s="22"/>
      <c r="S70" s="7" t="str">
        <f aca="false">IF(Q70="Yes",R70-B70,"")</f>
        <v/>
      </c>
      <c r="T70" s="6"/>
      <c r="U70" s="7" t="n">
        <v>0</v>
      </c>
      <c r="V70" s="7" t="n">
        <v>0</v>
      </c>
      <c r="W70" s="7" t="n">
        <v>0</v>
      </c>
      <c r="X70" s="7" t="n">
        <v>0</v>
      </c>
      <c r="Y70" s="10" t="str">
        <f aca="false">IF(Q70="Yes",IFERROR(W70/V70,"-"),"")</f>
        <v/>
      </c>
      <c r="Z70" s="10" t="str">
        <f aca="false">IF(Q70="Yes",IFERROR(X70/V70,"-"),"")</f>
        <v/>
      </c>
      <c r="AA70" s="7" t="n">
        <v>0</v>
      </c>
    </row>
    <row r="71" customFormat="false" ht="15" hidden="false" customHeight="false" outlineLevel="0" collapsed="false">
      <c r="A71" s="6" t="s">
        <v>165</v>
      </c>
      <c r="B71" s="22" t="n">
        <v>46149</v>
      </c>
      <c r="C71" s="6" t="str">
        <f aca="false">TEXT(B71,"yyyy-mm")</f>
        <v>2026-05</v>
      </c>
      <c r="D71" s="6" t="s">
        <v>52</v>
      </c>
      <c r="E71" s="6" t="s">
        <v>104</v>
      </c>
      <c r="F71" s="22" t="n">
        <v>46160</v>
      </c>
      <c r="G71" s="7" t="n">
        <f aca="false">Summary!$C$5-B71</f>
        <v>171</v>
      </c>
      <c r="H71" s="7" t="n">
        <v>4689.28</v>
      </c>
      <c r="I71" s="7" t="n">
        <v>26183</v>
      </c>
      <c r="J71" s="7" t="n">
        <v>144</v>
      </c>
      <c r="K71" s="7" t="n">
        <v>3720</v>
      </c>
      <c r="L71" s="10" t="n">
        <f aca="false">IFERROR(J71/I71,"-")</f>
        <v>0.00549975174731696</v>
      </c>
      <c r="M71" s="10" t="n">
        <f aca="false">IFERROR(K71/I71,"-")</f>
        <v>0.142076920139022</v>
      </c>
      <c r="N71" s="7" t="n">
        <f aca="false">IFERROR(H71/I71*1000,"-")</f>
        <v>179.096360233739</v>
      </c>
      <c r="O71" s="7" t="n">
        <v>2</v>
      </c>
      <c r="P71" s="7" t="n">
        <f aca="false">IFERROR(H71/O71,"-")</f>
        <v>2344.64</v>
      </c>
      <c r="Q71" s="6" t="s">
        <v>90</v>
      </c>
      <c r="R71" s="22"/>
      <c r="S71" s="7" t="str">
        <f aca="false">IF(Q71="Yes",R71-B71,"")</f>
        <v/>
      </c>
      <c r="T71" s="6"/>
      <c r="U71" s="7" t="n">
        <v>0</v>
      </c>
      <c r="V71" s="7" t="n">
        <v>0</v>
      </c>
      <c r="W71" s="7" t="n">
        <v>0</v>
      </c>
      <c r="X71" s="7" t="n">
        <v>0</v>
      </c>
      <c r="Y71" s="10" t="str">
        <f aca="false">IF(Q71="Yes",IFERROR(W71/V71,"-"),"")</f>
        <v/>
      </c>
      <c r="Z71" s="10" t="str">
        <f aca="false">IF(Q71="Yes",IFERROR(X71/V71,"-"),"")</f>
        <v/>
      </c>
      <c r="AA71" s="7" t="n">
        <v>0</v>
      </c>
    </row>
    <row r="72" customFormat="false" ht="15" hidden="false" customHeight="false" outlineLevel="0" collapsed="false">
      <c r="A72" s="6" t="s">
        <v>166</v>
      </c>
      <c r="B72" s="22" t="n">
        <v>46149</v>
      </c>
      <c r="C72" s="6" t="str">
        <f aca="false">TEXT(B72,"yyyy-mm")</f>
        <v>2026-05</v>
      </c>
      <c r="D72" s="6" t="s">
        <v>52</v>
      </c>
      <c r="E72" s="6" t="s">
        <v>104</v>
      </c>
      <c r="F72" s="22" t="n">
        <v>46155</v>
      </c>
      <c r="G72" s="7" t="n">
        <f aca="false">Summary!$C$5-B72</f>
        <v>171</v>
      </c>
      <c r="H72" s="7" t="n">
        <v>6296.01</v>
      </c>
      <c r="I72" s="7" t="n">
        <v>34279</v>
      </c>
      <c r="J72" s="7" t="n">
        <v>324</v>
      </c>
      <c r="K72" s="7" t="n">
        <v>11643</v>
      </c>
      <c r="L72" s="10" t="n">
        <f aca="false">IFERROR(J72/I72,"-")</f>
        <v>0.00945185098748505</v>
      </c>
      <c r="M72" s="10" t="n">
        <f aca="false">IFERROR(K72/I72,"-")</f>
        <v>0.339654015578051</v>
      </c>
      <c r="N72" s="7" t="n">
        <f aca="false">IFERROR(H72/I72*1000,"-")</f>
        <v>183.669593628752</v>
      </c>
      <c r="O72" s="7" t="n">
        <v>2</v>
      </c>
      <c r="P72" s="7" t="n">
        <f aca="false">IFERROR(H72/O72,"-")</f>
        <v>3148.005</v>
      </c>
      <c r="Q72" s="6" t="s">
        <v>100</v>
      </c>
      <c r="R72" s="22" t="n">
        <v>46155</v>
      </c>
      <c r="S72" s="7" t="n">
        <f aca="false">IF(Q72="Yes",R72-B72,"")</f>
        <v>6</v>
      </c>
      <c r="T72" s="6" t="s">
        <v>53</v>
      </c>
      <c r="U72" s="7" t="n">
        <v>30305.28</v>
      </c>
      <c r="V72" s="7" t="n">
        <v>464774</v>
      </c>
      <c r="W72" s="7" t="n">
        <v>1114</v>
      </c>
      <c r="X72" s="7" t="n">
        <v>69784.94</v>
      </c>
      <c r="Y72" s="10" t="n">
        <f aca="false">IF(Q72="Yes",IFERROR(W72/V72,"-"),"")</f>
        <v>0.00239686385210877</v>
      </c>
      <c r="Z72" s="10" t="n">
        <f aca="false">IF(Q72="Yes",IFERROR(X72/V72,"-"),"")</f>
        <v>0.150148114997827</v>
      </c>
      <c r="AA72" s="7" t="n">
        <v>3</v>
      </c>
    </row>
    <row r="73" customFormat="false" ht="15" hidden="false" customHeight="false" outlineLevel="0" collapsed="false">
      <c r="A73" s="6" t="s">
        <v>167</v>
      </c>
      <c r="B73" s="22" t="n">
        <v>46149</v>
      </c>
      <c r="C73" s="6" t="str">
        <f aca="false">TEXT(B73,"yyyy-mm")</f>
        <v>2026-05</v>
      </c>
      <c r="D73" s="6" t="s">
        <v>52</v>
      </c>
      <c r="E73" s="6" t="s">
        <v>104</v>
      </c>
      <c r="F73" s="22" t="n">
        <v>46154</v>
      </c>
      <c r="G73" s="7" t="n">
        <f aca="false">Summary!$C$5-B73</f>
        <v>171</v>
      </c>
      <c r="H73" s="7" t="n">
        <v>9609.07</v>
      </c>
      <c r="I73" s="7" t="n">
        <v>42038</v>
      </c>
      <c r="J73" s="7" t="n">
        <v>205</v>
      </c>
      <c r="K73" s="7" t="n">
        <v>10546</v>
      </c>
      <c r="L73" s="10" t="n">
        <f aca="false">IFERROR(J73/I73,"-")</f>
        <v>0.00487654027308626</v>
      </c>
      <c r="M73" s="10" t="n">
        <f aca="false">IFERROR(K73/I73,"-")</f>
        <v>0.250868262048623</v>
      </c>
      <c r="N73" s="7" t="n">
        <f aca="false">IFERROR(H73/I73*1000,"-")</f>
        <v>228.580569960512</v>
      </c>
      <c r="O73" s="7" t="n">
        <v>0</v>
      </c>
      <c r="P73" s="7" t="str">
        <f aca="false">IFERROR(H73/O73,"-")</f>
        <v>-</v>
      </c>
      <c r="Q73" s="6" t="s">
        <v>90</v>
      </c>
      <c r="R73" s="22"/>
      <c r="S73" s="7" t="str">
        <f aca="false">IF(Q73="Yes",R73-B73,"")</f>
        <v/>
      </c>
      <c r="T73" s="6"/>
      <c r="U73" s="7" t="n">
        <v>0</v>
      </c>
      <c r="V73" s="7" t="n">
        <v>0</v>
      </c>
      <c r="W73" s="7" t="n">
        <v>0</v>
      </c>
      <c r="X73" s="7" t="n">
        <v>0</v>
      </c>
      <c r="Y73" s="10" t="str">
        <f aca="false">IF(Q73="Yes",IFERROR(W73/V73,"-"),"")</f>
        <v/>
      </c>
      <c r="Z73" s="10" t="str">
        <f aca="false">IF(Q73="Yes",IFERROR(X73/V73,"-"),"")</f>
        <v/>
      </c>
      <c r="AA73" s="7" t="n">
        <v>0</v>
      </c>
    </row>
    <row r="74" customFormat="false" ht="15" hidden="false" customHeight="false" outlineLevel="0" collapsed="false">
      <c r="A74" s="6" t="s">
        <v>168</v>
      </c>
      <c r="B74" s="22" t="n">
        <v>46149</v>
      </c>
      <c r="C74" s="6" t="str">
        <f aca="false">TEXT(B74,"yyyy-mm")</f>
        <v>2026-05</v>
      </c>
      <c r="D74" s="6" t="s">
        <v>52</v>
      </c>
      <c r="E74" s="6" t="s">
        <v>99</v>
      </c>
      <c r="F74" s="22" t="n">
        <v>46154</v>
      </c>
      <c r="G74" s="7" t="n">
        <f aca="false">Summary!$C$5-B74</f>
        <v>171</v>
      </c>
      <c r="H74" s="7" t="n">
        <v>5805.04</v>
      </c>
      <c r="I74" s="7" t="n">
        <v>13690</v>
      </c>
      <c r="J74" s="7" t="n">
        <v>60</v>
      </c>
      <c r="K74" s="7" t="n">
        <v>1815</v>
      </c>
      <c r="L74" s="10" t="n">
        <f aca="false">IFERROR(J74/I74,"-")</f>
        <v>0.0043827611395179</v>
      </c>
      <c r="M74" s="10" t="n">
        <f aca="false">IFERROR(K74/I74,"-")</f>
        <v>0.132578524470416</v>
      </c>
      <c r="N74" s="7" t="n">
        <f aca="false">IFERROR(H74/I74*1000,"-")</f>
        <v>424.035062089116</v>
      </c>
      <c r="O74" s="7" t="n">
        <v>0</v>
      </c>
      <c r="P74" s="7" t="str">
        <f aca="false">IFERROR(H74/O74,"-")</f>
        <v>-</v>
      </c>
      <c r="Q74" s="6" t="s">
        <v>90</v>
      </c>
      <c r="R74" s="22"/>
      <c r="S74" s="7" t="str">
        <f aca="false">IF(Q74="Yes",R74-B74,"")</f>
        <v/>
      </c>
      <c r="T74" s="6"/>
      <c r="U74" s="7" t="n">
        <v>0</v>
      </c>
      <c r="V74" s="7" t="n">
        <v>0</v>
      </c>
      <c r="W74" s="7" t="n">
        <v>0</v>
      </c>
      <c r="X74" s="7" t="n">
        <v>0</v>
      </c>
      <c r="Y74" s="10" t="str">
        <f aca="false">IF(Q74="Yes",IFERROR(W74/V74,"-"),"")</f>
        <v/>
      </c>
      <c r="Z74" s="10" t="str">
        <f aca="false">IF(Q74="Yes",IFERROR(X74/V74,"-"),"")</f>
        <v/>
      </c>
      <c r="AA74" s="7" t="n">
        <v>0</v>
      </c>
    </row>
    <row r="75" customFormat="false" ht="15" hidden="false" customHeight="false" outlineLevel="0" collapsed="false">
      <c r="A75" s="6" t="s">
        <v>169</v>
      </c>
      <c r="B75" s="22" t="n">
        <v>46149</v>
      </c>
      <c r="C75" s="6" t="str">
        <f aca="false">TEXT(B75,"yyyy-mm")</f>
        <v>2026-05</v>
      </c>
      <c r="D75" s="6" t="s">
        <v>52</v>
      </c>
      <c r="E75" s="6" t="s">
        <v>99</v>
      </c>
      <c r="F75" s="22" t="n">
        <v>46154</v>
      </c>
      <c r="G75" s="7" t="n">
        <f aca="false">Summary!$C$5-B75</f>
        <v>171</v>
      </c>
      <c r="H75" s="7" t="n">
        <v>4517.25</v>
      </c>
      <c r="I75" s="7" t="n">
        <v>4649</v>
      </c>
      <c r="J75" s="7" t="n">
        <v>34</v>
      </c>
      <c r="K75" s="7" t="n">
        <v>555</v>
      </c>
      <c r="L75" s="10" t="n">
        <f aca="false">IFERROR(J75/I75,"-")</f>
        <v>0.00731340073134007</v>
      </c>
      <c r="M75" s="10" t="n">
        <f aca="false">IFERROR(K75/I75,"-")</f>
        <v>0.119380511938051</v>
      </c>
      <c r="N75" s="7" t="n">
        <f aca="false">IFERROR(H75/I75*1000,"-")</f>
        <v>971.660572166057</v>
      </c>
      <c r="O75" s="7" t="n">
        <v>0</v>
      </c>
      <c r="P75" s="7" t="str">
        <f aca="false">IFERROR(H75/O75,"-")</f>
        <v>-</v>
      </c>
      <c r="Q75" s="6" t="s">
        <v>90</v>
      </c>
      <c r="R75" s="22"/>
      <c r="S75" s="7" t="str">
        <f aca="false">IF(Q75="Yes",R75-B75,"")</f>
        <v/>
      </c>
      <c r="T75" s="6"/>
      <c r="U75" s="7" t="n">
        <v>0</v>
      </c>
      <c r="V75" s="7" t="n">
        <v>0</v>
      </c>
      <c r="W75" s="7" t="n">
        <v>0</v>
      </c>
      <c r="X75" s="7" t="n">
        <v>0</v>
      </c>
      <c r="Y75" s="10" t="str">
        <f aca="false">IF(Q75="Yes",IFERROR(W75/V75,"-"),"")</f>
        <v/>
      </c>
      <c r="Z75" s="10" t="str">
        <f aca="false">IF(Q75="Yes",IFERROR(X75/V75,"-"),"")</f>
        <v/>
      </c>
      <c r="AA75" s="7" t="n">
        <v>0</v>
      </c>
    </row>
    <row r="76" customFormat="false" ht="15" hidden="false" customHeight="false" outlineLevel="0" collapsed="false">
      <c r="A76" s="6" t="s">
        <v>170</v>
      </c>
      <c r="B76" s="22" t="n">
        <v>46149</v>
      </c>
      <c r="C76" s="6" t="str">
        <f aca="false">TEXT(B76,"yyyy-mm")</f>
        <v>2026-05</v>
      </c>
      <c r="D76" s="6" t="s">
        <v>52</v>
      </c>
      <c r="E76" s="6" t="s">
        <v>99</v>
      </c>
      <c r="F76" s="22" t="n">
        <v>46154</v>
      </c>
      <c r="G76" s="7" t="n">
        <f aca="false">Summary!$C$5-B76</f>
        <v>171</v>
      </c>
      <c r="H76" s="7" t="n">
        <v>9644.91</v>
      </c>
      <c r="I76" s="7" t="n">
        <v>25215</v>
      </c>
      <c r="J76" s="7" t="n">
        <v>184</v>
      </c>
      <c r="K76" s="7" t="n">
        <v>5928</v>
      </c>
      <c r="L76" s="10" t="n">
        <f aca="false">IFERROR(J76/I76,"-")</f>
        <v>0.00729724370414436</v>
      </c>
      <c r="M76" s="10" t="n">
        <f aca="false">IFERROR(K76/I76,"-")</f>
        <v>0.235098155859607</v>
      </c>
      <c r="N76" s="7" t="n">
        <f aca="false">IFERROR(H76/I76*1000,"-")</f>
        <v>382.506841165973</v>
      </c>
      <c r="O76" s="7" t="n">
        <v>2</v>
      </c>
      <c r="P76" s="7" t="n">
        <f aca="false">IFERROR(H76/O76,"-")</f>
        <v>4822.455</v>
      </c>
      <c r="Q76" s="6" t="s">
        <v>90</v>
      </c>
      <c r="R76" s="22"/>
      <c r="S76" s="7" t="str">
        <f aca="false">IF(Q76="Yes",R76-B76,"")</f>
        <v/>
      </c>
      <c r="T76" s="6"/>
      <c r="U76" s="7" t="n">
        <v>0</v>
      </c>
      <c r="V76" s="7" t="n">
        <v>0</v>
      </c>
      <c r="W76" s="7" t="n">
        <v>0</v>
      </c>
      <c r="X76" s="7" t="n">
        <v>0</v>
      </c>
      <c r="Y76" s="10" t="str">
        <f aca="false">IF(Q76="Yes",IFERROR(W76/V76,"-"),"")</f>
        <v/>
      </c>
      <c r="Z76" s="10" t="str">
        <f aca="false">IF(Q76="Yes",IFERROR(X76/V76,"-"),"")</f>
        <v/>
      </c>
      <c r="AA76" s="7" t="n">
        <v>0</v>
      </c>
    </row>
    <row r="77" customFormat="false" ht="15" hidden="false" customHeight="false" outlineLevel="0" collapsed="false">
      <c r="A77" s="6" t="s">
        <v>171</v>
      </c>
      <c r="B77" s="22" t="n">
        <v>46151</v>
      </c>
      <c r="C77" s="6" t="str">
        <f aca="false">TEXT(B77,"yyyy-mm")</f>
        <v>2026-05</v>
      </c>
      <c r="D77" s="6" t="s">
        <v>52</v>
      </c>
      <c r="E77" s="6" t="s">
        <v>172</v>
      </c>
      <c r="F77" s="22" t="n">
        <v>46167</v>
      </c>
      <c r="G77" s="7" t="n">
        <f aca="false">Summary!$C$5-B77</f>
        <v>169</v>
      </c>
      <c r="H77" s="7" t="n">
        <v>831.79</v>
      </c>
      <c r="I77" s="7" t="n">
        <v>6434</v>
      </c>
      <c r="J77" s="7" t="n">
        <v>38</v>
      </c>
      <c r="K77" s="7" t="n">
        <v>0</v>
      </c>
      <c r="L77" s="10" t="n">
        <f aca="false">IFERROR(J77/I77,"-")</f>
        <v>0.00590612371774946</v>
      </c>
      <c r="M77" s="10" t="n">
        <f aca="false">IFERROR(K77/I77,"-")</f>
        <v>0</v>
      </c>
      <c r="N77" s="7" t="n">
        <f aca="false">IFERROR(H77/I77*1000,"-")</f>
        <v>129.280385452285</v>
      </c>
      <c r="O77" s="7" t="n">
        <v>0</v>
      </c>
      <c r="P77" s="7" t="str">
        <f aca="false">IFERROR(H77/O77,"-")</f>
        <v>-</v>
      </c>
      <c r="Q77" s="6" t="s">
        <v>90</v>
      </c>
      <c r="R77" s="22"/>
      <c r="S77" s="7" t="str">
        <f aca="false">IF(Q77="Yes",R77-B77,"")</f>
        <v/>
      </c>
      <c r="T77" s="6"/>
      <c r="U77" s="7" t="n">
        <v>0</v>
      </c>
      <c r="V77" s="7" t="n">
        <v>0</v>
      </c>
      <c r="W77" s="7" t="n">
        <v>0</v>
      </c>
      <c r="X77" s="7" t="n">
        <v>0</v>
      </c>
      <c r="Y77" s="10" t="str">
        <f aca="false">IF(Q77="Yes",IFERROR(W77/V77,"-"),"")</f>
        <v/>
      </c>
      <c r="Z77" s="10" t="str">
        <f aca="false">IF(Q77="Yes",IFERROR(X77/V77,"-"),"")</f>
        <v/>
      </c>
      <c r="AA77" s="7" t="n">
        <v>0</v>
      </c>
    </row>
    <row r="78" customFormat="false" ht="15" hidden="false" customHeight="false" outlineLevel="0" collapsed="false">
      <c r="A78" s="6" t="s">
        <v>173</v>
      </c>
      <c r="B78" s="22" t="n">
        <v>46151</v>
      </c>
      <c r="C78" s="6" t="str">
        <f aca="false">TEXT(B78,"yyyy-mm")</f>
        <v>2026-05</v>
      </c>
      <c r="D78" s="6" t="s">
        <v>52</v>
      </c>
      <c r="E78" s="6" t="s">
        <v>172</v>
      </c>
      <c r="F78" s="22" t="n">
        <v>46165</v>
      </c>
      <c r="G78" s="7" t="n">
        <f aca="false">Summary!$C$5-B78</f>
        <v>169</v>
      </c>
      <c r="H78" s="7" t="n">
        <v>3921.3</v>
      </c>
      <c r="I78" s="7" t="n">
        <v>47625</v>
      </c>
      <c r="J78" s="7" t="n">
        <v>209</v>
      </c>
      <c r="K78" s="7" t="n">
        <v>0</v>
      </c>
      <c r="L78" s="10" t="n">
        <f aca="false">IFERROR(J78/I78,"-")</f>
        <v>0.00438845144356955</v>
      </c>
      <c r="M78" s="10" t="n">
        <f aca="false">IFERROR(K78/I78,"-")</f>
        <v>0</v>
      </c>
      <c r="N78" s="7" t="n">
        <f aca="false">IFERROR(H78/I78*1000,"-")</f>
        <v>82.3370078740158</v>
      </c>
      <c r="O78" s="7" t="n">
        <v>0</v>
      </c>
      <c r="P78" s="7" t="str">
        <f aca="false">IFERROR(H78/O78,"-")</f>
        <v>-</v>
      </c>
      <c r="Q78" s="6" t="s">
        <v>90</v>
      </c>
      <c r="R78" s="22"/>
      <c r="S78" s="7" t="str">
        <f aca="false">IF(Q78="Yes",R78-B78,"")</f>
        <v/>
      </c>
      <c r="T78" s="6"/>
      <c r="U78" s="7" t="n">
        <v>0</v>
      </c>
      <c r="V78" s="7" t="n">
        <v>0</v>
      </c>
      <c r="W78" s="7" t="n">
        <v>0</v>
      </c>
      <c r="X78" s="7" t="n">
        <v>0</v>
      </c>
      <c r="Y78" s="10" t="str">
        <f aca="false">IF(Q78="Yes",IFERROR(W78/V78,"-"),"")</f>
        <v/>
      </c>
      <c r="Z78" s="10" t="str">
        <f aca="false">IF(Q78="Yes",IFERROR(X78/V78,"-"),"")</f>
        <v/>
      </c>
      <c r="AA78" s="7" t="n">
        <v>0</v>
      </c>
    </row>
    <row r="79" customFormat="false" ht="15" hidden="false" customHeight="false" outlineLevel="0" collapsed="false">
      <c r="A79" s="6" t="s">
        <v>174</v>
      </c>
      <c r="B79" s="22" t="n">
        <v>46151</v>
      </c>
      <c r="C79" s="6" t="str">
        <f aca="false">TEXT(B79,"yyyy-mm")</f>
        <v>2026-05</v>
      </c>
      <c r="D79" s="6" t="s">
        <v>52</v>
      </c>
      <c r="E79" s="6" t="s">
        <v>172</v>
      </c>
      <c r="F79" s="22" t="n">
        <v>46167</v>
      </c>
      <c r="G79" s="7" t="n">
        <f aca="false">Summary!$C$5-B79</f>
        <v>169</v>
      </c>
      <c r="H79" s="7" t="n">
        <v>8507.64</v>
      </c>
      <c r="I79" s="7" t="n">
        <v>204271</v>
      </c>
      <c r="J79" s="7" t="n">
        <v>391</v>
      </c>
      <c r="K79" s="7" t="n">
        <v>10226.07</v>
      </c>
      <c r="L79" s="10" t="n">
        <f aca="false">IFERROR(J79/I79,"-")</f>
        <v>0.00191412388444762</v>
      </c>
      <c r="M79" s="10" t="n">
        <f aca="false">IFERROR(K79/I79,"-")</f>
        <v>0.0500612911279624</v>
      </c>
      <c r="N79" s="7" t="n">
        <f aca="false">IFERROR(H79/I79*1000,"-")</f>
        <v>41.6487900876777</v>
      </c>
      <c r="O79" s="7" t="n">
        <v>2</v>
      </c>
      <c r="P79" s="7" t="n">
        <f aca="false">IFERROR(H79/O79,"-")</f>
        <v>4253.82</v>
      </c>
      <c r="Q79" s="6" t="s">
        <v>90</v>
      </c>
      <c r="R79" s="22"/>
      <c r="S79" s="7" t="str">
        <f aca="false">IF(Q79="Yes",R79-B79,"")</f>
        <v/>
      </c>
      <c r="T79" s="6"/>
      <c r="U79" s="7" t="n">
        <v>0</v>
      </c>
      <c r="V79" s="7" t="n">
        <v>0</v>
      </c>
      <c r="W79" s="7" t="n">
        <v>0</v>
      </c>
      <c r="X79" s="7" t="n">
        <v>0</v>
      </c>
      <c r="Y79" s="10" t="str">
        <f aca="false">IF(Q79="Yes",IFERROR(W79/V79,"-"),"")</f>
        <v/>
      </c>
      <c r="Z79" s="10" t="str">
        <f aca="false">IF(Q79="Yes",IFERROR(X79/V79,"-"),"")</f>
        <v/>
      </c>
      <c r="AA79" s="7" t="n">
        <v>0</v>
      </c>
    </row>
    <row r="80" customFormat="false" ht="15" hidden="false" customHeight="false" outlineLevel="0" collapsed="false">
      <c r="A80" s="6" t="s">
        <v>175</v>
      </c>
      <c r="B80" s="22" t="n">
        <v>46151</v>
      </c>
      <c r="C80" s="6" t="str">
        <f aca="false">TEXT(B80,"yyyy-mm")</f>
        <v>2026-05</v>
      </c>
      <c r="D80" s="6" t="s">
        <v>52</v>
      </c>
      <c r="E80" s="6" t="s">
        <v>148</v>
      </c>
      <c r="F80" s="22" t="n">
        <v>46160</v>
      </c>
      <c r="G80" s="7" t="n">
        <f aca="false">Summary!$C$5-B80</f>
        <v>169</v>
      </c>
      <c r="H80" s="7" t="n">
        <v>11716.11</v>
      </c>
      <c r="I80" s="7" t="n">
        <v>27337</v>
      </c>
      <c r="J80" s="7" t="n">
        <v>132</v>
      </c>
      <c r="K80" s="7" t="n">
        <v>2170</v>
      </c>
      <c r="L80" s="10" t="n">
        <f aca="false">IFERROR(J80/I80,"-")</f>
        <v>0.00482862055090171</v>
      </c>
      <c r="M80" s="10" t="n">
        <f aca="false">IFERROR(K80/I80,"-")</f>
        <v>0.0793795954201266</v>
      </c>
      <c r="N80" s="7" t="n">
        <f aca="false">IFERROR(H80/I80*1000,"-")</f>
        <v>428.580678201705</v>
      </c>
      <c r="O80" s="7" t="n">
        <v>1</v>
      </c>
      <c r="P80" s="7" t="n">
        <f aca="false">IFERROR(H80/O80,"-")</f>
        <v>11716.11</v>
      </c>
      <c r="Q80" s="6" t="s">
        <v>90</v>
      </c>
      <c r="R80" s="22"/>
      <c r="S80" s="7" t="str">
        <f aca="false">IF(Q80="Yes",R80-B80,"")</f>
        <v/>
      </c>
      <c r="T80" s="6"/>
      <c r="U80" s="7" t="n">
        <v>0</v>
      </c>
      <c r="V80" s="7" t="n">
        <v>0</v>
      </c>
      <c r="W80" s="7" t="n">
        <v>0</v>
      </c>
      <c r="X80" s="7" t="n">
        <v>0</v>
      </c>
      <c r="Y80" s="10" t="str">
        <f aca="false">IF(Q80="Yes",IFERROR(W80/V80,"-"),"")</f>
        <v/>
      </c>
      <c r="Z80" s="10" t="str">
        <f aca="false">IF(Q80="Yes",IFERROR(X80/V80,"-"),"")</f>
        <v/>
      </c>
      <c r="AA80" s="7" t="n">
        <v>0</v>
      </c>
    </row>
    <row r="81" customFormat="false" ht="15" hidden="false" customHeight="false" outlineLevel="0" collapsed="false">
      <c r="A81" s="6" t="s">
        <v>176</v>
      </c>
      <c r="B81" s="22" t="n">
        <v>46155</v>
      </c>
      <c r="C81" s="6" t="str">
        <f aca="false">TEXT(B81,"yyyy-mm")</f>
        <v>2026-05</v>
      </c>
      <c r="D81" s="6" t="s">
        <v>52</v>
      </c>
      <c r="E81" s="6" t="s">
        <v>99</v>
      </c>
      <c r="F81" s="22" t="n">
        <v>46160</v>
      </c>
      <c r="G81" s="7" t="n">
        <f aca="false">Summary!$C$5-B81</f>
        <v>165</v>
      </c>
      <c r="H81" s="7" t="n">
        <v>2739.64</v>
      </c>
      <c r="I81" s="7" t="n">
        <v>7529</v>
      </c>
      <c r="J81" s="7" t="n">
        <v>41</v>
      </c>
      <c r="K81" s="7" t="n">
        <v>1138</v>
      </c>
      <c r="L81" s="10" t="n">
        <f aca="false">IFERROR(J81/I81,"-")</f>
        <v>0.00544561030681365</v>
      </c>
      <c r="M81" s="10" t="n">
        <f aca="false">IFERROR(K81/I81,"-")</f>
        <v>0.151148890954974</v>
      </c>
      <c r="N81" s="7" t="n">
        <f aca="false">IFERROR(H81/I81*1000,"-")</f>
        <v>363.87833709656</v>
      </c>
      <c r="O81" s="7" t="n">
        <v>0</v>
      </c>
      <c r="P81" s="7" t="str">
        <f aca="false">IFERROR(H81/O81,"-")</f>
        <v>-</v>
      </c>
      <c r="Q81" s="6" t="s">
        <v>90</v>
      </c>
      <c r="R81" s="22"/>
      <c r="S81" s="7" t="str">
        <f aca="false">IF(Q81="Yes",R81-B81,"")</f>
        <v/>
      </c>
      <c r="T81" s="6"/>
      <c r="U81" s="7" t="n">
        <v>0</v>
      </c>
      <c r="V81" s="7" t="n">
        <v>0</v>
      </c>
      <c r="W81" s="7" t="n">
        <v>0</v>
      </c>
      <c r="X81" s="7" t="n">
        <v>0</v>
      </c>
      <c r="Y81" s="10" t="str">
        <f aca="false">IF(Q81="Yes",IFERROR(W81/V81,"-"),"")</f>
        <v/>
      </c>
      <c r="Z81" s="10" t="str">
        <f aca="false">IF(Q81="Yes",IFERROR(X81/V81,"-"),"")</f>
        <v/>
      </c>
      <c r="AA81" s="7" t="n">
        <v>0</v>
      </c>
    </row>
    <row r="82" customFormat="false" ht="15" hidden="false" customHeight="false" outlineLevel="0" collapsed="false">
      <c r="A82" s="6" t="s">
        <v>177</v>
      </c>
      <c r="B82" s="22" t="n">
        <v>46155</v>
      </c>
      <c r="C82" s="6" t="str">
        <f aca="false">TEXT(B82,"yyyy-mm")</f>
        <v>2026-05</v>
      </c>
      <c r="D82" s="6" t="s">
        <v>52</v>
      </c>
      <c r="E82" s="6" t="s">
        <v>99</v>
      </c>
      <c r="F82" s="22" t="n">
        <v>46161</v>
      </c>
      <c r="G82" s="7" t="n">
        <f aca="false">Summary!$C$5-B82</f>
        <v>165</v>
      </c>
      <c r="H82" s="7" t="n">
        <v>10709.01</v>
      </c>
      <c r="I82" s="7" t="n">
        <v>28932</v>
      </c>
      <c r="J82" s="7" t="n">
        <v>178</v>
      </c>
      <c r="K82" s="7" t="n">
        <v>7285</v>
      </c>
      <c r="L82" s="10" t="n">
        <f aca="false">IFERROR(J82/I82,"-")</f>
        <v>0.00615235725148624</v>
      </c>
      <c r="M82" s="10" t="n">
        <f aca="false">IFERROR(K82/I82,"-")</f>
        <v>0.251797317848749</v>
      </c>
      <c r="N82" s="7" t="n">
        <f aca="false">IFERROR(H82/I82*1000,"-")</f>
        <v>370.144131065948</v>
      </c>
      <c r="O82" s="7" t="n">
        <v>0</v>
      </c>
      <c r="P82" s="7" t="str">
        <f aca="false">IFERROR(H82/O82,"-")</f>
        <v>-</v>
      </c>
      <c r="Q82" s="6" t="s">
        <v>100</v>
      </c>
      <c r="R82" s="22" t="n">
        <v>46161</v>
      </c>
      <c r="S82" s="7" t="n">
        <f aca="false">IF(Q82="Yes",R82-B82,"")</f>
        <v>6</v>
      </c>
      <c r="T82" s="6" t="s">
        <v>101</v>
      </c>
      <c r="U82" s="7" t="n">
        <v>98437.15</v>
      </c>
      <c r="V82" s="7" t="n">
        <v>567650</v>
      </c>
      <c r="W82" s="7" t="n">
        <v>3584</v>
      </c>
      <c r="X82" s="7" t="n">
        <v>122149.47</v>
      </c>
      <c r="Y82" s="10" t="n">
        <f aca="false">IF(Q82="Yes",IFERROR(W82/V82,"-"),"")</f>
        <v>0.00631374966969083</v>
      </c>
      <c r="Z82" s="10" t="n">
        <f aca="false">IF(Q82="Yes",IFERROR(X82/V82,"-"),"")</f>
        <v>0.215184479873161</v>
      </c>
      <c r="AA82" s="7" t="n">
        <v>18</v>
      </c>
    </row>
    <row r="83" customFormat="false" ht="15" hidden="false" customHeight="false" outlineLevel="0" collapsed="false">
      <c r="A83" s="6" t="s">
        <v>178</v>
      </c>
      <c r="B83" s="22" t="n">
        <v>46155</v>
      </c>
      <c r="C83" s="6" t="str">
        <f aca="false">TEXT(B83,"yyyy-mm")</f>
        <v>2026-05</v>
      </c>
      <c r="D83" s="6" t="s">
        <v>52</v>
      </c>
      <c r="E83" s="6" t="s">
        <v>99</v>
      </c>
      <c r="F83" s="22" t="n">
        <v>46160</v>
      </c>
      <c r="G83" s="7" t="n">
        <f aca="false">Summary!$C$5-B83</f>
        <v>165</v>
      </c>
      <c r="H83" s="7" t="n">
        <v>12818.69</v>
      </c>
      <c r="I83" s="7" t="n">
        <v>25770</v>
      </c>
      <c r="J83" s="7" t="n">
        <v>134</v>
      </c>
      <c r="K83" s="7" t="n">
        <v>3123</v>
      </c>
      <c r="L83" s="10" t="n">
        <f aca="false">IFERROR(J83/I83,"-")</f>
        <v>0.00519984478075281</v>
      </c>
      <c r="M83" s="10" t="n">
        <f aca="false">IFERROR(K83/I83,"-")</f>
        <v>0.121187427240978</v>
      </c>
      <c r="N83" s="7" t="n">
        <f aca="false">IFERROR(H83/I83*1000,"-")</f>
        <v>497.426852929763</v>
      </c>
      <c r="O83" s="7" t="n">
        <v>3</v>
      </c>
      <c r="P83" s="7" t="n">
        <f aca="false">IFERROR(H83/O83,"-")</f>
        <v>4272.89666666667</v>
      </c>
      <c r="Q83" s="6" t="s">
        <v>90</v>
      </c>
      <c r="R83" s="22"/>
      <c r="S83" s="7" t="str">
        <f aca="false">IF(Q83="Yes",R83-B83,"")</f>
        <v/>
      </c>
      <c r="T83" s="6"/>
      <c r="U83" s="7" t="n">
        <v>0</v>
      </c>
      <c r="V83" s="7" t="n">
        <v>0</v>
      </c>
      <c r="W83" s="7" t="n">
        <v>0</v>
      </c>
      <c r="X83" s="7" t="n">
        <v>0</v>
      </c>
      <c r="Y83" s="10" t="str">
        <f aca="false">IF(Q83="Yes",IFERROR(W83/V83,"-"),"")</f>
        <v/>
      </c>
      <c r="Z83" s="10" t="str">
        <f aca="false">IF(Q83="Yes",IFERROR(X83/V83,"-"),"")</f>
        <v/>
      </c>
      <c r="AA83" s="7" t="n">
        <v>0</v>
      </c>
    </row>
    <row r="84" customFormat="false" ht="15" hidden="false" customHeight="false" outlineLevel="0" collapsed="false">
      <c r="A84" s="6" t="s">
        <v>179</v>
      </c>
      <c r="B84" s="22" t="n">
        <v>46156</v>
      </c>
      <c r="C84" s="6" t="str">
        <f aca="false">TEXT(B84,"yyyy-mm")</f>
        <v>2026-05</v>
      </c>
      <c r="D84" s="6" t="s">
        <v>52</v>
      </c>
      <c r="E84" s="6" t="s">
        <v>180</v>
      </c>
      <c r="F84" s="22" t="n">
        <v>46167</v>
      </c>
      <c r="G84" s="7" t="n">
        <f aca="false">Summary!$C$5-B84</f>
        <v>164</v>
      </c>
      <c r="H84" s="7" t="n">
        <v>8560.48</v>
      </c>
      <c r="I84" s="7" t="n">
        <v>60340</v>
      </c>
      <c r="J84" s="7" t="n">
        <v>277</v>
      </c>
      <c r="K84" s="7" t="n">
        <v>16073.98</v>
      </c>
      <c r="L84" s="10" t="n">
        <f aca="false">IFERROR(J84/I84,"-")</f>
        <v>0.00459065296652304</v>
      </c>
      <c r="M84" s="10" t="n">
        <f aca="false">IFERROR(K84/I84,"-")</f>
        <v>0.266390122638382</v>
      </c>
      <c r="N84" s="7" t="n">
        <f aca="false">IFERROR(H84/I84*1000,"-")</f>
        <v>141.870732515744</v>
      </c>
      <c r="O84" s="7" t="n">
        <v>0</v>
      </c>
      <c r="P84" s="7" t="str">
        <f aca="false">IFERROR(H84/O84,"-")</f>
        <v>-</v>
      </c>
      <c r="Q84" s="6" t="s">
        <v>90</v>
      </c>
      <c r="R84" s="22"/>
      <c r="S84" s="7" t="str">
        <f aca="false">IF(Q84="Yes",R84-B84,"")</f>
        <v/>
      </c>
      <c r="T84" s="6"/>
      <c r="U84" s="7" t="n">
        <v>0</v>
      </c>
      <c r="V84" s="7" t="n">
        <v>0</v>
      </c>
      <c r="W84" s="7" t="n">
        <v>0</v>
      </c>
      <c r="X84" s="7" t="n">
        <v>0</v>
      </c>
      <c r="Y84" s="10" t="str">
        <f aca="false">IF(Q84="Yes",IFERROR(W84/V84,"-"),"")</f>
        <v/>
      </c>
      <c r="Z84" s="10" t="str">
        <f aca="false">IF(Q84="Yes",IFERROR(X84/V84,"-"),"")</f>
        <v/>
      </c>
      <c r="AA84" s="7" t="n">
        <v>0</v>
      </c>
    </row>
    <row r="85" customFormat="false" ht="15" hidden="false" customHeight="false" outlineLevel="0" collapsed="false">
      <c r="A85" s="6" t="s">
        <v>181</v>
      </c>
      <c r="B85" s="22" t="n">
        <v>46156</v>
      </c>
      <c r="C85" s="6" t="str">
        <f aca="false">TEXT(B85,"yyyy-mm")</f>
        <v>2026-05</v>
      </c>
      <c r="D85" s="6" t="s">
        <v>52</v>
      </c>
      <c r="E85" s="6" t="s">
        <v>182</v>
      </c>
      <c r="F85" s="22" t="n">
        <v>46167</v>
      </c>
      <c r="G85" s="7" t="n">
        <f aca="false">Summary!$C$5-B85</f>
        <v>164</v>
      </c>
      <c r="H85" s="7" t="n">
        <v>769.44</v>
      </c>
      <c r="I85" s="7" t="n">
        <v>8364</v>
      </c>
      <c r="J85" s="7" t="n">
        <v>81</v>
      </c>
      <c r="K85" s="7" t="n">
        <v>448</v>
      </c>
      <c r="L85" s="10" t="n">
        <f aca="false">IFERROR(J85/I85,"-")</f>
        <v>0.00968436154949785</v>
      </c>
      <c r="M85" s="10" t="n">
        <f aca="false">IFERROR(K85/I85,"-")</f>
        <v>0.0535628885700622</v>
      </c>
      <c r="N85" s="7" t="n">
        <f aca="false">IFERROR(H85/I85*1000,"-")</f>
        <v>91.9942611190818</v>
      </c>
      <c r="O85" s="7" t="n">
        <v>0</v>
      </c>
      <c r="P85" s="7" t="str">
        <f aca="false">IFERROR(H85/O85,"-")</f>
        <v>-</v>
      </c>
      <c r="Q85" s="6" t="s">
        <v>90</v>
      </c>
      <c r="R85" s="22"/>
      <c r="S85" s="7" t="str">
        <f aca="false">IF(Q85="Yes",R85-B85,"")</f>
        <v/>
      </c>
      <c r="T85" s="6"/>
      <c r="U85" s="7" t="n">
        <v>0</v>
      </c>
      <c r="V85" s="7" t="n">
        <v>0</v>
      </c>
      <c r="W85" s="7" t="n">
        <v>0</v>
      </c>
      <c r="X85" s="7" t="n">
        <v>0</v>
      </c>
      <c r="Y85" s="10" t="str">
        <f aca="false">IF(Q85="Yes",IFERROR(W85/V85,"-"),"")</f>
        <v/>
      </c>
      <c r="Z85" s="10" t="str">
        <f aca="false">IF(Q85="Yes",IFERROR(X85/V85,"-"),"")</f>
        <v/>
      </c>
      <c r="AA85" s="7" t="n">
        <v>0</v>
      </c>
    </row>
    <row r="86" customFormat="false" ht="15" hidden="false" customHeight="false" outlineLevel="0" collapsed="false">
      <c r="A86" s="6" t="s">
        <v>183</v>
      </c>
      <c r="B86" s="22" t="n">
        <v>46156</v>
      </c>
      <c r="C86" s="6" t="str">
        <f aca="false">TEXT(B86,"yyyy-mm")</f>
        <v>2026-05</v>
      </c>
      <c r="D86" s="6" t="s">
        <v>52</v>
      </c>
      <c r="E86" s="6" t="s">
        <v>180</v>
      </c>
      <c r="F86" s="22" t="n">
        <v>46167</v>
      </c>
      <c r="G86" s="7" t="n">
        <f aca="false">Summary!$C$5-B86</f>
        <v>164</v>
      </c>
      <c r="H86" s="7" t="n">
        <v>616.9</v>
      </c>
      <c r="I86" s="7" t="n">
        <v>1442</v>
      </c>
      <c r="J86" s="7" t="n">
        <v>0</v>
      </c>
      <c r="K86" s="7" t="n">
        <v>237.99</v>
      </c>
      <c r="L86" s="10" t="n">
        <f aca="false">IFERROR(J86/I86,"-")</f>
        <v>0</v>
      </c>
      <c r="M86" s="10" t="n">
        <f aca="false">IFERROR(K86/I86,"-")</f>
        <v>0.16504160887656</v>
      </c>
      <c r="N86" s="7" t="n">
        <f aca="false">IFERROR(H86/I86*1000,"-")</f>
        <v>427.808599167822</v>
      </c>
      <c r="O86" s="7" t="n">
        <v>0</v>
      </c>
      <c r="P86" s="7" t="str">
        <f aca="false">IFERROR(H86/O86,"-")</f>
        <v>-</v>
      </c>
      <c r="Q86" s="6" t="s">
        <v>90</v>
      </c>
      <c r="R86" s="22"/>
      <c r="S86" s="7" t="str">
        <f aca="false">IF(Q86="Yes",R86-B86,"")</f>
        <v/>
      </c>
      <c r="T86" s="6"/>
      <c r="U86" s="7" t="n">
        <v>0</v>
      </c>
      <c r="V86" s="7" t="n">
        <v>0</v>
      </c>
      <c r="W86" s="7" t="n">
        <v>0</v>
      </c>
      <c r="X86" s="7" t="n">
        <v>0</v>
      </c>
      <c r="Y86" s="10" t="str">
        <f aca="false">IF(Q86="Yes",IFERROR(W86/V86,"-"),"")</f>
        <v/>
      </c>
      <c r="Z86" s="10" t="str">
        <f aca="false">IF(Q86="Yes",IFERROR(X86/V86,"-"),"")</f>
        <v/>
      </c>
      <c r="AA86" s="7" t="n">
        <v>0</v>
      </c>
    </row>
    <row r="87" customFormat="false" ht="15" hidden="false" customHeight="false" outlineLevel="0" collapsed="false">
      <c r="A87" s="6" t="s">
        <v>184</v>
      </c>
      <c r="B87" s="22" t="n">
        <v>46156</v>
      </c>
      <c r="C87" s="6" t="str">
        <f aca="false">TEXT(B87,"yyyy-mm")</f>
        <v>2026-05</v>
      </c>
      <c r="D87" s="6" t="s">
        <v>52</v>
      </c>
      <c r="E87" s="6" t="s">
        <v>180</v>
      </c>
      <c r="F87" s="22" t="n">
        <v>46167</v>
      </c>
      <c r="G87" s="7" t="n">
        <f aca="false">Summary!$C$5-B87</f>
        <v>164</v>
      </c>
      <c r="H87" s="7" t="n">
        <v>790.55</v>
      </c>
      <c r="I87" s="7" t="n">
        <v>2494</v>
      </c>
      <c r="J87" s="7" t="n">
        <v>11</v>
      </c>
      <c r="K87" s="7" t="n">
        <v>398</v>
      </c>
      <c r="L87" s="10" t="n">
        <f aca="false">IFERROR(J87/I87,"-")</f>
        <v>0.00441058540497193</v>
      </c>
      <c r="M87" s="10" t="n">
        <f aca="false">IFERROR(K87/I87,"-")</f>
        <v>0.159582999198075</v>
      </c>
      <c r="N87" s="7" t="n">
        <f aca="false">IFERROR(H87/I87*1000,"-")</f>
        <v>316.980753809142</v>
      </c>
      <c r="O87" s="7" t="n">
        <v>0</v>
      </c>
      <c r="P87" s="7" t="str">
        <f aca="false">IFERROR(H87/O87,"-")</f>
        <v>-</v>
      </c>
      <c r="Q87" s="6" t="s">
        <v>90</v>
      </c>
      <c r="R87" s="22"/>
      <c r="S87" s="7" t="str">
        <f aca="false">IF(Q87="Yes",R87-B87,"")</f>
        <v/>
      </c>
      <c r="T87" s="6"/>
      <c r="U87" s="7" t="n">
        <v>0</v>
      </c>
      <c r="V87" s="7" t="n">
        <v>0</v>
      </c>
      <c r="W87" s="7" t="n">
        <v>0</v>
      </c>
      <c r="X87" s="7" t="n">
        <v>0</v>
      </c>
      <c r="Y87" s="10" t="str">
        <f aca="false">IF(Q87="Yes",IFERROR(W87/V87,"-"),"")</f>
        <v/>
      </c>
      <c r="Z87" s="10" t="str">
        <f aca="false">IF(Q87="Yes",IFERROR(X87/V87,"-"),"")</f>
        <v/>
      </c>
      <c r="AA87" s="7" t="n">
        <v>0</v>
      </c>
    </row>
    <row r="88" customFormat="false" ht="15" hidden="false" customHeight="false" outlineLevel="0" collapsed="false">
      <c r="A88" s="6" t="s">
        <v>185</v>
      </c>
      <c r="B88" s="22" t="n">
        <v>46156</v>
      </c>
      <c r="C88" s="6" t="str">
        <f aca="false">TEXT(B88,"yyyy-mm")</f>
        <v>2026-05</v>
      </c>
      <c r="D88" s="6" t="s">
        <v>52</v>
      </c>
      <c r="E88" s="6" t="s">
        <v>182</v>
      </c>
      <c r="F88" s="22" t="n">
        <v>46167</v>
      </c>
      <c r="G88" s="7" t="n">
        <f aca="false">Summary!$C$5-B88</f>
        <v>164</v>
      </c>
      <c r="H88" s="7" t="n">
        <v>10377.55</v>
      </c>
      <c r="I88" s="7" t="n">
        <v>126254</v>
      </c>
      <c r="J88" s="7" t="n">
        <v>1330</v>
      </c>
      <c r="K88" s="7" t="n">
        <v>7092.06</v>
      </c>
      <c r="L88" s="10" t="n">
        <f aca="false">IFERROR(J88/I88,"-")</f>
        <v>0.0105343197047222</v>
      </c>
      <c r="M88" s="10" t="n">
        <f aca="false">IFERROR(K88/I88,"-")</f>
        <v>0.0561729529361446</v>
      </c>
      <c r="N88" s="7" t="n">
        <f aca="false">IFERROR(H88/I88*1000,"-")</f>
        <v>82.1958116178497</v>
      </c>
      <c r="O88" s="7" t="n">
        <v>3</v>
      </c>
      <c r="P88" s="7" t="n">
        <f aca="false">IFERROR(H88/O88,"-")</f>
        <v>3459.18333333333</v>
      </c>
      <c r="Q88" s="6" t="s">
        <v>90</v>
      </c>
      <c r="R88" s="22"/>
      <c r="S88" s="7" t="str">
        <f aca="false">IF(Q88="Yes",R88-B88,"")</f>
        <v/>
      </c>
      <c r="T88" s="6"/>
      <c r="U88" s="7" t="n">
        <v>0</v>
      </c>
      <c r="V88" s="7" t="n">
        <v>0</v>
      </c>
      <c r="W88" s="7" t="n">
        <v>0</v>
      </c>
      <c r="X88" s="7" t="n">
        <v>0</v>
      </c>
      <c r="Y88" s="10" t="str">
        <f aca="false">IF(Q88="Yes",IFERROR(W88/V88,"-"),"")</f>
        <v/>
      </c>
      <c r="Z88" s="10" t="str">
        <f aca="false">IF(Q88="Yes",IFERROR(X88/V88,"-"),"")</f>
        <v/>
      </c>
      <c r="AA88" s="7" t="n">
        <v>0</v>
      </c>
    </row>
    <row r="89" customFormat="false" ht="15" hidden="false" customHeight="false" outlineLevel="0" collapsed="false">
      <c r="A89" s="6" t="s">
        <v>186</v>
      </c>
      <c r="B89" s="22" t="n">
        <v>46156</v>
      </c>
      <c r="C89" s="6" t="str">
        <f aca="false">TEXT(B89,"yyyy-mm")</f>
        <v>2026-05</v>
      </c>
      <c r="D89" s="6" t="s">
        <v>52</v>
      </c>
      <c r="E89" s="6" t="s">
        <v>180</v>
      </c>
      <c r="F89" s="22" t="n">
        <v>46166</v>
      </c>
      <c r="G89" s="7" t="n">
        <f aca="false">Summary!$C$5-B89</f>
        <v>164</v>
      </c>
      <c r="H89" s="7" t="n">
        <v>1024.7</v>
      </c>
      <c r="I89" s="7" t="n">
        <v>4311</v>
      </c>
      <c r="J89" s="7" t="n">
        <v>6</v>
      </c>
      <c r="K89" s="7" t="n">
        <v>546</v>
      </c>
      <c r="L89" s="10" t="n">
        <f aca="false">IFERROR(J89/I89,"-")</f>
        <v>0.00139178844815588</v>
      </c>
      <c r="M89" s="10" t="n">
        <f aca="false">IFERROR(K89/I89,"-")</f>
        <v>0.126652748782185</v>
      </c>
      <c r="N89" s="7" t="n">
        <f aca="false">IFERROR(H89/I89*1000,"-")</f>
        <v>237.694270470888</v>
      </c>
      <c r="O89" s="7" t="n">
        <v>0</v>
      </c>
      <c r="P89" s="7" t="str">
        <f aca="false">IFERROR(H89/O89,"-")</f>
        <v>-</v>
      </c>
      <c r="Q89" s="6" t="s">
        <v>90</v>
      </c>
      <c r="R89" s="22"/>
      <c r="S89" s="7" t="str">
        <f aca="false">IF(Q89="Yes",R89-B89,"")</f>
        <v/>
      </c>
      <c r="T89" s="6"/>
      <c r="U89" s="7" t="n">
        <v>0</v>
      </c>
      <c r="V89" s="7" t="n">
        <v>0</v>
      </c>
      <c r="W89" s="7" t="n">
        <v>0</v>
      </c>
      <c r="X89" s="7" t="n">
        <v>0</v>
      </c>
      <c r="Y89" s="10" t="str">
        <f aca="false">IF(Q89="Yes",IFERROR(W89/V89,"-"),"")</f>
        <v/>
      </c>
      <c r="Z89" s="10" t="str">
        <f aca="false">IF(Q89="Yes",IFERROR(X89/V89,"-"),"")</f>
        <v/>
      </c>
      <c r="AA89" s="7" t="n">
        <v>0</v>
      </c>
    </row>
    <row r="90" customFormat="false" ht="15" hidden="false" customHeight="false" outlineLevel="0" collapsed="false">
      <c r="A90" s="6" t="s">
        <v>187</v>
      </c>
      <c r="B90" s="22" t="n">
        <v>46157</v>
      </c>
      <c r="C90" s="6" t="str">
        <f aca="false">TEXT(B90,"yyyy-mm")</f>
        <v>2026-05</v>
      </c>
      <c r="D90" s="6" t="s">
        <v>52</v>
      </c>
      <c r="E90" s="6" t="s">
        <v>104</v>
      </c>
      <c r="F90" s="22" t="n">
        <v>46160</v>
      </c>
      <c r="G90" s="7" t="n">
        <f aca="false">Summary!$C$5-B90</f>
        <v>163</v>
      </c>
      <c r="H90" s="7" t="n">
        <v>13048.19</v>
      </c>
      <c r="I90" s="7" t="n">
        <v>78892</v>
      </c>
      <c r="J90" s="7" t="n">
        <v>630</v>
      </c>
      <c r="K90" s="7" t="n">
        <v>32617</v>
      </c>
      <c r="L90" s="10" t="n">
        <f aca="false">IFERROR(J90/I90,"-")</f>
        <v>0.00798560056786493</v>
      </c>
      <c r="M90" s="10" t="n">
        <f aca="false">IFERROR(K90/I90,"-")</f>
        <v>0.413438624955636</v>
      </c>
      <c r="N90" s="7" t="n">
        <f aca="false">IFERROR(H90/I90*1000,"-")</f>
        <v>165.393069005729</v>
      </c>
      <c r="O90" s="7" t="n">
        <v>1</v>
      </c>
      <c r="P90" s="7" t="n">
        <f aca="false">IFERROR(H90/O90,"-")</f>
        <v>13048.19</v>
      </c>
      <c r="Q90" s="6" t="s">
        <v>90</v>
      </c>
      <c r="R90" s="22"/>
      <c r="S90" s="7" t="str">
        <f aca="false">IF(Q90="Yes",R90-B90,"")</f>
        <v/>
      </c>
      <c r="T90" s="6"/>
      <c r="U90" s="7" t="n">
        <v>0</v>
      </c>
      <c r="V90" s="7" t="n">
        <v>0</v>
      </c>
      <c r="W90" s="7" t="n">
        <v>0</v>
      </c>
      <c r="X90" s="7" t="n">
        <v>0</v>
      </c>
      <c r="Y90" s="10" t="str">
        <f aca="false">IF(Q90="Yes",IFERROR(W90/V90,"-"),"")</f>
        <v/>
      </c>
      <c r="Z90" s="10" t="str">
        <f aca="false">IF(Q90="Yes",IFERROR(X90/V90,"-"),"")</f>
        <v/>
      </c>
      <c r="AA90" s="7" t="n">
        <v>0</v>
      </c>
    </row>
    <row r="91" customFormat="false" ht="15" hidden="false" customHeight="false" outlineLevel="0" collapsed="false">
      <c r="A91" s="6" t="s">
        <v>188</v>
      </c>
      <c r="B91" s="22" t="n">
        <v>46161</v>
      </c>
      <c r="C91" s="6" t="str">
        <f aca="false">TEXT(B91,"yyyy-mm")</f>
        <v>2026-05</v>
      </c>
      <c r="D91" s="6" t="s">
        <v>54</v>
      </c>
      <c r="E91" s="6" t="s">
        <v>189</v>
      </c>
      <c r="F91" s="22" t="n">
        <v>46206</v>
      </c>
      <c r="G91" s="7" t="n">
        <f aca="false">Summary!$C$5-B91</f>
        <v>159</v>
      </c>
      <c r="H91" s="7" t="n">
        <v>185775.74</v>
      </c>
      <c r="I91" s="7" t="n">
        <v>58324112</v>
      </c>
      <c r="J91" s="7" t="n">
        <v>28947</v>
      </c>
      <c r="K91" s="7" t="n">
        <v>3275035.75</v>
      </c>
      <c r="L91" s="10" t="n">
        <f aca="false">IFERROR(J91/I91,"-")</f>
        <v>0.000496312742832673</v>
      </c>
      <c r="M91" s="10" t="n">
        <f aca="false">IFERROR(K91/I91,"-")</f>
        <v>0.0561523465629447</v>
      </c>
      <c r="N91" s="7" t="n">
        <f aca="false">IFERROR(H91/I91*1000,"-")</f>
        <v>3.18523049266485</v>
      </c>
      <c r="O91" s="7" t="n">
        <v>0</v>
      </c>
      <c r="P91" s="7" t="str">
        <f aca="false">IFERROR(H91/O91,"-")</f>
        <v>-</v>
      </c>
      <c r="Q91" s="6" t="s">
        <v>90</v>
      </c>
      <c r="R91" s="22"/>
      <c r="S91" s="7" t="str">
        <f aca="false">IF(Q91="Yes",R91-B91,"")</f>
        <v/>
      </c>
      <c r="T91" s="6"/>
      <c r="U91" s="7" t="n">
        <v>0</v>
      </c>
      <c r="V91" s="7" t="n">
        <v>0</v>
      </c>
      <c r="W91" s="7" t="n">
        <v>0</v>
      </c>
      <c r="X91" s="7" t="n">
        <v>0</v>
      </c>
      <c r="Y91" s="10" t="str">
        <f aca="false">IF(Q91="Yes",IFERROR(W91/V91,"-"),"")</f>
        <v/>
      </c>
      <c r="Z91" s="10" t="str">
        <f aca="false">IF(Q91="Yes",IFERROR(X91/V91,"-"),"")</f>
        <v/>
      </c>
      <c r="AA91" s="7" t="n">
        <v>0</v>
      </c>
    </row>
    <row r="92" customFormat="false" ht="15" hidden="false" customHeight="false" outlineLevel="0" collapsed="false">
      <c r="A92" s="6" t="s">
        <v>190</v>
      </c>
      <c r="B92" s="22" t="n">
        <v>46161</v>
      </c>
      <c r="C92" s="6" t="str">
        <f aca="false">TEXT(B92,"yyyy-mm")</f>
        <v>2026-05</v>
      </c>
      <c r="D92" s="6" t="s">
        <v>52</v>
      </c>
      <c r="E92" s="6" t="s">
        <v>104</v>
      </c>
      <c r="F92" s="22" t="n">
        <v>46168</v>
      </c>
      <c r="G92" s="7" t="n">
        <f aca="false">Summary!$C$5-B92</f>
        <v>159</v>
      </c>
      <c r="H92" s="7" t="n">
        <v>4884.38</v>
      </c>
      <c r="I92" s="7" t="n">
        <v>28369</v>
      </c>
      <c r="J92" s="7" t="n">
        <v>65</v>
      </c>
      <c r="K92" s="7" t="n">
        <v>7076.05</v>
      </c>
      <c r="L92" s="10" t="n">
        <f aca="false">IFERROR(J92/I92,"-")</f>
        <v>0.00229123338855793</v>
      </c>
      <c r="M92" s="10" t="n">
        <f aca="false">IFERROR(K92/I92,"-")</f>
        <v>0.249428954140082</v>
      </c>
      <c r="N92" s="7" t="n">
        <f aca="false">IFERROR(H92/I92*1000,"-")</f>
        <v>172.173146744686</v>
      </c>
      <c r="O92" s="7" t="n">
        <v>3</v>
      </c>
      <c r="P92" s="7" t="n">
        <f aca="false">IFERROR(H92/O92,"-")</f>
        <v>1628.12666666667</v>
      </c>
      <c r="Q92" s="6" t="s">
        <v>100</v>
      </c>
      <c r="R92" s="22" t="n">
        <v>46168</v>
      </c>
      <c r="S92" s="7" t="n">
        <f aca="false">IF(Q92="Yes",R92-B92,"")</f>
        <v>7</v>
      </c>
      <c r="T92" s="6" t="s">
        <v>53</v>
      </c>
      <c r="U92" s="7" t="n">
        <v>325387.68</v>
      </c>
      <c r="V92" s="7" t="n">
        <v>3490300</v>
      </c>
      <c r="W92" s="7" t="n">
        <v>14615</v>
      </c>
      <c r="X92" s="7" t="n">
        <v>819920.32</v>
      </c>
      <c r="Y92" s="10" t="n">
        <f aca="false">IF(Q92="Yes",IFERROR(W92/V92,"-"),"")</f>
        <v>0.00418731914162106</v>
      </c>
      <c r="Z92" s="10" t="n">
        <f aca="false">IF(Q92="Yes",IFERROR(X92/V92,"-"),"")</f>
        <v>0.234913995931582</v>
      </c>
      <c r="AA92" s="7" t="n">
        <v>38</v>
      </c>
    </row>
    <row r="93" customFormat="false" ht="15" hidden="false" customHeight="false" outlineLevel="0" collapsed="false">
      <c r="A93" s="6" t="s">
        <v>191</v>
      </c>
      <c r="B93" s="22" t="n">
        <v>46161</v>
      </c>
      <c r="C93" s="6" t="str">
        <f aca="false">TEXT(B93,"yyyy-mm")</f>
        <v>2026-05</v>
      </c>
      <c r="D93" s="6" t="s">
        <v>52</v>
      </c>
      <c r="E93" s="6" t="s">
        <v>104</v>
      </c>
      <c r="F93" s="22" t="n">
        <v>46167</v>
      </c>
      <c r="G93" s="7" t="n">
        <f aca="false">Summary!$C$5-B93</f>
        <v>159</v>
      </c>
      <c r="H93" s="7" t="n">
        <v>1416.12</v>
      </c>
      <c r="I93" s="7" t="n">
        <v>3867</v>
      </c>
      <c r="J93" s="7" t="n">
        <v>10</v>
      </c>
      <c r="K93" s="7" t="n">
        <v>366</v>
      </c>
      <c r="L93" s="10" t="n">
        <f aca="false">IFERROR(J93/I93,"-")</f>
        <v>0.00258598396689941</v>
      </c>
      <c r="M93" s="10" t="n">
        <f aca="false">IFERROR(K93/I93,"-")</f>
        <v>0.0946470131885182</v>
      </c>
      <c r="N93" s="7" t="n">
        <f aca="false">IFERROR(H93/I93*1000,"-")</f>
        <v>366.206361520559</v>
      </c>
      <c r="O93" s="7" t="n">
        <v>0</v>
      </c>
      <c r="P93" s="7" t="str">
        <f aca="false">IFERROR(H93/O93,"-")</f>
        <v>-</v>
      </c>
      <c r="Q93" s="6" t="s">
        <v>90</v>
      </c>
      <c r="R93" s="22"/>
      <c r="S93" s="7" t="str">
        <f aca="false">IF(Q93="Yes",R93-B93,"")</f>
        <v/>
      </c>
      <c r="T93" s="6"/>
      <c r="U93" s="7" t="n">
        <v>0</v>
      </c>
      <c r="V93" s="7" t="n">
        <v>0</v>
      </c>
      <c r="W93" s="7" t="n">
        <v>0</v>
      </c>
      <c r="X93" s="7" t="n">
        <v>0</v>
      </c>
      <c r="Y93" s="10" t="str">
        <f aca="false">IF(Q93="Yes",IFERROR(W93/V93,"-"),"")</f>
        <v/>
      </c>
      <c r="Z93" s="10" t="str">
        <f aca="false">IF(Q93="Yes",IFERROR(X93/V93,"-"),"")</f>
        <v/>
      </c>
      <c r="AA93" s="7" t="n">
        <v>0</v>
      </c>
    </row>
    <row r="94" customFormat="false" ht="15" hidden="false" customHeight="false" outlineLevel="0" collapsed="false">
      <c r="A94" s="6" t="s">
        <v>192</v>
      </c>
      <c r="B94" s="22" t="n">
        <v>46161</v>
      </c>
      <c r="C94" s="6" t="str">
        <f aca="false">TEXT(B94,"yyyy-mm")</f>
        <v>2026-05</v>
      </c>
      <c r="D94" s="6" t="s">
        <v>52</v>
      </c>
      <c r="E94" s="6" t="s">
        <v>104</v>
      </c>
      <c r="F94" s="22" t="n">
        <v>46168</v>
      </c>
      <c r="G94" s="7" t="n">
        <f aca="false">Summary!$C$5-B94</f>
        <v>159</v>
      </c>
      <c r="H94" s="7" t="n">
        <v>4143.66</v>
      </c>
      <c r="I94" s="7" t="n">
        <v>20733</v>
      </c>
      <c r="J94" s="7" t="n">
        <v>39</v>
      </c>
      <c r="K94" s="7" t="n">
        <v>4007.99</v>
      </c>
      <c r="L94" s="10" t="n">
        <f aca="false">IFERROR(J94/I94,"-")</f>
        <v>0.00188105918101577</v>
      </c>
      <c r="M94" s="10" t="n">
        <f aca="false">IFERROR(K94/I94,"-")</f>
        <v>0.193314522741523</v>
      </c>
      <c r="N94" s="7" t="n">
        <f aca="false">IFERROR(H94/I94*1000,"-")</f>
        <v>199.858197077123</v>
      </c>
      <c r="O94" s="7" t="n">
        <v>2</v>
      </c>
      <c r="P94" s="7" t="n">
        <f aca="false">IFERROR(H94/O94,"-")</f>
        <v>2071.83</v>
      </c>
      <c r="Q94" s="6" t="s">
        <v>100</v>
      </c>
      <c r="R94" s="22" t="n">
        <v>46168</v>
      </c>
      <c r="S94" s="7" t="n">
        <f aca="false">IF(Q94="Yes",R94-B94,"")</f>
        <v>7</v>
      </c>
      <c r="T94" s="6" t="s">
        <v>53</v>
      </c>
      <c r="U94" s="7" t="n">
        <v>43598.68</v>
      </c>
      <c r="V94" s="7" t="n">
        <v>309817</v>
      </c>
      <c r="W94" s="7" t="n">
        <v>1147</v>
      </c>
      <c r="X94" s="7" t="n">
        <v>60966.97</v>
      </c>
      <c r="Y94" s="10" t="n">
        <f aca="false">IF(Q94="Yes",IFERROR(W94/V94,"-"),"")</f>
        <v>0.00370218548368876</v>
      </c>
      <c r="Z94" s="10" t="n">
        <f aca="false">IF(Q94="Yes",IFERROR(X94/V94,"-"),"")</f>
        <v>0.196783811088481</v>
      </c>
      <c r="AA94" s="7" t="n">
        <v>4</v>
      </c>
    </row>
    <row r="95" customFormat="false" ht="15" hidden="false" customHeight="false" outlineLevel="0" collapsed="false">
      <c r="A95" s="6" t="s">
        <v>193</v>
      </c>
      <c r="B95" s="22" t="n">
        <v>46161</v>
      </c>
      <c r="C95" s="6" t="str">
        <f aca="false">TEXT(B95,"yyyy-mm")</f>
        <v>2026-05</v>
      </c>
      <c r="D95" s="6" t="s">
        <v>52</v>
      </c>
      <c r="E95" s="6" t="s">
        <v>104</v>
      </c>
      <c r="F95" s="22" t="n">
        <v>46167</v>
      </c>
      <c r="G95" s="7" t="n">
        <f aca="false">Summary!$C$5-B95</f>
        <v>159</v>
      </c>
      <c r="H95" s="7" t="n">
        <v>2936.21</v>
      </c>
      <c r="I95" s="7" t="n">
        <v>13408</v>
      </c>
      <c r="J95" s="7" t="n">
        <v>23</v>
      </c>
      <c r="K95" s="7" t="n">
        <v>3172</v>
      </c>
      <c r="L95" s="10" t="n">
        <f aca="false">IFERROR(J95/I95,"-")</f>
        <v>0.0017153937947494</v>
      </c>
      <c r="M95" s="10" t="n">
        <f aca="false">IFERROR(K95/I95,"-")</f>
        <v>0.236575178997613</v>
      </c>
      <c r="N95" s="7" t="n">
        <f aca="false">IFERROR(H95/I95*1000,"-")</f>
        <v>218.989409307876</v>
      </c>
      <c r="O95" s="7" t="n">
        <v>0</v>
      </c>
      <c r="P95" s="7" t="str">
        <f aca="false">IFERROR(H95/O95,"-")</f>
        <v>-</v>
      </c>
      <c r="Q95" s="6" t="s">
        <v>90</v>
      </c>
      <c r="R95" s="22"/>
      <c r="S95" s="7" t="str">
        <f aca="false">IF(Q95="Yes",R95-B95,"")</f>
        <v/>
      </c>
      <c r="T95" s="6"/>
      <c r="U95" s="7" t="n">
        <v>0</v>
      </c>
      <c r="V95" s="7" t="n">
        <v>0</v>
      </c>
      <c r="W95" s="7" t="n">
        <v>0</v>
      </c>
      <c r="X95" s="7" t="n">
        <v>0</v>
      </c>
      <c r="Y95" s="10" t="str">
        <f aca="false">IF(Q95="Yes",IFERROR(W95/V95,"-"),"")</f>
        <v/>
      </c>
      <c r="Z95" s="10" t="str">
        <f aca="false">IF(Q95="Yes",IFERROR(X95/V95,"-"),"")</f>
        <v/>
      </c>
      <c r="AA95" s="7" t="n">
        <v>0</v>
      </c>
    </row>
    <row r="96" customFormat="false" ht="15" hidden="false" customHeight="false" outlineLevel="0" collapsed="false">
      <c r="A96" s="6" t="s">
        <v>194</v>
      </c>
      <c r="B96" s="22" t="n">
        <v>46162</v>
      </c>
      <c r="C96" s="6" t="str">
        <f aca="false">TEXT(B96,"yyyy-mm")</f>
        <v>2026-05</v>
      </c>
      <c r="D96" s="6" t="s">
        <v>52</v>
      </c>
      <c r="E96" s="6" t="s">
        <v>104</v>
      </c>
      <c r="F96" s="22" t="n">
        <v>46168</v>
      </c>
      <c r="G96" s="7" t="n">
        <f aca="false">Summary!$C$5-B96</f>
        <v>158</v>
      </c>
      <c r="H96" s="7" t="n">
        <v>21595.85</v>
      </c>
      <c r="I96" s="7" t="n">
        <v>93717</v>
      </c>
      <c r="J96" s="7" t="n">
        <v>274</v>
      </c>
      <c r="K96" s="7" t="n">
        <v>18809.76</v>
      </c>
      <c r="L96" s="10" t="n">
        <f aca="false">IFERROR(J96/I96,"-")</f>
        <v>0.00292369580759094</v>
      </c>
      <c r="M96" s="10" t="n">
        <f aca="false">IFERROR(K96/I96,"-")</f>
        <v>0.200708089247415</v>
      </c>
      <c r="N96" s="7" t="n">
        <f aca="false">IFERROR(H96/I96*1000,"-")</f>
        <v>230.436847103514</v>
      </c>
      <c r="O96" s="7" t="n">
        <v>2</v>
      </c>
      <c r="P96" s="7" t="n">
        <f aca="false">IFERROR(H96/O96,"-")</f>
        <v>10797.925</v>
      </c>
      <c r="Q96" s="6" t="s">
        <v>100</v>
      </c>
      <c r="R96" s="22" t="n">
        <v>46168</v>
      </c>
      <c r="S96" s="7" t="n">
        <f aca="false">IF(Q96="Yes",R96-B96,"")</f>
        <v>6</v>
      </c>
      <c r="T96" s="6" t="s">
        <v>53</v>
      </c>
      <c r="U96" s="7" t="n">
        <v>36520.86</v>
      </c>
      <c r="V96" s="7" t="n">
        <v>377613</v>
      </c>
      <c r="W96" s="7" t="n">
        <v>2349</v>
      </c>
      <c r="X96" s="7" t="n">
        <v>69722.69</v>
      </c>
      <c r="Y96" s="10" t="n">
        <f aca="false">IF(Q96="Yes",IFERROR(W96/V96,"-"),"")</f>
        <v>0.00622065447958624</v>
      </c>
      <c r="Z96" s="10" t="n">
        <f aca="false">IF(Q96="Yes",IFERROR(X96/V96,"-"),"")</f>
        <v>0.184640597648916</v>
      </c>
      <c r="AA96" s="7" t="n">
        <v>2</v>
      </c>
    </row>
    <row r="97" customFormat="false" ht="15" hidden="false" customHeight="false" outlineLevel="0" collapsed="false">
      <c r="A97" s="6" t="s">
        <v>195</v>
      </c>
      <c r="B97" s="22" t="n">
        <v>46162</v>
      </c>
      <c r="C97" s="6" t="str">
        <f aca="false">TEXT(B97,"yyyy-mm")</f>
        <v>2026-05</v>
      </c>
      <c r="D97" s="6" t="s">
        <v>52</v>
      </c>
      <c r="E97" s="6" t="s">
        <v>104</v>
      </c>
      <c r="F97" s="22" t="n">
        <v>46167</v>
      </c>
      <c r="G97" s="7" t="n">
        <f aca="false">Summary!$C$5-B97</f>
        <v>158</v>
      </c>
      <c r="H97" s="7" t="n">
        <v>2153.42</v>
      </c>
      <c r="I97" s="7" t="n">
        <v>4265</v>
      </c>
      <c r="J97" s="7" t="n">
        <v>13</v>
      </c>
      <c r="K97" s="7" t="n">
        <v>477</v>
      </c>
      <c r="L97" s="10" t="n">
        <f aca="false">IFERROR(J97/I97,"-")</f>
        <v>0.00304806565064478</v>
      </c>
      <c r="M97" s="10" t="n">
        <f aca="false">IFERROR(K97/I97,"-")</f>
        <v>0.111840562719812</v>
      </c>
      <c r="N97" s="7" t="n">
        <f aca="false">IFERROR(H97/I97*1000,"-")</f>
        <v>504.905041031653</v>
      </c>
      <c r="O97" s="7" t="n">
        <v>0</v>
      </c>
      <c r="P97" s="7" t="str">
        <f aca="false">IFERROR(H97/O97,"-")</f>
        <v>-</v>
      </c>
      <c r="Q97" s="6" t="s">
        <v>90</v>
      </c>
      <c r="R97" s="22"/>
      <c r="S97" s="7" t="str">
        <f aca="false">IF(Q97="Yes",R97-B97,"")</f>
        <v/>
      </c>
      <c r="T97" s="6"/>
      <c r="U97" s="7" t="n">
        <v>0</v>
      </c>
      <c r="V97" s="7" t="n">
        <v>0</v>
      </c>
      <c r="W97" s="7" t="n">
        <v>0</v>
      </c>
      <c r="X97" s="7" t="n">
        <v>0</v>
      </c>
      <c r="Y97" s="10" t="str">
        <f aca="false">IF(Q97="Yes",IFERROR(W97/V97,"-"),"")</f>
        <v/>
      </c>
      <c r="Z97" s="10" t="str">
        <f aca="false">IF(Q97="Yes",IFERROR(X97/V97,"-"),"")</f>
        <v/>
      </c>
      <c r="AA97" s="7" t="n">
        <v>0</v>
      </c>
    </row>
    <row r="98" customFormat="false" ht="15" hidden="false" customHeight="false" outlineLevel="0" collapsed="false">
      <c r="A98" s="6" t="s">
        <v>196</v>
      </c>
      <c r="B98" s="22" t="n">
        <v>46162</v>
      </c>
      <c r="C98" s="6" t="str">
        <f aca="false">TEXT(B98,"yyyy-mm")</f>
        <v>2026-05</v>
      </c>
      <c r="D98" s="6" t="s">
        <v>52</v>
      </c>
      <c r="E98" s="6" t="s">
        <v>99</v>
      </c>
      <c r="F98" s="22" t="n">
        <v>46167</v>
      </c>
      <c r="G98" s="7" t="n">
        <f aca="false">Summary!$C$5-B98</f>
        <v>158</v>
      </c>
      <c r="H98" s="7" t="n">
        <v>27943.31</v>
      </c>
      <c r="I98" s="7" t="n">
        <v>64020</v>
      </c>
      <c r="J98" s="7" t="n">
        <v>297</v>
      </c>
      <c r="K98" s="7" t="n">
        <v>6897.91</v>
      </c>
      <c r="L98" s="10" t="n">
        <f aca="false">IFERROR(J98/I98,"-")</f>
        <v>0.00463917525773196</v>
      </c>
      <c r="M98" s="10" t="n">
        <f aca="false">IFERROR(K98/I98,"-")</f>
        <v>0.107746173070915</v>
      </c>
      <c r="N98" s="7" t="n">
        <f aca="false">IFERROR(H98/I98*1000,"-")</f>
        <v>436.477819431428</v>
      </c>
      <c r="O98" s="7" t="n">
        <v>9</v>
      </c>
      <c r="P98" s="7" t="n">
        <f aca="false">IFERROR(H98/O98,"-")</f>
        <v>3104.81222222222</v>
      </c>
      <c r="Q98" s="6" t="s">
        <v>90</v>
      </c>
      <c r="R98" s="22"/>
      <c r="S98" s="7" t="str">
        <f aca="false">IF(Q98="Yes",R98-B98,"")</f>
        <v/>
      </c>
      <c r="T98" s="6"/>
      <c r="U98" s="7" t="n">
        <v>0</v>
      </c>
      <c r="V98" s="7" t="n">
        <v>0</v>
      </c>
      <c r="W98" s="7" t="n">
        <v>0</v>
      </c>
      <c r="X98" s="7" t="n">
        <v>0</v>
      </c>
      <c r="Y98" s="10" t="str">
        <f aca="false">IF(Q98="Yes",IFERROR(W98/V98,"-"),"")</f>
        <v/>
      </c>
      <c r="Z98" s="10" t="str">
        <f aca="false">IF(Q98="Yes",IFERROR(X98/V98,"-"),"")</f>
        <v/>
      </c>
      <c r="AA98" s="7" t="n">
        <v>0</v>
      </c>
    </row>
    <row r="99" customFormat="false" ht="15" hidden="false" customHeight="false" outlineLevel="0" collapsed="false">
      <c r="A99" s="6" t="s">
        <v>197</v>
      </c>
      <c r="B99" s="22" t="n">
        <v>46168</v>
      </c>
      <c r="C99" s="6" t="str">
        <f aca="false">TEXT(B99,"yyyy-mm")</f>
        <v>2026-05</v>
      </c>
      <c r="D99" s="6" t="s">
        <v>52</v>
      </c>
      <c r="E99" s="6" t="s">
        <v>104</v>
      </c>
      <c r="F99" s="22" t="n">
        <v>46174</v>
      </c>
      <c r="G99" s="7" t="n">
        <f aca="false">Summary!$C$5-B99</f>
        <v>152</v>
      </c>
      <c r="H99" s="7" t="n">
        <v>1315.24</v>
      </c>
      <c r="I99" s="7" t="n">
        <v>3991</v>
      </c>
      <c r="J99" s="7" t="n">
        <v>6</v>
      </c>
      <c r="K99" s="7" t="n">
        <v>465.96</v>
      </c>
      <c r="L99" s="10" t="n">
        <f aca="false">IFERROR(J99/I99,"-")</f>
        <v>0.00150338261087447</v>
      </c>
      <c r="M99" s="10" t="n">
        <f aca="false">IFERROR(K99/I99,"-")</f>
        <v>0.116752693560511</v>
      </c>
      <c r="N99" s="7" t="n">
        <f aca="false">IFERROR(H99/I99*1000,"-")</f>
        <v>329.551490854422</v>
      </c>
      <c r="O99" s="7" t="n">
        <v>0</v>
      </c>
      <c r="P99" s="7" t="str">
        <f aca="false">IFERROR(H99/O99,"-")</f>
        <v>-</v>
      </c>
      <c r="Q99" s="6" t="s">
        <v>90</v>
      </c>
      <c r="R99" s="22"/>
      <c r="S99" s="7" t="str">
        <f aca="false">IF(Q99="Yes",R99-B99,"")</f>
        <v/>
      </c>
      <c r="T99" s="6"/>
      <c r="U99" s="7" t="n">
        <v>0</v>
      </c>
      <c r="V99" s="7" t="n">
        <v>0</v>
      </c>
      <c r="W99" s="7" t="n">
        <v>0</v>
      </c>
      <c r="X99" s="7" t="n">
        <v>0</v>
      </c>
      <c r="Y99" s="10" t="str">
        <f aca="false">IF(Q99="Yes",IFERROR(W99/V99,"-"),"")</f>
        <v/>
      </c>
      <c r="Z99" s="10" t="str">
        <f aca="false">IF(Q99="Yes",IFERROR(X99/V99,"-"),"")</f>
        <v/>
      </c>
      <c r="AA99" s="7" t="n">
        <v>0</v>
      </c>
    </row>
    <row r="100" customFormat="false" ht="15" hidden="false" customHeight="false" outlineLevel="0" collapsed="false">
      <c r="A100" s="6" t="s">
        <v>198</v>
      </c>
      <c r="B100" s="22" t="n">
        <v>46168</v>
      </c>
      <c r="C100" s="6" t="str">
        <f aca="false">TEXT(B100,"yyyy-mm")</f>
        <v>2026-05</v>
      </c>
      <c r="D100" s="6" t="s">
        <v>52</v>
      </c>
      <c r="E100" s="6" t="s">
        <v>104</v>
      </c>
      <c r="F100" s="22" t="n">
        <v>46174</v>
      </c>
      <c r="G100" s="7" t="n">
        <f aca="false">Summary!$C$5-B100</f>
        <v>152</v>
      </c>
      <c r="H100" s="7" t="n">
        <v>3595.3</v>
      </c>
      <c r="I100" s="7" t="n">
        <v>18671</v>
      </c>
      <c r="J100" s="7" t="n">
        <v>38</v>
      </c>
      <c r="K100" s="7" t="n">
        <v>2406.19</v>
      </c>
      <c r="L100" s="10" t="n">
        <f aca="false">IFERROR(J100/I100,"-")</f>
        <v>0.00203524181886348</v>
      </c>
      <c r="M100" s="10" t="n">
        <f aca="false">IFERROR(K100/I100,"-")</f>
        <v>0.128873118740292</v>
      </c>
      <c r="N100" s="7" t="n">
        <f aca="false">IFERROR(H100/I100*1000,"-")</f>
        <v>192.560655562102</v>
      </c>
      <c r="O100" s="7" t="n">
        <v>2</v>
      </c>
      <c r="P100" s="7" t="n">
        <f aca="false">IFERROR(H100/O100,"-")</f>
        <v>1797.65</v>
      </c>
      <c r="Q100" s="6" t="s">
        <v>90</v>
      </c>
      <c r="R100" s="22"/>
      <c r="S100" s="7" t="str">
        <f aca="false">IF(Q100="Yes",R100-B100,"")</f>
        <v/>
      </c>
      <c r="T100" s="6"/>
      <c r="U100" s="7" t="n">
        <v>0</v>
      </c>
      <c r="V100" s="7" t="n">
        <v>0</v>
      </c>
      <c r="W100" s="7" t="n">
        <v>0</v>
      </c>
      <c r="X100" s="7" t="n">
        <v>0</v>
      </c>
      <c r="Y100" s="10" t="str">
        <f aca="false">IF(Q100="Yes",IFERROR(W100/V100,"-"),"")</f>
        <v/>
      </c>
      <c r="Z100" s="10" t="str">
        <f aca="false">IF(Q100="Yes",IFERROR(X100/V100,"-"),"")</f>
        <v/>
      </c>
      <c r="AA100" s="7" t="n">
        <v>0</v>
      </c>
    </row>
    <row r="101" customFormat="false" ht="15" hidden="false" customHeight="false" outlineLevel="0" collapsed="false">
      <c r="A101" s="6" t="s">
        <v>199</v>
      </c>
      <c r="B101" s="22" t="n">
        <v>46168</v>
      </c>
      <c r="C101" s="6" t="str">
        <f aca="false">TEXT(B101,"yyyy-mm")</f>
        <v>2026-05</v>
      </c>
      <c r="D101" s="6" t="s">
        <v>52</v>
      </c>
      <c r="E101" s="6" t="s">
        <v>104</v>
      </c>
      <c r="F101" s="22" t="n">
        <v>46174</v>
      </c>
      <c r="G101" s="7" t="n">
        <f aca="false">Summary!$C$5-B101</f>
        <v>152</v>
      </c>
      <c r="H101" s="7" t="n">
        <v>26920.8</v>
      </c>
      <c r="I101" s="7" t="n">
        <v>119961</v>
      </c>
      <c r="J101" s="7" t="n">
        <v>370</v>
      </c>
      <c r="K101" s="7" t="n">
        <v>20539.95</v>
      </c>
      <c r="L101" s="10" t="n">
        <f aca="false">IFERROR(J101/I101,"-")</f>
        <v>0.00308433574244963</v>
      </c>
      <c r="M101" s="10" t="n">
        <f aca="false">IFERROR(K101/I101,"-")</f>
        <v>0.171221897116563</v>
      </c>
      <c r="N101" s="7" t="n">
        <f aca="false">IFERROR(H101/I101*1000,"-")</f>
        <v>224.412934203616</v>
      </c>
      <c r="O101" s="7" t="n">
        <v>6</v>
      </c>
      <c r="P101" s="7" t="n">
        <f aca="false">IFERROR(H101/O101,"-")</f>
        <v>4486.8</v>
      </c>
      <c r="Q101" s="6" t="s">
        <v>90</v>
      </c>
      <c r="R101" s="22"/>
      <c r="S101" s="7" t="str">
        <f aca="false">IF(Q101="Yes",R101-B101,"")</f>
        <v/>
      </c>
      <c r="T101" s="6"/>
      <c r="U101" s="7" t="n">
        <v>0</v>
      </c>
      <c r="V101" s="7" t="n">
        <v>0</v>
      </c>
      <c r="W101" s="7" t="n">
        <v>0</v>
      </c>
      <c r="X101" s="7" t="n">
        <v>0</v>
      </c>
      <c r="Y101" s="10" t="str">
        <f aca="false">IF(Q101="Yes",IFERROR(W101/V101,"-"),"")</f>
        <v/>
      </c>
      <c r="Z101" s="10" t="str">
        <f aca="false">IF(Q101="Yes",IFERROR(X101/V101,"-"),"")</f>
        <v/>
      </c>
      <c r="AA101" s="7" t="n">
        <v>0</v>
      </c>
    </row>
    <row r="102" customFormat="false" ht="15" hidden="false" customHeight="false" outlineLevel="0" collapsed="false">
      <c r="A102" s="6" t="s">
        <v>200</v>
      </c>
      <c r="B102" s="22" t="n">
        <v>46168</v>
      </c>
      <c r="C102" s="6" t="str">
        <f aca="false">TEXT(B102,"yyyy-mm")</f>
        <v>2026-05</v>
      </c>
      <c r="D102" s="6" t="s">
        <v>52</v>
      </c>
      <c r="E102" s="6" t="s">
        <v>148</v>
      </c>
      <c r="F102" s="22" t="n">
        <v>46174</v>
      </c>
      <c r="G102" s="7" t="n">
        <f aca="false">Summary!$C$5-B102</f>
        <v>152</v>
      </c>
      <c r="H102" s="7" t="n">
        <v>21673.74</v>
      </c>
      <c r="I102" s="7" t="n">
        <v>59355</v>
      </c>
      <c r="J102" s="7" t="n">
        <v>366</v>
      </c>
      <c r="K102" s="7" t="n">
        <v>0</v>
      </c>
      <c r="L102" s="10" t="n">
        <f aca="false">IFERROR(J102/I102,"-")</f>
        <v>0.00616628759160981</v>
      </c>
      <c r="M102" s="10" t="n">
        <f aca="false">IFERROR(K102/I102,"-")</f>
        <v>0</v>
      </c>
      <c r="N102" s="7" t="n">
        <f aca="false">IFERROR(H102/I102*1000,"-")</f>
        <v>365.154409906495</v>
      </c>
      <c r="O102" s="7" t="n">
        <v>0</v>
      </c>
      <c r="P102" s="7" t="str">
        <f aca="false">IFERROR(H102/O102,"-")</f>
        <v>-</v>
      </c>
      <c r="Q102" s="6" t="s">
        <v>90</v>
      </c>
      <c r="R102" s="22"/>
      <c r="S102" s="7" t="str">
        <f aca="false">IF(Q102="Yes",R102-B102,"")</f>
        <v/>
      </c>
      <c r="T102" s="6"/>
      <c r="U102" s="7" t="n">
        <v>0</v>
      </c>
      <c r="V102" s="7" t="n">
        <v>0</v>
      </c>
      <c r="W102" s="7" t="n">
        <v>0</v>
      </c>
      <c r="X102" s="7" t="n">
        <v>0</v>
      </c>
      <c r="Y102" s="10" t="str">
        <f aca="false">IF(Q102="Yes",IFERROR(W102/V102,"-"),"")</f>
        <v/>
      </c>
      <c r="Z102" s="10" t="str">
        <f aca="false">IF(Q102="Yes",IFERROR(X102/V102,"-"),"")</f>
        <v/>
      </c>
      <c r="AA102" s="7" t="n">
        <v>0</v>
      </c>
    </row>
    <row r="103" customFormat="false" ht="15" hidden="false" customHeight="false" outlineLevel="0" collapsed="false">
      <c r="A103" s="6" t="s">
        <v>201</v>
      </c>
      <c r="B103" s="22" t="n">
        <v>46168</v>
      </c>
      <c r="C103" s="6" t="str">
        <f aca="false">TEXT(B103,"yyyy-mm")</f>
        <v>2026-05</v>
      </c>
      <c r="D103" s="6" t="s">
        <v>52</v>
      </c>
      <c r="E103" s="6" t="s">
        <v>99</v>
      </c>
      <c r="F103" s="22" t="n">
        <v>46175</v>
      </c>
      <c r="G103" s="7" t="n">
        <f aca="false">Summary!$C$5-B103</f>
        <v>152</v>
      </c>
      <c r="H103" s="7" t="n">
        <v>1989.46</v>
      </c>
      <c r="I103" s="7" t="n">
        <v>5241</v>
      </c>
      <c r="J103" s="7" t="n">
        <v>23</v>
      </c>
      <c r="K103" s="7" t="n">
        <v>705.95</v>
      </c>
      <c r="L103" s="10" t="n">
        <f aca="false">IFERROR(J103/I103,"-")</f>
        <v>0.00438847548177829</v>
      </c>
      <c r="M103" s="10" t="n">
        <f aca="false">IFERROR(K103/I103,"-")</f>
        <v>0.134697576798321</v>
      </c>
      <c r="N103" s="7" t="n">
        <f aca="false">IFERROR(H103/I103*1000,"-")</f>
        <v>379.595497042549</v>
      </c>
      <c r="O103" s="7" t="n">
        <v>0</v>
      </c>
      <c r="P103" s="7" t="str">
        <f aca="false">IFERROR(H103/O103,"-")</f>
        <v>-</v>
      </c>
      <c r="Q103" s="6" t="s">
        <v>90</v>
      </c>
      <c r="R103" s="22"/>
      <c r="S103" s="7" t="str">
        <f aca="false">IF(Q103="Yes",R103-B103,"")</f>
        <v/>
      </c>
      <c r="T103" s="6"/>
      <c r="U103" s="7" t="n">
        <v>0</v>
      </c>
      <c r="V103" s="7" t="n">
        <v>0</v>
      </c>
      <c r="W103" s="7" t="n">
        <v>0</v>
      </c>
      <c r="X103" s="7" t="n">
        <v>0</v>
      </c>
      <c r="Y103" s="10" t="str">
        <f aca="false">IF(Q103="Yes",IFERROR(W103/V103,"-"),"")</f>
        <v/>
      </c>
      <c r="Z103" s="10" t="str">
        <f aca="false">IF(Q103="Yes",IFERROR(X103/V103,"-"),"")</f>
        <v/>
      </c>
      <c r="AA103" s="7" t="n">
        <v>0</v>
      </c>
    </row>
    <row r="104" customFormat="false" ht="15" hidden="false" customHeight="false" outlineLevel="0" collapsed="false">
      <c r="A104" s="6" t="s">
        <v>202</v>
      </c>
      <c r="B104" s="22" t="n">
        <v>46168</v>
      </c>
      <c r="C104" s="6" t="str">
        <f aca="false">TEXT(B104,"yyyy-mm")</f>
        <v>2026-05</v>
      </c>
      <c r="D104" s="6" t="s">
        <v>52</v>
      </c>
      <c r="E104" s="6" t="s">
        <v>99</v>
      </c>
      <c r="F104" s="22" t="n">
        <v>46175</v>
      </c>
      <c r="G104" s="7" t="n">
        <f aca="false">Summary!$C$5-B104</f>
        <v>152</v>
      </c>
      <c r="H104" s="7" t="n">
        <v>26150.73</v>
      </c>
      <c r="I104" s="7" t="n">
        <v>86223</v>
      </c>
      <c r="J104" s="7" t="n">
        <v>345</v>
      </c>
      <c r="K104" s="7" t="n">
        <v>7477.49</v>
      </c>
      <c r="L104" s="10" t="n">
        <f aca="false">IFERROR(J104/I104,"-")</f>
        <v>0.00400125256602067</v>
      </c>
      <c r="M104" s="10" t="n">
        <f aca="false">IFERROR(K104/I104,"-")</f>
        <v>0.086722684202591</v>
      </c>
      <c r="N104" s="7" t="n">
        <f aca="false">IFERROR(H104/I104*1000,"-")</f>
        <v>303.291813089315</v>
      </c>
      <c r="O104" s="7" t="n">
        <v>10</v>
      </c>
      <c r="P104" s="7" t="n">
        <f aca="false">IFERROR(H104/O104,"-")</f>
        <v>2615.073</v>
      </c>
      <c r="Q104" s="6" t="s">
        <v>90</v>
      </c>
      <c r="R104" s="22"/>
      <c r="S104" s="7" t="str">
        <f aca="false">IF(Q104="Yes",R104-B104,"")</f>
        <v/>
      </c>
      <c r="T104" s="6"/>
      <c r="U104" s="7" t="n">
        <v>0</v>
      </c>
      <c r="V104" s="7" t="n">
        <v>0</v>
      </c>
      <c r="W104" s="7" t="n">
        <v>0</v>
      </c>
      <c r="X104" s="7" t="n">
        <v>0</v>
      </c>
      <c r="Y104" s="10" t="str">
        <f aca="false">IF(Q104="Yes",IFERROR(W104/V104,"-"),"")</f>
        <v/>
      </c>
      <c r="Z104" s="10" t="str">
        <f aca="false">IF(Q104="Yes",IFERROR(X104/V104,"-"),"")</f>
        <v/>
      </c>
      <c r="AA104" s="7" t="n">
        <v>0</v>
      </c>
    </row>
    <row r="105" customFormat="false" ht="15" hidden="false" customHeight="false" outlineLevel="0" collapsed="false">
      <c r="A105" s="6" t="s">
        <v>203</v>
      </c>
      <c r="B105" s="22" t="n">
        <v>46168</v>
      </c>
      <c r="C105" s="6" t="str">
        <f aca="false">TEXT(B105,"yyyy-mm")</f>
        <v>2026-05</v>
      </c>
      <c r="D105" s="6" t="s">
        <v>52</v>
      </c>
      <c r="E105" s="6" t="s">
        <v>99</v>
      </c>
      <c r="F105" s="22" t="n">
        <v>46175</v>
      </c>
      <c r="G105" s="7" t="n">
        <f aca="false">Summary!$C$5-B105</f>
        <v>152</v>
      </c>
      <c r="H105" s="7" t="n">
        <v>2562.4</v>
      </c>
      <c r="I105" s="7" t="n">
        <v>8508</v>
      </c>
      <c r="J105" s="7" t="n">
        <v>30</v>
      </c>
      <c r="K105" s="7" t="n">
        <v>1198.05</v>
      </c>
      <c r="L105" s="10" t="n">
        <f aca="false">IFERROR(J105/I105,"-")</f>
        <v>0.00352609308885755</v>
      </c>
      <c r="M105" s="10" t="n">
        <f aca="false">IFERROR(K105/I105,"-")</f>
        <v>0.140814527503526</v>
      </c>
      <c r="N105" s="7" t="n">
        <f aca="false">IFERROR(H105/I105*1000,"-")</f>
        <v>301.175364362953</v>
      </c>
      <c r="O105" s="7" t="n">
        <v>0</v>
      </c>
      <c r="P105" s="7" t="str">
        <f aca="false">IFERROR(H105/O105,"-")</f>
        <v>-</v>
      </c>
      <c r="Q105" s="6" t="s">
        <v>90</v>
      </c>
      <c r="R105" s="22"/>
      <c r="S105" s="7" t="str">
        <f aca="false">IF(Q105="Yes",R105-B105,"")</f>
        <v/>
      </c>
      <c r="T105" s="6"/>
      <c r="U105" s="7" t="n">
        <v>0</v>
      </c>
      <c r="V105" s="7" t="n">
        <v>0</v>
      </c>
      <c r="W105" s="7" t="n">
        <v>0</v>
      </c>
      <c r="X105" s="7" t="n">
        <v>0</v>
      </c>
      <c r="Y105" s="10" t="str">
        <f aca="false">IF(Q105="Yes",IFERROR(W105/V105,"-"),"")</f>
        <v/>
      </c>
      <c r="Z105" s="10" t="str">
        <f aca="false">IF(Q105="Yes",IFERROR(X105/V105,"-"),"")</f>
        <v/>
      </c>
      <c r="AA105" s="7" t="n">
        <v>0</v>
      </c>
    </row>
    <row r="106" customFormat="false" ht="15" hidden="false" customHeight="false" outlineLevel="0" collapsed="false">
      <c r="A106" s="6" t="s">
        <v>204</v>
      </c>
      <c r="B106" s="22" t="n">
        <v>46168</v>
      </c>
      <c r="C106" s="6" t="str">
        <f aca="false">TEXT(B106,"yyyy-mm")</f>
        <v>2026-05</v>
      </c>
      <c r="D106" s="6" t="s">
        <v>52</v>
      </c>
      <c r="E106" s="6" t="s">
        <v>99</v>
      </c>
      <c r="F106" s="22" t="n">
        <v>46175</v>
      </c>
      <c r="G106" s="7" t="n">
        <f aca="false">Summary!$C$5-B106</f>
        <v>152</v>
      </c>
      <c r="H106" s="7" t="n">
        <v>2827.45</v>
      </c>
      <c r="I106" s="7" t="n">
        <v>5754</v>
      </c>
      <c r="J106" s="7" t="n">
        <v>46</v>
      </c>
      <c r="K106" s="7" t="n">
        <v>3.01</v>
      </c>
      <c r="L106" s="10" t="n">
        <f aca="false">IFERROR(J106/I106,"-")</f>
        <v>0.00799443865137296</v>
      </c>
      <c r="M106" s="10" t="n">
        <f aca="false">IFERROR(K106/I106,"-")</f>
        <v>0.000523114355231144</v>
      </c>
      <c r="N106" s="7" t="n">
        <f aca="false">IFERROR(H106/I106*1000,"-")</f>
        <v>491.388599235315</v>
      </c>
      <c r="O106" s="7" t="n">
        <v>1</v>
      </c>
      <c r="P106" s="7" t="n">
        <f aca="false">IFERROR(H106/O106,"-")</f>
        <v>2827.45</v>
      </c>
      <c r="Q106" s="6" t="s">
        <v>90</v>
      </c>
      <c r="R106" s="22"/>
      <c r="S106" s="7" t="str">
        <f aca="false">IF(Q106="Yes",R106-B106,"")</f>
        <v/>
      </c>
      <c r="T106" s="6"/>
      <c r="U106" s="7" t="n">
        <v>0</v>
      </c>
      <c r="V106" s="7" t="n">
        <v>0</v>
      </c>
      <c r="W106" s="7" t="n">
        <v>0</v>
      </c>
      <c r="X106" s="7" t="n">
        <v>0</v>
      </c>
      <c r="Y106" s="10" t="str">
        <f aca="false">IF(Q106="Yes",IFERROR(W106/V106,"-"),"")</f>
        <v/>
      </c>
      <c r="Z106" s="10" t="str">
        <f aca="false">IF(Q106="Yes",IFERROR(X106/V106,"-"),"")</f>
        <v/>
      </c>
      <c r="AA106" s="7" t="n">
        <v>0</v>
      </c>
    </row>
    <row r="107" customFormat="false" ht="15" hidden="false" customHeight="false" outlineLevel="0" collapsed="false">
      <c r="A107" s="6" t="s">
        <v>205</v>
      </c>
      <c r="B107" s="22" t="n">
        <v>46168</v>
      </c>
      <c r="C107" s="6" t="str">
        <f aca="false">TEXT(B107,"yyyy-mm")</f>
        <v>2026-05</v>
      </c>
      <c r="D107" s="6" t="s">
        <v>52</v>
      </c>
      <c r="E107" s="6" t="s">
        <v>99</v>
      </c>
      <c r="F107" s="22" t="n">
        <v>46175</v>
      </c>
      <c r="G107" s="7" t="n">
        <f aca="false">Summary!$C$5-B107</f>
        <v>152</v>
      </c>
      <c r="H107" s="7" t="n">
        <v>3030.47</v>
      </c>
      <c r="I107" s="7" t="n">
        <v>6617</v>
      </c>
      <c r="J107" s="7" t="n">
        <v>35</v>
      </c>
      <c r="K107" s="7" t="n">
        <v>841.08</v>
      </c>
      <c r="L107" s="10" t="n">
        <f aca="false">IFERROR(J107/I107,"-")</f>
        <v>0.00528940607526069</v>
      </c>
      <c r="M107" s="10" t="n">
        <f aca="false">IFERROR(K107/I107,"-")</f>
        <v>0.12710896176515</v>
      </c>
      <c r="N107" s="7" t="n">
        <f aca="false">IFERROR(H107/I107*1000,"-")</f>
        <v>457.982469397008</v>
      </c>
      <c r="O107" s="7" t="n">
        <v>4</v>
      </c>
      <c r="P107" s="7" t="n">
        <f aca="false">IFERROR(H107/O107,"-")</f>
        <v>757.6175</v>
      </c>
      <c r="Q107" s="6" t="s">
        <v>90</v>
      </c>
      <c r="R107" s="22"/>
      <c r="S107" s="7" t="str">
        <f aca="false">IF(Q107="Yes",R107-B107,"")</f>
        <v/>
      </c>
      <c r="T107" s="6"/>
      <c r="U107" s="7" t="n">
        <v>0</v>
      </c>
      <c r="V107" s="7" t="n">
        <v>0</v>
      </c>
      <c r="W107" s="7" t="n">
        <v>0</v>
      </c>
      <c r="X107" s="7" t="n">
        <v>0</v>
      </c>
      <c r="Y107" s="10" t="str">
        <f aca="false">IF(Q107="Yes",IFERROR(W107/V107,"-"),"")</f>
        <v/>
      </c>
      <c r="Z107" s="10" t="str">
        <f aca="false">IF(Q107="Yes",IFERROR(X107/V107,"-"),"")</f>
        <v/>
      </c>
      <c r="AA107" s="7" t="n">
        <v>0</v>
      </c>
    </row>
    <row r="108" customFormat="false" ht="15" hidden="false" customHeight="false" outlineLevel="0" collapsed="false">
      <c r="A108" s="6" t="s">
        <v>206</v>
      </c>
      <c r="B108" s="22" t="n">
        <v>46168</v>
      </c>
      <c r="C108" s="6" t="str">
        <f aca="false">TEXT(B108,"yyyy-mm")</f>
        <v>2026-05</v>
      </c>
      <c r="D108" s="6" t="s">
        <v>52</v>
      </c>
      <c r="E108" s="6" t="s">
        <v>99</v>
      </c>
      <c r="F108" s="22" t="n">
        <v>46175</v>
      </c>
      <c r="G108" s="7" t="n">
        <f aca="false">Summary!$C$5-B108</f>
        <v>152</v>
      </c>
      <c r="H108" s="7" t="n">
        <v>1377.6</v>
      </c>
      <c r="I108" s="7" t="n">
        <v>3182</v>
      </c>
      <c r="J108" s="7" t="n">
        <v>17</v>
      </c>
      <c r="K108" s="7" t="n">
        <v>459.01</v>
      </c>
      <c r="L108" s="10" t="n">
        <f aca="false">IFERROR(J108/I108,"-")</f>
        <v>0.00534255185417976</v>
      </c>
      <c r="M108" s="10" t="n">
        <f aca="false">IFERROR(K108/I108,"-")</f>
        <v>0.144252042740415</v>
      </c>
      <c r="N108" s="7" t="n">
        <f aca="false">IFERROR(H108/I108*1000,"-")</f>
        <v>432.935260842238</v>
      </c>
      <c r="O108" s="7" t="n">
        <v>1</v>
      </c>
      <c r="P108" s="7" t="n">
        <f aca="false">IFERROR(H108/O108,"-")</f>
        <v>1377.6</v>
      </c>
      <c r="Q108" s="6" t="s">
        <v>90</v>
      </c>
      <c r="R108" s="22"/>
      <c r="S108" s="7" t="str">
        <f aca="false">IF(Q108="Yes",R108-B108,"")</f>
        <v/>
      </c>
      <c r="T108" s="6"/>
      <c r="U108" s="7" t="n">
        <v>0</v>
      </c>
      <c r="V108" s="7" t="n">
        <v>0</v>
      </c>
      <c r="W108" s="7" t="n">
        <v>0</v>
      </c>
      <c r="X108" s="7" t="n">
        <v>0</v>
      </c>
      <c r="Y108" s="10" t="str">
        <f aca="false">IF(Q108="Yes",IFERROR(W108/V108,"-"),"")</f>
        <v/>
      </c>
      <c r="Z108" s="10" t="str">
        <f aca="false">IF(Q108="Yes",IFERROR(X108/V108,"-"),"")</f>
        <v/>
      </c>
      <c r="AA108" s="7" t="n">
        <v>0</v>
      </c>
    </row>
    <row r="109" customFormat="false" ht="15" hidden="false" customHeight="false" outlineLevel="0" collapsed="false">
      <c r="A109" s="6" t="s">
        <v>207</v>
      </c>
      <c r="B109" s="22" t="n">
        <v>46175</v>
      </c>
      <c r="C109" s="6" t="str">
        <f aca="false">TEXT(B109,"yyyy-mm")</f>
        <v>2026-06</v>
      </c>
      <c r="D109" s="6" t="s">
        <v>52</v>
      </c>
      <c r="E109" s="6" t="s">
        <v>104</v>
      </c>
      <c r="F109" s="22" t="n">
        <v>46195</v>
      </c>
      <c r="G109" s="7" t="n">
        <f aca="false">Summary!$C$5-B109</f>
        <v>145</v>
      </c>
      <c r="H109" s="7" t="n">
        <v>75746.52</v>
      </c>
      <c r="I109" s="7" t="n">
        <v>426667</v>
      </c>
      <c r="J109" s="7" t="n">
        <v>2166</v>
      </c>
      <c r="K109" s="7" t="n">
        <v>69099.19</v>
      </c>
      <c r="L109" s="10" t="n">
        <f aca="false">IFERROR(J109/I109,"-")</f>
        <v>0.00507655853393865</v>
      </c>
      <c r="M109" s="10" t="n">
        <f aca="false">IFERROR(K109/I109,"-")</f>
        <v>0.161951100038203</v>
      </c>
      <c r="N109" s="7" t="n">
        <f aca="false">IFERROR(H109/I109*1000,"-")</f>
        <v>177.530767554088</v>
      </c>
      <c r="O109" s="7" t="n">
        <v>7</v>
      </c>
      <c r="P109" s="7" t="n">
        <f aca="false">IFERROR(H109/O109,"-")</f>
        <v>10820.9314285714</v>
      </c>
      <c r="Q109" s="6" t="s">
        <v>100</v>
      </c>
      <c r="R109" s="22" t="n">
        <v>46188</v>
      </c>
      <c r="S109" s="7" t="n">
        <f aca="false">IF(Q109="Yes",R109-B109,"")</f>
        <v>13</v>
      </c>
      <c r="T109" s="6" t="s">
        <v>53</v>
      </c>
      <c r="U109" s="7" t="n">
        <v>34978.66</v>
      </c>
      <c r="V109" s="7" t="n">
        <v>291445</v>
      </c>
      <c r="W109" s="7" t="n">
        <v>972</v>
      </c>
      <c r="X109" s="7" t="n">
        <v>40311.83</v>
      </c>
      <c r="Y109" s="10" t="n">
        <f aca="false">IF(Q109="Yes",IFERROR(W109/V109,"-"),"")</f>
        <v>0.00333510610921443</v>
      </c>
      <c r="Z109" s="10" t="n">
        <f aca="false">IF(Q109="Yes",IFERROR(X109/V109,"-"),"")</f>
        <v>0.138317109574705</v>
      </c>
      <c r="AA109" s="7" t="n">
        <v>2</v>
      </c>
    </row>
    <row r="110" customFormat="false" ht="15" hidden="false" customHeight="false" outlineLevel="0" collapsed="false">
      <c r="A110" s="6" t="s">
        <v>208</v>
      </c>
      <c r="B110" s="22" t="n">
        <v>46175</v>
      </c>
      <c r="C110" s="6" t="str">
        <f aca="false">TEXT(B110,"yyyy-mm")</f>
        <v>2026-06</v>
      </c>
      <c r="D110" s="6" t="s">
        <v>52</v>
      </c>
      <c r="E110" s="6" t="s">
        <v>104</v>
      </c>
      <c r="F110" s="22" t="n">
        <v>46196</v>
      </c>
      <c r="G110" s="7" t="n">
        <f aca="false">Summary!$C$5-B110</f>
        <v>145</v>
      </c>
      <c r="H110" s="7" t="n">
        <v>9378.23</v>
      </c>
      <c r="I110" s="7" t="n">
        <v>32462</v>
      </c>
      <c r="J110" s="7" t="n">
        <v>126</v>
      </c>
      <c r="K110" s="7" t="n">
        <v>4661.34</v>
      </c>
      <c r="L110" s="10" t="n">
        <f aca="false">IFERROR(J110/I110,"-")</f>
        <v>0.00388146140102273</v>
      </c>
      <c r="M110" s="10" t="n">
        <f aca="false">IFERROR(K110/I110,"-")</f>
        <v>0.14359374037336</v>
      </c>
      <c r="N110" s="7" t="n">
        <f aca="false">IFERROR(H110/I110*1000,"-")</f>
        <v>288.898712340583</v>
      </c>
      <c r="O110" s="7" t="n">
        <v>5</v>
      </c>
      <c r="P110" s="7" t="n">
        <f aca="false">IFERROR(H110/O110,"-")</f>
        <v>1875.646</v>
      </c>
      <c r="Q110" s="6" t="s">
        <v>90</v>
      </c>
      <c r="R110" s="22"/>
      <c r="S110" s="7" t="str">
        <f aca="false">IF(Q110="Yes",R110-B110,"")</f>
        <v/>
      </c>
      <c r="T110" s="6"/>
      <c r="U110" s="7" t="n">
        <v>0</v>
      </c>
      <c r="V110" s="7" t="n">
        <v>0</v>
      </c>
      <c r="W110" s="7" t="n">
        <v>0</v>
      </c>
      <c r="X110" s="7" t="n">
        <v>0</v>
      </c>
      <c r="Y110" s="10" t="str">
        <f aca="false">IF(Q110="Yes",IFERROR(W110/V110,"-"),"")</f>
        <v/>
      </c>
      <c r="Z110" s="10" t="str">
        <f aca="false">IF(Q110="Yes",IFERROR(X110/V110,"-"),"")</f>
        <v/>
      </c>
      <c r="AA110" s="7" t="n">
        <v>0</v>
      </c>
    </row>
    <row r="111" customFormat="false" ht="15" hidden="false" customHeight="false" outlineLevel="0" collapsed="false">
      <c r="A111" s="6" t="s">
        <v>209</v>
      </c>
      <c r="B111" s="22" t="n">
        <v>46178</v>
      </c>
      <c r="C111" s="6" t="str">
        <f aca="false">TEXT(B111,"yyyy-mm")</f>
        <v>2026-06</v>
      </c>
      <c r="D111" s="6" t="s">
        <v>52</v>
      </c>
      <c r="E111" s="6" t="s">
        <v>99</v>
      </c>
      <c r="F111" s="22" t="n">
        <v>46195</v>
      </c>
      <c r="G111" s="7" t="n">
        <f aca="false">Summary!$C$5-B111</f>
        <v>142</v>
      </c>
      <c r="H111" s="7" t="n">
        <v>14795.42</v>
      </c>
      <c r="I111" s="7" t="n">
        <v>162156</v>
      </c>
      <c r="J111" s="7" t="n">
        <v>1157</v>
      </c>
      <c r="K111" s="7" t="n">
        <v>17194.17</v>
      </c>
      <c r="L111" s="10" t="n">
        <f aca="false">IFERROR(J111/I111,"-")</f>
        <v>0.00713510446730309</v>
      </c>
      <c r="M111" s="10" t="n">
        <f aca="false">IFERROR(K111/I111,"-")</f>
        <v>0.106034744320284</v>
      </c>
      <c r="N111" s="7" t="n">
        <f aca="false">IFERROR(H111/I111*1000,"-")</f>
        <v>91.2418905251733</v>
      </c>
      <c r="O111" s="7" t="n">
        <v>4</v>
      </c>
      <c r="P111" s="7" t="n">
        <f aca="false">IFERROR(H111/O111,"-")</f>
        <v>3698.855</v>
      </c>
      <c r="Q111" s="6" t="s">
        <v>90</v>
      </c>
      <c r="R111" s="22"/>
      <c r="S111" s="7" t="str">
        <f aca="false">IF(Q111="Yes",R111-B111,"")</f>
        <v/>
      </c>
      <c r="T111" s="6"/>
      <c r="U111" s="7" t="n">
        <v>0</v>
      </c>
      <c r="V111" s="7" t="n">
        <v>0</v>
      </c>
      <c r="W111" s="7" t="n">
        <v>0</v>
      </c>
      <c r="X111" s="7" t="n">
        <v>0</v>
      </c>
      <c r="Y111" s="10" t="str">
        <f aca="false">IF(Q111="Yes",IFERROR(W111/V111,"-"),"")</f>
        <v/>
      </c>
      <c r="Z111" s="10" t="str">
        <f aca="false">IF(Q111="Yes",IFERROR(X111/V111,"-"),"")</f>
        <v/>
      </c>
      <c r="AA111" s="7" t="n">
        <v>0</v>
      </c>
    </row>
    <row r="112" customFormat="false" ht="15" hidden="false" customHeight="false" outlineLevel="0" collapsed="false">
      <c r="A112" s="6" t="s">
        <v>210</v>
      </c>
      <c r="B112" s="22" t="n">
        <v>46179</v>
      </c>
      <c r="C112" s="6" t="str">
        <f aca="false">TEXT(B112,"yyyy-mm")</f>
        <v>2026-06</v>
      </c>
      <c r="D112" s="6" t="s">
        <v>52</v>
      </c>
      <c r="E112" s="6" t="s">
        <v>99</v>
      </c>
      <c r="F112" s="22" t="n">
        <v>46188</v>
      </c>
      <c r="G112" s="7" t="n">
        <f aca="false">Summary!$C$5-B112</f>
        <v>141</v>
      </c>
      <c r="H112" s="7" t="n">
        <v>6916.41</v>
      </c>
      <c r="I112" s="7" t="n">
        <v>21365</v>
      </c>
      <c r="J112" s="7" t="n">
        <v>112</v>
      </c>
      <c r="K112" s="7" t="n">
        <v>4911.59</v>
      </c>
      <c r="L112" s="10" t="n">
        <f aca="false">IFERROR(J112/I112,"-")</f>
        <v>0.00524221858179265</v>
      </c>
      <c r="M112" s="10" t="n">
        <f aca="false">IFERROR(K112/I112,"-")</f>
        <v>0.229889538965598</v>
      </c>
      <c r="N112" s="7" t="n">
        <f aca="false">IFERROR(H112/I112*1000,"-")</f>
        <v>323.726187690147</v>
      </c>
      <c r="O112" s="7" t="n">
        <v>0</v>
      </c>
      <c r="P112" s="7" t="str">
        <f aca="false">IFERROR(H112/O112,"-")</f>
        <v>-</v>
      </c>
      <c r="Q112" s="6" t="s">
        <v>90</v>
      </c>
      <c r="R112" s="22"/>
      <c r="S112" s="7" t="str">
        <f aca="false">IF(Q112="Yes",R112-B112,"")</f>
        <v/>
      </c>
      <c r="T112" s="6"/>
      <c r="U112" s="7" t="n">
        <v>0</v>
      </c>
      <c r="V112" s="7" t="n">
        <v>0</v>
      </c>
      <c r="W112" s="7" t="n">
        <v>0</v>
      </c>
      <c r="X112" s="7" t="n">
        <v>0</v>
      </c>
      <c r="Y112" s="10" t="str">
        <f aca="false">IF(Q112="Yes",IFERROR(W112/V112,"-"),"")</f>
        <v/>
      </c>
      <c r="Z112" s="10" t="str">
        <f aca="false">IF(Q112="Yes",IFERROR(X112/V112,"-"),"")</f>
        <v/>
      </c>
      <c r="AA112" s="7" t="n">
        <v>0</v>
      </c>
    </row>
    <row r="113" customFormat="false" ht="15" hidden="false" customHeight="false" outlineLevel="0" collapsed="false">
      <c r="A113" s="6" t="s">
        <v>211</v>
      </c>
      <c r="B113" s="22" t="n">
        <v>46179</v>
      </c>
      <c r="C113" s="6" t="str">
        <f aca="false">TEXT(B113,"yyyy-mm")</f>
        <v>2026-06</v>
      </c>
      <c r="D113" s="6" t="s">
        <v>52</v>
      </c>
      <c r="E113" s="6" t="s">
        <v>99</v>
      </c>
      <c r="F113" s="22" t="n">
        <v>46186</v>
      </c>
      <c r="G113" s="7" t="n">
        <f aca="false">Summary!$C$5-B113</f>
        <v>141</v>
      </c>
      <c r="H113" s="7" t="n">
        <v>11896.65</v>
      </c>
      <c r="I113" s="7" t="n">
        <v>76652</v>
      </c>
      <c r="J113" s="7" t="n">
        <v>649</v>
      </c>
      <c r="K113" s="7" t="n">
        <v>10402.95</v>
      </c>
      <c r="L113" s="10" t="n">
        <f aca="false">IFERROR(J113/I113,"-")</f>
        <v>0.00846683713406043</v>
      </c>
      <c r="M113" s="10" t="n">
        <f aca="false">IFERROR(K113/I113,"-")</f>
        <v>0.135716615352502</v>
      </c>
      <c r="N113" s="7" t="n">
        <f aca="false">IFERROR(H113/I113*1000,"-")</f>
        <v>155.203386734854</v>
      </c>
      <c r="O113" s="7" t="n">
        <v>1</v>
      </c>
      <c r="P113" s="7" t="n">
        <f aca="false">IFERROR(H113/O113,"-")</f>
        <v>11896.65</v>
      </c>
      <c r="Q113" s="6" t="s">
        <v>90</v>
      </c>
      <c r="R113" s="22"/>
      <c r="S113" s="7" t="str">
        <f aca="false">IF(Q113="Yes",R113-B113,"")</f>
        <v/>
      </c>
      <c r="T113" s="6"/>
      <c r="U113" s="7" t="n">
        <v>0</v>
      </c>
      <c r="V113" s="7" t="n">
        <v>0</v>
      </c>
      <c r="W113" s="7" t="n">
        <v>0</v>
      </c>
      <c r="X113" s="7" t="n">
        <v>0</v>
      </c>
      <c r="Y113" s="10" t="str">
        <f aca="false">IF(Q113="Yes",IFERROR(W113/V113,"-"),"")</f>
        <v/>
      </c>
      <c r="Z113" s="10" t="str">
        <f aca="false">IF(Q113="Yes",IFERROR(X113/V113,"-"),"")</f>
        <v/>
      </c>
      <c r="AA113" s="7" t="n">
        <v>0</v>
      </c>
    </row>
    <row r="114" customFormat="false" ht="15" hidden="false" customHeight="false" outlineLevel="0" collapsed="false">
      <c r="A114" s="6" t="s">
        <v>212</v>
      </c>
      <c r="B114" s="22" t="n">
        <v>46179</v>
      </c>
      <c r="C114" s="6" t="str">
        <f aca="false">TEXT(B114,"yyyy-mm")</f>
        <v>2026-06</v>
      </c>
      <c r="D114" s="6" t="s">
        <v>52</v>
      </c>
      <c r="E114" s="6" t="s">
        <v>99</v>
      </c>
      <c r="F114" s="22" t="n">
        <v>46195</v>
      </c>
      <c r="G114" s="7" t="n">
        <f aca="false">Summary!$C$5-B114</f>
        <v>141</v>
      </c>
      <c r="H114" s="7" t="n">
        <v>6986.28</v>
      </c>
      <c r="I114" s="7" t="n">
        <v>14042</v>
      </c>
      <c r="J114" s="7" t="n">
        <v>62</v>
      </c>
      <c r="K114" s="7" t="n">
        <v>1701.92</v>
      </c>
      <c r="L114" s="10" t="n">
        <f aca="false">IFERROR(J114/I114,"-")</f>
        <v>0.00441532545221478</v>
      </c>
      <c r="M114" s="10" t="n">
        <f aca="false">IFERROR(K114/I114,"-")</f>
        <v>0.121202107961829</v>
      </c>
      <c r="N114" s="7" t="n">
        <f aca="false">IFERROR(H114/I114*1000,"-")</f>
        <v>497.52741774676</v>
      </c>
      <c r="O114" s="7" t="n">
        <v>4</v>
      </c>
      <c r="P114" s="7" t="n">
        <f aca="false">IFERROR(H114/O114,"-")</f>
        <v>1746.57</v>
      </c>
      <c r="Q114" s="6" t="s">
        <v>90</v>
      </c>
      <c r="R114" s="22"/>
      <c r="S114" s="7" t="str">
        <f aca="false">IF(Q114="Yes",R114-B114,"")</f>
        <v/>
      </c>
      <c r="T114" s="6"/>
      <c r="U114" s="7" t="n">
        <v>0</v>
      </c>
      <c r="V114" s="7" t="n">
        <v>0</v>
      </c>
      <c r="W114" s="7" t="n">
        <v>0</v>
      </c>
      <c r="X114" s="7" t="n">
        <v>0</v>
      </c>
      <c r="Y114" s="10" t="str">
        <f aca="false">IF(Q114="Yes",IFERROR(W114/V114,"-"),"")</f>
        <v/>
      </c>
      <c r="Z114" s="10" t="str">
        <f aca="false">IF(Q114="Yes",IFERROR(X114/V114,"-"),"")</f>
        <v/>
      </c>
      <c r="AA114" s="7" t="n">
        <v>0</v>
      </c>
    </row>
    <row r="115" customFormat="false" ht="15" hidden="false" customHeight="false" outlineLevel="0" collapsed="false">
      <c r="A115" s="6" t="s">
        <v>213</v>
      </c>
      <c r="B115" s="22" t="n">
        <v>46182</v>
      </c>
      <c r="C115" s="6" t="str">
        <f aca="false">TEXT(B115,"yyyy-mm")</f>
        <v>2026-06</v>
      </c>
      <c r="D115" s="6" t="s">
        <v>52</v>
      </c>
      <c r="E115" s="6" t="s">
        <v>214</v>
      </c>
      <c r="F115" s="22" t="n">
        <v>46196</v>
      </c>
      <c r="G115" s="7" t="n">
        <f aca="false">Summary!$C$5-B115</f>
        <v>138</v>
      </c>
      <c r="H115" s="7" t="n">
        <v>6679.45</v>
      </c>
      <c r="I115" s="7" t="n">
        <v>21843</v>
      </c>
      <c r="J115" s="7" t="n">
        <v>171</v>
      </c>
      <c r="K115" s="7" t="n">
        <v>10645.98</v>
      </c>
      <c r="L115" s="10" t="n">
        <f aca="false">IFERROR(J115/I115,"-")</f>
        <v>0.00782859497321796</v>
      </c>
      <c r="M115" s="10" t="n">
        <f aca="false">IFERROR(K115/I115,"-")</f>
        <v>0.487386348029117</v>
      </c>
      <c r="N115" s="7" t="n">
        <f aca="false">IFERROR(H115/I115*1000,"-")</f>
        <v>305.793618092753</v>
      </c>
      <c r="O115" s="7" t="n">
        <v>1</v>
      </c>
      <c r="P115" s="7" t="n">
        <f aca="false">IFERROR(H115/O115,"-")</f>
        <v>6679.45</v>
      </c>
      <c r="Q115" s="6" t="s">
        <v>90</v>
      </c>
      <c r="R115" s="22"/>
      <c r="S115" s="7" t="str">
        <f aca="false">IF(Q115="Yes",R115-B115,"")</f>
        <v/>
      </c>
      <c r="T115" s="6"/>
      <c r="U115" s="7" t="n">
        <v>0</v>
      </c>
      <c r="V115" s="7" t="n">
        <v>0</v>
      </c>
      <c r="W115" s="7" t="n">
        <v>0</v>
      </c>
      <c r="X115" s="7" t="n">
        <v>0</v>
      </c>
      <c r="Y115" s="10" t="str">
        <f aca="false">IF(Q115="Yes",IFERROR(W115/V115,"-"),"")</f>
        <v/>
      </c>
      <c r="Z115" s="10" t="str">
        <f aca="false">IF(Q115="Yes",IFERROR(X115/V115,"-"),"")</f>
        <v/>
      </c>
      <c r="AA115" s="7" t="n">
        <v>0</v>
      </c>
    </row>
    <row r="116" customFormat="false" ht="15" hidden="false" customHeight="false" outlineLevel="0" collapsed="false">
      <c r="A116" s="6" t="s">
        <v>215</v>
      </c>
      <c r="B116" s="22" t="n">
        <v>46182</v>
      </c>
      <c r="C116" s="6" t="str">
        <f aca="false">TEXT(B116,"yyyy-mm")</f>
        <v>2026-06</v>
      </c>
      <c r="D116" s="6" t="s">
        <v>52</v>
      </c>
      <c r="E116" s="6" t="s">
        <v>214</v>
      </c>
      <c r="F116" s="22" t="n">
        <v>46189</v>
      </c>
      <c r="G116" s="7" t="n">
        <f aca="false">Summary!$C$5-B116</f>
        <v>138</v>
      </c>
      <c r="H116" s="7" t="n">
        <v>7349.57</v>
      </c>
      <c r="I116" s="7" t="n">
        <v>22573</v>
      </c>
      <c r="J116" s="7" t="n">
        <v>323</v>
      </c>
      <c r="K116" s="7" t="n">
        <v>9814.78</v>
      </c>
      <c r="L116" s="10" t="n">
        <f aca="false">IFERROR(J116/I116,"-")</f>
        <v>0.0143091303769991</v>
      </c>
      <c r="M116" s="10" t="n">
        <f aca="false">IFERROR(K116/I116,"-")</f>
        <v>0.434801754308244</v>
      </c>
      <c r="N116" s="7" t="n">
        <f aca="false">IFERROR(H116/I116*1000,"-")</f>
        <v>325.591193018208</v>
      </c>
      <c r="O116" s="7" t="n">
        <v>2</v>
      </c>
      <c r="P116" s="7" t="n">
        <f aca="false">IFERROR(H116/O116,"-")</f>
        <v>3674.785</v>
      </c>
      <c r="Q116" s="6" t="s">
        <v>100</v>
      </c>
      <c r="R116" s="22" t="n">
        <v>46188</v>
      </c>
      <c r="S116" s="7" t="n">
        <f aca="false">IF(Q116="Yes",R116-B116,"")</f>
        <v>6</v>
      </c>
      <c r="T116" s="6" t="s">
        <v>53</v>
      </c>
      <c r="U116" s="7" t="n">
        <v>701805.9</v>
      </c>
      <c r="V116" s="7" t="n">
        <v>6098085</v>
      </c>
      <c r="W116" s="7" t="n">
        <v>71470</v>
      </c>
      <c r="X116" s="7" t="n">
        <v>1871152.95</v>
      </c>
      <c r="Y116" s="10" t="n">
        <f aca="false">IF(Q116="Yes",IFERROR(W116/V116,"-"),"")</f>
        <v>0.0117200727769456</v>
      </c>
      <c r="Z116" s="10" t="n">
        <f aca="false">IF(Q116="Yes",IFERROR(X116/V116,"-"),"")</f>
        <v>0.306842713737181</v>
      </c>
      <c r="AA116" s="7" t="n">
        <v>99</v>
      </c>
    </row>
    <row r="117" customFormat="false" ht="15" hidden="false" customHeight="false" outlineLevel="0" collapsed="false">
      <c r="A117" s="6" t="s">
        <v>216</v>
      </c>
      <c r="B117" s="22" t="n">
        <v>46182</v>
      </c>
      <c r="C117" s="6" t="str">
        <f aca="false">TEXT(B117,"yyyy-mm")</f>
        <v>2026-06</v>
      </c>
      <c r="D117" s="6" t="s">
        <v>52</v>
      </c>
      <c r="E117" s="6" t="s">
        <v>104</v>
      </c>
      <c r="F117" s="22" t="n">
        <v>46196</v>
      </c>
      <c r="G117" s="7" t="n">
        <f aca="false">Summary!$C$5-B117</f>
        <v>138</v>
      </c>
      <c r="H117" s="7" t="n">
        <v>14048.47</v>
      </c>
      <c r="I117" s="7" t="n">
        <v>42902</v>
      </c>
      <c r="J117" s="7" t="n">
        <v>285</v>
      </c>
      <c r="K117" s="7" t="n">
        <v>10504.47</v>
      </c>
      <c r="L117" s="10" t="n">
        <f aca="false">IFERROR(J117/I117,"-")</f>
        <v>0.00664304694419841</v>
      </c>
      <c r="M117" s="10" t="n">
        <f aca="false">IFERROR(K117/I117,"-")</f>
        <v>0.244848025733066</v>
      </c>
      <c r="N117" s="7" t="n">
        <f aca="false">IFERROR(H117/I117*1000,"-")</f>
        <v>327.454897207589</v>
      </c>
      <c r="O117" s="7" t="n">
        <v>7</v>
      </c>
      <c r="P117" s="7" t="n">
        <f aca="false">IFERROR(H117/O117,"-")</f>
        <v>2006.92428571429</v>
      </c>
      <c r="Q117" s="6" t="s">
        <v>100</v>
      </c>
      <c r="R117" s="22" t="n">
        <v>46196</v>
      </c>
      <c r="S117" s="7" t="n">
        <f aca="false">IF(Q117="Yes",R117-B117,"")</f>
        <v>14</v>
      </c>
      <c r="T117" s="6" t="s">
        <v>53</v>
      </c>
      <c r="U117" s="7" t="n">
        <v>9672.08</v>
      </c>
      <c r="V117" s="7" t="n">
        <v>38624</v>
      </c>
      <c r="W117" s="7" t="n">
        <v>282</v>
      </c>
      <c r="X117" s="7" t="n">
        <v>8325.96</v>
      </c>
      <c r="Y117" s="10" t="n">
        <f aca="false">IF(Q117="Yes",IFERROR(W117/V117,"-"),"")</f>
        <v>0.00730115990057995</v>
      </c>
      <c r="Z117" s="10" t="n">
        <f aca="false">IF(Q117="Yes",IFERROR(X117/V117,"-"),"")</f>
        <v>0.215564415907208</v>
      </c>
      <c r="AA117" s="7" t="n">
        <v>2</v>
      </c>
    </row>
    <row r="118" customFormat="false" ht="15" hidden="false" customHeight="false" outlineLevel="0" collapsed="false">
      <c r="A118" s="6" t="s">
        <v>217</v>
      </c>
      <c r="B118" s="22" t="n">
        <v>46182</v>
      </c>
      <c r="C118" s="6" t="str">
        <f aca="false">TEXT(B118,"yyyy-mm")</f>
        <v>2026-06</v>
      </c>
      <c r="D118" s="6" t="s">
        <v>52</v>
      </c>
      <c r="E118" s="6" t="s">
        <v>104</v>
      </c>
      <c r="F118" s="22" t="n">
        <v>46195</v>
      </c>
      <c r="G118" s="7" t="n">
        <f aca="false">Summary!$C$5-B118</f>
        <v>138</v>
      </c>
      <c r="H118" s="7" t="n">
        <v>7582.47</v>
      </c>
      <c r="I118" s="7" t="n">
        <v>24695</v>
      </c>
      <c r="J118" s="7" t="n">
        <v>170</v>
      </c>
      <c r="K118" s="7" t="n">
        <v>9585.28</v>
      </c>
      <c r="L118" s="10" t="n">
        <f aca="false">IFERROR(J118/I118,"-")</f>
        <v>0.00688398461226969</v>
      </c>
      <c r="M118" s="10" t="n">
        <f aca="false">IFERROR(K118/I118,"-")</f>
        <v>0.388146588378214</v>
      </c>
      <c r="N118" s="7" t="n">
        <f aca="false">IFERROR(H118/I118*1000,"-")</f>
        <v>307.04474589998</v>
      </c>
      <c r="O118" s="7" t="n">
        <v>2</v>
      </c>
      <c r="P118" s="7" t="n">
        <f aca="false">IFERROR(H118/O118,"-")</f>
        <v>3791.235</v>
      </c>
      <c r="Q118" s="6" t="s">
        <v>100</v>
      </c>
      <c r="R118" s="22" t="n">
        <v>46196</v>
      </c>
      <c r="S118" s="7" t="n">
        <f aca="false">IF(Q118="Yes",R118-B118,"")</f>
        <v>14</v>
      </c>
      <c r="T118" s="6" t="s">
        <v>53</v>
      </c>
      <c r="U118" s="7" t="n">
        <v>206643.12</v>
      </c>
      <c r="V118" s="7" t="n">
        <v>892216</v>
      </c>
      <c r="W118" s="7" t="n">
        <v>6356</v>
      </c>
      <c r="X118" s="7" t="n">
        <v>281085.36</v>
      </c>
      <c r="Y118" s="10" t="n">
        <f aca="false">IF(Q118="Yes",IFERROR(W118/V118,"-"),"")</f>
        <v>0.0071238354837842</v>
      </c>
      <c r="Z118" s="10" t="n">
        <f aca="false">IF(Q118="Yes",IFERROR(X118/V118,"-"),"")</f>
        <v>0.315041828436163</v>
      </c>
      <c r="AA118" s="7" t="n">
        <v>22</v>
      </c>
    </row>
    <row r="119" customFormat="false" ht="15" hidden="false" customHeight="false" outlineLevel="0" collapsed="false">
      <c r="A119" s="6" t="s">
        <v>218</v>
      </c>
      <c r="B119" s="22" t="n">
        <v>46182</v>
      </c>
      <c r="C119" s="6" t="str">
        <f aca="false">TEXT(B119,"yyyy-mm")</f>
        <v>2026-06</v>
      </c>
      <c r="D119" s="6" t="s">
        <v>52</v>
      </c>
      <c r="E119" s="6" t="s">
        <v>214</v>
      </c>
      <c r="F119" s="22" t="n">
        <v>46196</v>
      </c>
      <c r="G119" s="7" t="n">
        <f aca="false">Summary!$C$5-B119</f>
        <v>138</v>
      </c>
      <c r="H119" s="7" t="n">
        <v>22354.46</v>
      </c>
      <c r="I119" s="7" t="n">
        <v>68944</v>
      </c>
      <c r="J119" s="7" t="n">
        <v>540</v>
      </c>
      <c r="K119" s="7" t="n">
        <v>25668.06</v>
      </c>
      <c r="L119" s="10" t="n">
        <f aca="false">IFERROR(J119/I119,"-")</f>
        <v>0.0078324437224414</v>
      </c>
      <c r="M119" s="10" t="n">
        <f aca="false">IFERROR(K119/I119,"-")</f>
        <v>0.372303028544906</v>
      </c>
      <c r="N119" s="7" t="n">
        <f aca="false">IFERROR(H119/I119*1000,"-")</f>
        <v>324.24083313994</v>
      </c>
      <c r="O119" s="7" t="n">
        <v>8</v>
      </c>
      <c r="P119" s="7" t="n">
        <f aca="false">IFERROR(H119/O119,"-")</f>
        <v>2794.3075</v>
      </c>
      <c r="Q119" s="6" t="s">
        <v>90</v>
      </c>
      <c r="R119" s="22"/>
      <c r="S119" s="7" t="str">
        <f aca="false">IF(Q119="Yes",R119-B119,"")</f>
        <v/>
      </c>
      <c r="T119" s="6"/>
      <c r="U119" s="7" t="n">
        <v>0</v>
      </c>
      <c r="V119" s="7" t="n">
        <v>0</v>
      </c>
      <c r="W119" s="7" t="n">
        <v>0</v>
      </c>
      <c r="X119" s="7" t="n">
        <v>0</v>
      </c>
      <c r="Y119" s="10" t="str">
        <f aca="false">IF(Q119="Yes",IFERROR(W119/V119,"-"),"")</f>
        <v/>
      </c>
      <c r="Z119" s="10" t="str">
        <f aca="false">IF(Q119="Yes",IFERROR(X119/V119,"-"),"")</f>
        <v/>
      </c>
      <c r="AA119" s="7" t="n">
        <v>0</v>
      </c>
    </row>
    <row r="120" customFormat="false" ht="15" hidden="false" customHeight="false" outlineLevel="0" collapsed="false">
      <c r="A120" s="6" t="s">
        <v>219</v>
      </c>
      <c r="B120" s="22" t="n">
        <v>46182</v>
      </c>
      <c r="C120" s="6" t="str">
        <f aca="false">TEXT(B120,"yyyy-mm")</f>
        <v>2026-06</v>
      </c>
      <c r="D120" s="6" t="s">
        <v>52</v>
      </c>
      <c r="E120" s="6" t="s">
        <v>214</v>
      </c>
      <c r="F120" s="22" t="n">
        <v>46202</v>
      </c>
      <c r="G120" s="7" t="n">
        <f aca="false">Summary!$C$5-B120</f>
        <v>138</v>
      </c>
      <c r="H120" s="7" t="n">
        <v>2482.62</v>
      </c>
      <c r="I120" s="7" t="n">
        <v>3387</v>
      </c>
      <c r="J120" s="7" t="n">
        <v>33</v>
      </c>
      <c r="K120" s="7" t="n">
        <v>852</v>
      </c>
      <c r="L120" s="10" t="n">
        <f aca="false">IFERROR(J120/I120,"-")</f>
        <v>0.00974313551815766</v>
      </c>
      <c r="M120" s="10" t="n">
        <f aca="false">IFERROR(K120/I120,"-")</f>
        <v>0.25155004428698</v>
      </c>
      <c r="N120" s="7" t="n">
        <f aca="false">IFERROR(H120/I120*1000,"-")</f>
        <v>732.984942426927</v>
      </c>
      <c r="O120" s="7" t="n">
        <v>6</v>
      </c>
      <c r="P120" s="7" t="n">
        <f aca="false">IFERROR(H120/O120,"-")</f>
        <v>413.77</v>
      </c>
      <c r="Q120" s="6" t="s">
        <v>100</v>
      </c>
      <c r="R120" s="22" t="n">
        <v>46202</v>
      </c>
      <c r="S120" s="7" t="n">
        <f aca="false">IF(Q120="Yes",R120-B120,"")</f>
        <v>20</v>
      </c>
      <c r="T120" s="6" t="s">
        <v>53</v>
      </c>
      <c r="U120" s="7" t="n">
        <v>27215.03</v>
      </c>
      <c r="V120" s="7" t="n">
        <v>88299</v>
      </c>
      <c r="W120" s="7" t="n">
        <v>533</v>
      </c>
      <c r="X120" s="7" t="n">
        <v>17178.02</v>
      </c>
      <c r="Y120" s="10" t="n">
        <f aca="false">IF(Q120="Yes",IFERROR(W120/V120,"-"),"")</f>
        <v>0.00603630845196435</v>
      </c>
      <c r="Z120" s="10" t="n">
        <f aca="false">IF(Q120="Yes",IFERROR(X120/V120,"-"),"")</f>
        <v>0.194543766067566</v>
      </c>
      <c r="AA120" s="7" t="n">
        <v>3</v>
      </c>
    </row>
    <row r="121" customFormat="false" ht="15" hidden="false" customHeight="false" outlineLevel="0" collapsed="false">
      <c r="A121" s="6" t="s">
        <v>220</v>
      </c>
      <c r="B121" s="22" t="n">
        <v>46182</v>
      </c>
      <c r="C121" s="6" t="str">
        <f aca="false">TEXT(B121,"yyyy-mm")</f>
        <v>2026-06</v>
      </c>
      <c r="D121" s="6" t="s">
        <v>52</v>
      </c>
      <c r="E121" s="6" t="s">
        <v>99</v>
      </c>
      <c r="F121" s="22" t="n">
        <v>46188</v>
      </c>
      <c r="G121" s="7" t="n">
        <f aca="false">Summary!$C$5-B121</f>
        <v>138</v>
      </c>
      <c r="H121" s="7" t="n">
        <v>2645.78</v>
      </c>
      <c r="I121" s="7" t="n">
        <v>5332</v>
      </c>
      <c r="J121" s="7" t="n">
        <v>29</v>
      </c>
      <c r="K121" s="7" t="n">
        <v>673.89</v>
      </c>
      <c r="L121" s="10" t="n">
        <f aca="false">IFERROR(J121/I121,"-")</f>
        <v>0.00543885971492873</v>
      </c>
      <c r="M121" s="10" t="n">
        <f aca="false">IFERROR(K121/I121,"-")</f>
        <v>0.126385971492873</v>
      </c>
      <c r="N121" s="7" t="n">
        <f aca="false">IFERROR(H121/I121*1000,"-")</f>
        <v>496.207801950488</v>
      </c>
      <c r="O121" s="7" t="n">
        <v>2</v>
      </c>
      <c r="P121" s="7" t="n">
        <f aca="false">IFERROR(H121/O121,"-")</f>
        <v>1322.89</v>
      </c>
      <c r="Q121" s="6" t="s">
        <v>100</v>
      </c>
      <c r="R121" s="22" t="n">
        <v>46188</v>
      </c>
      <c r="S121" s="7" t="n">
        <f aca="false">IF(Q121="Yes",R121-B121,"")</f>
        <v>6</v>
      </c>
      <c r="T121" s="6" t="s">
        <v>101</v>
      </c>
      <c r="U121" s="7" t="n">
        <v>14520.3</v>
      </c>
      <c r="V121" s="7" t="n">
        <v>61147</v>
      </c>
      <c r="W121" s="7" t="n">
        <v>246</v>
      </c>
      <c r="X121" s="7" t="n">
        <v>5444.71</v>
      </c>
      <c r="Y121" s="10" t="n">
        <f aca="false">IF(Q121="Yes",IFERROR(W121/V121,"-"),"")</f>
        <v>0.0040230918933063</v>
      </c>
      <c r="Z121" s="10" t="n">
        <f aca="false">IF(Q121="Yes",IFERROR(X121/V121,"-"),"")</f>
        <v>0.0890429620422915</v>
      </c>
      <c r="AA121" s="7" t="n">
        <v>11</v>
      </c>
    </row>
    <row r="122" customFormat="false" ht="15" hidden="false" customHeight="false" outlineLevel="0" collapsed="false">
      <c r="A122" s="6" t="s">
        <v>221</v>
      </c>
      <c r="B122" s="22" t="n">
        <v>46182</v>
      </c>
      <c r="C122" s="6" t="str">
        <f aca="false">TEXT(B122,"yyyy-mm")</f>
        <v>2026-06</v>
      </c>
      <c r="D122" s="6" t="s">
        <v>52</v>
      </c>
      <c r="E122" s="6" t="s">
        <v>99</v>
      </c>
      <c r="F122" s="22" t="n">
        <v>46188</v>
      </c>
      <c r="G122" s="7" t="n">
        <f aca="false">Summary!$C$5-B122</f>
        <v>138</v>
      </c>
      <c r="H122" s="7" t="n">
        <v>22258.75</v>
      </c>
      <c r="I122" s="7" t="n">
        <v>53182</v>
      </c>
      <c r="J122" s="7" t="n">
        <v>308</v>
      </c>
      <c r="K122" s="7" t="n">
        <v>8452.54</v>
      </c>
      <c r="L122" s="10" t="n">
        <f aca="false">IFERROR(J122/I122,"-")</f>
        <v>0.0057914331916814</v>
      </c>
      <c r="M122" s="10" t="n">
        <f aca="false">IFERROR(K122/I122,"-")</f>
        <v>0.158936106201346</v>
      </c>
      <c r="N122" s="7" t="n">
        <f aca="false">IFERROR(H122/I122*1000,"-")</f>
        <v>418.539167387462</v>
      </c>
      <c r="O122" s="7" t="n">
        <v>7</v>
      </c>
      <c r="P122" s="7" t="n">
        <f aca="false">IFERROR(H122/O122,"-")</f>
        <v>3179.82142857143</v>
      </c>
      <c r="Q122" s="6" t="s">
        <v>100</v>
      </c>
      <c r="R122" s="22" t="n">
        <v>46188</v>
      </c>
      <c r="S122" s="7" t="n">
        <f aca="false">IF(Q122="Yes",R122-B122,"")</f>
        <v>6</v>
      </c>
      <c r="T122" s="6" t="s">
        <v>101</v>
      </c>
      <c r="U122" s="7" t="n">
        <v>87892.59</v>
      </c>
      <c r="V122" s="7" t="n">
        <v>388918</v>
      </c>
      <c r="W122" s="7" t="n">
        <v>2500</v>
      </c>
      <c r="X122" s="7" t="n">
        <v>47236.5</v>
      </c>
      <c r="Y122" s="10" t="n">
        <f aca="false">IF(Q122="Yes",IFERROR(W122/V122,"-"),"")</f>
        <v>0.00642809024010203</v>
      </c>
      <c r="Z122" s="10" t="n">
        <f aca="false">IF(Q122="Yes",IFERROR(X122/V122,"-"),"")</f>
        <v>0.121456193850632</v>
      </c>
      <c r="AA122" s="7" t="n">
        <v>23</v>
      </c>
    </row>
    <row r="123" customFormat="false" ht="15" hidden="false" customHeight="false" outlineLevel="0" collapsed="false">
      <c r="A123" s="6" t="s">
        <v>222</v>
      </c>
      <c r="B123" s="22" t="n">
        <v>46189</v>
      </c>
      <c r="C123" s="6" t="str">
        <f aca="false">TEXT(B123,"yyyy-mm")</f>
        <v>2026-06</v>
      </c>
      <c r="D123" s="6" t="s">
        <v>52</v>
      </c>
      <c r="E123" s="6" t="s">
        <v>99</v>
      </c>
      <c r="F123" s="22" t="n">
        <v>46195</v>
      </c>
      <c r="G123" s="7" t="n">
        <f aca="false">Summary!$C$5-B123</f>
        <v>131</v>
      </c>
      <c r="H123" s="7" t="n">
        <v>21607.45</v>
      </c>
      <c r="I123" s="7" t="n">
        <v>51152</v>
      </c>
      <c r="J123" s="7" t="n">
        <v>226</v>
      </c>
      <c r="K123" s="7" t="n">
        <v>4375.21</v>
      </c>
      <c r="L123" s="10" t="n">
        <f aca="false">IFERROR(J123/I123,"-")</f>
        <v>0.00441820456678136</v>
      </c>
      <c r="M123" s="10" t="n">
        <f aca="false">IFERROR(K123/I123,"-")</f>
        <v>0.0855335079762277</v>
      </c>
      <c r="N123" s="7" t="n">
        <f aca="false">IFERROR(H123/I123*1000,"-")</f>
        <v>422.416523303097</v>
      </c>
      <c r="O123" s="7" t="n">
        <v>7</v>
      </c>
      <c r="P123" s="7" t="n">
        <f aca="false">IFERROR(H123/O123,"-")</f>
        <v>3086.77857142857</v>
      </c>
      <c r="Q123" s="6" t="s">
        <v>90</v>
      </c>
      <c r="R123" s="22"/>
      <c r="S123" s="7" t="str">
        <f aca="false">IF(Q123="Yes",R123-B123,"")</f>
        <v/>
      </c>
      <c r="T123" s="6"/>
      <c r="U123" s="7" t="n">
        <v>0</v>
      </c>
      <c r="V123" s="7" t="n">
        <v>0</v>
      </c>
      <c r="W123" s="7" t="n">
        <v>0</v>
      </c>
      <c r="X123" s="7" t="n">
        <v>0</v>
      </c>
      <c r="Y123" s="10" t="str">
        <f aca="false">IF(Q123="Yes",IFERROR(W123/V123,"-"),"")</f>
        <v/>
      </c>
      <c r="Z123" s="10" t="str">
        <f aca="false">IF(Q123="Yes",IFERROR(X123/V123,"-"),"")</f>
        <v/>
      </c>
      <c r="AA123" s="7" t="n">
        <v>0</v>
      </c>
    </row>
    <row r="124" customFormat="false" ht="15" hidden="false" customHeight="false" outlineLevel="0" collapsed="false">
      <c r="A124" s="6" t="s">
        <v>223</v>
      </c>
      <c r="B124" s="22" t="n">
        <v>46196</v>
      </c>
      <c r="C124" s="6" t="str">
        <f aca="false">TEXT(B124,"yyyy-mm")</f>
        <v>2026-06</v>
      </c>
      <c r="D124" s="6" t="s">
        <v>52</v>
      </c>
      <c r="E124" s="6" t="s">
        <v>214</v>
      </c>
      <c r="F124" s="22" t="n">
        <v>46202</v>
      </c>
      <c r="G124" s="7" t="n">
        <f aca="false">Summary!$C$5-B124</f>
        <v>124</v>
      </c>
      <c r="H124" s="7" t="n">
        <v>5370.39</v>
      </c>
      <c r="I124" s="7" t="n">
        <v>16759</v>
      </c>
      <c r="J124" s="7" t="n">
        <v>260</v>
      </c>
      <c r="K124" s="7" t="n">
        <v>7187.72</v>
      </c>
      <c r="L124" s="10" t="n">
        <f aca="false">IFERROR(J124/I124,"-")</f>
        <v>0.015514052151083</v>
      </c>
      <c r="M124" s="10" t="n">
        <f aca="false">IFERROR(K124/I124,"-")</f>
        <v>0.428887165105317</v>
      </c>
      <c r="N124" s="7" t="n">
        <f aca="false">IFERROR(H124/I124*1000,"-")</f>
        <v>320.448117429441</v>
      </c>
      <c r="O124" s="7" t="n">
        <v>2</v>
      </c>
      <c r="P124" s="7" t="n">
        <f aca="false">IFERROR(H124/O124,"-")</f>
        <v>2685.195</v>
      </c>
      <c r="Q124" s="6" t="s">
        <v>100</v>
      </c>
      <c r="R124" s="22" t="n">
        <v>46202</v>
      </c>
      <c r="S124" s="7" t="n">
        <f aca="false">IF(Q124="Yes",R124-B124,"")</f>
        <v>6</v>
      </c>
      <c r="T124" s="6" t="s">
        <v>53</v>
      </c>
      <c r="U124" s="7" t="n">
        <v>230476.19</v>
      </c>
      <c r="V124" s="7" t="n">
        <v>1935715</v>
      </c>
      <c r="W124" s="7" t="n">
        <v>19183</v>
      </c>
      <c r="X124" s="7" t="n">
        <v>451626.17</v>
      </c>
      <c r="Y124" s="10" t="n">
        <f aca="false">IF(Q124="Yes",IFERROR(W124/V124,"-"),"")</f>
        <v>0.00991003324353017</v>
      </c>
      <c r="Z124" s="10" t="n">
        <f aca="false">IF(Q124="Yes",IFERROR(X124/V124,"-"),"")</f>
        <v>0.233312326453016</v>
      </c>
      <c r="AA124" s="7" t="n">
        <v>26</v>
      </c>
    </row>
    <row r="125" customFormat="false" ht="15" hidden="false" customHeight="false" outlineLevel="0" collapsed="false">
      <c r="A125" s="6" t="s">
        <v>224</v>
      </c>
      <c r="B125" s="22" t="n">
        <v>46196</v>
      </c>
      <c r="C125" s="6" t="str">
        <f aca="false">TEXT(B125,"yyyy-mm")</f>
        <v>2026-06</v>
      </c>
      <c r="D125" s="6" t="s">
        <v>52</v>
      </c>
      <c r="E125" s="6" t="s">
        <v>214</v>
      </c>
      <c r="F125" s="22" t="n">
        <v>46209</v>
      </c>
      <c r="G125" s="7" t="n">
        <f aca="false">Summary!$C$5-B125</f>
        <v>124</v>
      </c>
      <c r="H125" s="7" t="n">
        <v>2169.3</v>
      </c>
      <c r="I125" s="7" t="n">
        <v>3514</v>
      </c>
      <c r="J125" s="7" t="n">
        <v>18</v>
      </c>
      <c r="K125" s="7" t="n">
        <v>402.01</v>
      </c>
      <c r="L125" s="10" t="n">
        <f aca="false">IFERROR(J125/I125,"-")</f>
        <v>0.00512236767216847</v>
      </c>
      <c r="M125" s="10" t="n">
        <f aca="false">IFERROR(K125/I125,"-")</f>
        <v>0.114402390438247</v>
      </c>
      <c r="N125" s="7" t="n">
        <f aca="false">IFERROR(H125/I125*1000,"-")</f>
        <v>617.330677290837</v>
      </c>
      <c r="O125" s="7" t="n">
        <v>0</v>
      </c>
      <c r="P125" s="7" t="str">
        <f aca="false">IFERROR(H125/O125,"-")</f>
        <v>-</v>
      </c>
      <c r="Q125" s="6" t="s">
        <v>90</v>
      </c>
      <c r="R125" s="22"/>
      <c r="S125" s="7" t="str">
        <f aca="false">IF(Q125="Yes",R125-B125,"")</f>
        <v/>
      </c>
      <c r="T125" s="6"/>
      <c r="U125" s="7" t="n">
        <v>0</v>
      </c>
      <c r="V125" s="7" t="n">
        <v>0</v>
      </c>
      <c r="W125" s="7" t="n">
        <v>0</v>
      </c>
      <c r="X125" s="7" t="n">
        <v>0</v>
      </c>
      <c r="Y125" s="10" t="str">
        <f aca="false">IF(Q125="Yes",IFERROR(W125/V125,"-"),"")</f>
        <v/>
      </c>
      <c r="Z125" s="10" t="str">
        <f aca="false">IF(Q125="Yes",IFERROR(X125/V125,"-"),"")</f>
        <v/>
      </c>
      <c r="AA125" s="7" t="n">
        <v>0</v>
      </c>
    </row>
    <row r="126" customFormat="false" ht="15" hidden="false" customHeight="false" outlineLevel="0" collapsed="false">
      <c r="A126" s="6" t="s">
        <v>225</v>
      </c>
      <c r="B126" s="22" t="n">
        <v>46196</v>
      </c>
      <c r="C126" s="6" t="str">
        <f aca="false">TEXT(B126,"yyyy-mm")</f>
        <v>2026-06</v>
      </c>
      <c r="D126" s="6" t="s">
        <v>52</v>
      </c>
      <c r="E126" s="6" t="s">
        <v>214</v>
      </c>
      <c r="F126" s="22" t="n">
        <v>46209</v>
      </c>
      <c r="G126" s="7" t="n">
        <f aca="false">Summary!$C$5-B126</f>
        <v>124</v>
      </c>
      <c r="H126" s="7" t="n">
        <v>6148.46</v>
      </c>
      <c r="I126" s="7" t="n">
        <v>9691</v>
      </c>
      <c r="J126" s="7" t="n">
        <v>74</v>
      </c>
      <c r="K126" s="7" t="n">
        <v>1602.03</v>
      </c>
      <c r="L126" s="10" t="n">
        <f aca="false">IFERROR(J126/I126,"-")</f>
        <v>0.00763595088226189</v>
      </c>
      <c r="M126" s="10" t="n">
        <f aca="false">IFERROR(K126/I126,"-")</f>
        <v>0.165311113404189</v>
      </c>
      <c r="N126" s="7" t="n">
        <f aca="false">IFERROR(H126/I126*1000,"-")</f>
        <v>634.450521102054</v>
      </c>
      <c r="O126" s="7" t="n">
        <v>1</v>
      </c>
      <c r="P126" s="7" t="n">
        <f aca="false">IFERROR(H126/O126,"-")</f>
        <v>6148.46</v>
      </c>
      <c r="Q126" s="6" t="s">
        <v>90</v>
      </c>
      <c r="R126" s="22"/>
      <c r="S126" s="7" t="str">
        <f aca="false">IF(Q126="Yes",R126-B126,"")</f>
        <v/>
      </c>
      <c r="T126" s="6"/>
      <c r="U126" s="7" t="n">
        <v>0</v>
      </c>
      <c r="V126" s="7" t="n">
        <v>0</v>
      </c>
      <c r="W126" s="7" t="n">
        <v>0</v>
      </c>
      <c r="X126" s="7" t="n">
        <v>0</v>
      </c>
      <c r="Y126" s="10" t="str">
        <f aca="false">IF(Q126="Yes",IFERROR(W126/V126,"-"),"")</f>
        <v/>
      </c>
      <c r="Z126" s="10" t="str">
        <f aca="false">IF(Q126="Yes",IFERROR(X126/V126,"-"),"")</f>
        <v/>
      </c>
      <c r="AA126" s="7" t="n">
        <v>0</v>
      </c>
    </row>
    <row r="127" customFormat="false" ht="15" hidden="false" customHeight="false" outlineLevel="0" collapsed="false">
      <c r="A127" s="6" t="s">
        <v>226</v>
      </c>
      <c r="B127" s="22" t="n">
        <v>46196</v>
      </c>
      <c r="C127" s="6" t="str">
        <f aca="false">TEXT(B127,"yyyy-mm")</f>
        <v>2026-06</v>
      </c>
      <c r="D127" s="6" t="s">
        <v>52</v>
      </c>
      <c r="E127" s="6" t="s">
        <v>214</v>
      </c>
      <c r="F127" s="22" t="n">
        <v>46202</v>
      </c>
      <c r="G127" s="7" t="n">
        <f aca="false">Summary!$C$5-B127</f>
        <v>124</v>
      </c>
      <c r="H127" s="7" t="n">
        <v>5586.26</v>
      </c>
      <c r="I127" s="7" t="n">
        <v>17977</v>
      </c>
      <c r="J127" s="7" t="n">
        <v>93</v>
      </c>
      <c r="K127" s="7" t="n">
        <v>3333.97</v>
      </c>
      <c r="L127" s="10" t="n">
        <f aca="false">IFERROR(J127/I127,"-")</f>
        <v>0.00517327696501085</v>
      </c>
      <c r="M127" s="10" t="n">
        <f aca="false">IFERROR(K127/I127,"-")</f>
        <v>0.185457529064916</v>
      </c>
      <c r="N127" s="7" t="n">
        <f aca="false">IFERROR(H127/I127*1000,"-")</f>
        <v>310.744840629694</v>
      </c>
      <c r="O127" s="7" t="n">
        <v>1</v>
      </c>
      <c r="P127" s="7" t="n">
        <f aca="false">IFERROR(H127/O127,"-")</f>
        <v>5586.26</v>
      </c>
      <c r="Q127" s="6" t="s">
        <v>90</v>
      </c>
      <c r="R127" s="22"/>
      <c r="S127" s="7" t="str">
        <f aca="false">IF(Q127="Yes",R127-B127,"")</f>
        <v/>
      </c>
      <c r="T127" s="6"/>
      <c r="U127" s="7" t="n">
        <v>0</v>
      </c>
      <c r="V127" s="7" t="n">
        <v>0</v>
      </c>
      <c r="W127" s="7" t="n">
        <v>0</v>
      </c>
      <c r="X127" s="7" t="n">
        <v>0</v>
      </c>
      <c r="Y127" s="10" t="str">
        <f aca="false">IF(Q127="Yes",IFERROR(W127/V127,"-"),"")</f>
        <v/>
      </c>
      <c r="Z127" s="10" t="str">
        <f aca="false">IF(Q127="Yes",IFERROR(X127/V127,"-"),"")</f>
        <v/>
      </c>
      <c r="AA127" s="7" t="n">
        <v>0</v>
      </c>
    </row>
    <row r="128" customFormat="false" ht="15" hidden="false" customHeight="false" outlineLevel="0" collapsed="false">
      <c r="A128" s="6" t="s">
        <v>227</v>
      </c>
      <c r="B128" s="22" t="n">
        <v>46196</v>
      </c>
      <c r="C128" s="6" t="str">
        <f aca="false">TEXT(B128,"yyyy-mm")</f>
        <v>2026-06</v>
      </c>
      <c r="D128" s="6" t="s">
        <v>52</v>
      </c>
      <c r="E128" s="6" t="s">
        <v>214</v>
      </c>
      <c r="F128" s="22" t="n">
        <v>46202</v>
      </c>
      <c r="G128" s="7" t="n">
        <f aca="false">Summary!$C$5-B128</f>
        <v>124</v>
      </c>
      <c r="H128" s="7" t="n">
        <v>16833.05</v>
      </c>
      <c r="I128" s="7" t="n">
        <v>30387</v>
      </c>
      <c r="J128" s="7" t="n">
        <v>442</v>
      </c>
      <c r="K128" s="7" t="n">
        <v>11737.47</v>
      </c>
      <c r="L128" s="10" t="n">
        <f aca="false">IFERROR(J128/I128,"-")</f>
        <v>0.0145456938822523</v>
      </c>
      <c r="M128" s="10" t="n">
        <f aca="false">IFERROR(K128/I128,"-")</f>
        <v>0.386266166452759</v>
      </c>
      <c r="N128" s="7" t="n">
        <f aca="false">IFERROR(H128/I128*1000,"-")</f>
        <v>553.95563892454</v>
      </c>
      <c r="O128" s="7" t="n">
        <v>4</v>
      </c>
      <c r="P128" s="7" t="n">
        <f aca="false">IFERROR(H128/O128,"-")</f>
        <v>4208.2625</v>
      </c>
      <c r="Q128" s="6" t="s">
        <v>90</v>
      </c>
      <c r="R128" s="22"/>
      <c r="S128" s="7" t="str">
        <f aca="false">IF(Q128="Yes",R128-B128,"")</f>
        <v/>
      </c>
      <c r="T128" s="6"/>
      <c r="U128" s="7" t="n">
        <v>0</v>
      </c>
      <c r="V128" s="7" t="n">
        <v>0</v>
      </c>
      <c r="W128" s="7" t="n">
        <v>0</v>
      </c>
      <c r="X128" s="7" t="n">
        <v>0</v>
      </c>
      <c r="Y128" s="10" t="str">
        <f aca="false">IF(Q128="Yes",IFERROR(W128/V128,"-"),"")</f>
        <v/>
      </c>
      <c r="Z128" s="10" t="str">
        <f aca="false">IF(Q128="Yes",IFERROR(X128/V128,"-"),"")</f>
        <v/>
      </c>
      <c r="AA128" s="7" t="n">
        <v>0</v>
      </c>
    </row>
    <row r="129" customFormat="false" ht="15" hidden="false" customHeight="false" outlineLevel="0" collapsed="false">
      <c r="A129" s="6" t="s">
        <v>228</v>
      </c>
      <c r="B129" s="22" t="n">
        <v>46196</v>
      </c>
      <c r="C129" s="6" t="str">
        <f aca="false">TEXT(B129,"yyyy-mm")</f>
        <v>2026-06</v>
      </c>
      <c r="D129" s="6" t="s">
        <v>52</v>
      </c>
      <c r="E129" s="6" t="s">
        <v>214</v>
      </c>
      <c r="F129" s="22" t="n">
        <v>46210</v>
      </c>
      <c r="G129" s="7" t="n">
        <f aca="false">Summary!$C$5-B129</f>
        <v>124</v>
      </c>
      <c r="H129" s="7" t="n">
        <v>7462.22</v>
      </c>
      <c r="I129" s="7" t="n">
        <v>9630</v>
      </c>
      <c r="J129" s="7" t="n">
        <v>75</v>
      </c>
      <c r="K129" s="7" t="n">
        <v>1484</v>
      </c>
      <c r="L129" s="10" t="n">
        <f aca="false">IFERROR(J129/I129,"-")</f>
        <v>0.00778816199376947</v>
      </c>
      <c r="M129" s="10" t="n">
        <f aca="false">IFERROR(K129/I129,"-")</f>
        <v>0.154101765316719</v>
      </c>
      <c r="N129" s="7" t="n">
        <f aca="false">IFERROR(H129/I129*1000,"-")</f>
        <v>774.893042575285</v>
      </c>
      <c r="O129" s="7" t="n">
        <v>7</v>
      </c>
      <c r="P129" s="7" t="n">
        <f aca="false">IFERROR(H129/O129,"-")</f>
        <v>1066.03142857143</v>
      </c>
      <c r="Q129" s="6" t="s">
        <v>100</v>
      </c>
      <c r="R129" s="22" t="n">
        <v>46210</v>
      </c>
      <c r="S129" s="7" t="n">
        <f aca="false">IF(Q129="Yes",R129-B129,"")</f>
        <v>14</v>
      </c>
      <c r="T129" s="6" t="s">
        <v>53</v>
      </c>
      <c r="U129" s="7" t="n">
        <v>8865.32</v>
      </c>
      <c r="V129" s="7" t="n">
        <v>32719</v>
      </c>
      <c r="W129" s="7" t="n">
        <v>107</v>
      </c>
      <c r="X129" s="7" t="n">
        <v>3945.2</v>
      </c>
      <c r="Y129" s="10" t="n">
        <f aca="false">IF(Q129="Yes",IFERROR(W129/V129,"-"),"")</f>
        <v>0.0032702710963049</v>
      </c>
      <c r="Z129" s="10" t="n">
        <f aca="false">IF(Q129="Yes",IFERROR(X129/V129,"-"),"")</f>
        <v>0.120578257281702</v>
      </c>
      <c r="AA129" s="7" t="n">
        <v>0</v>
      </c>
    </row>
    <row r="130" customFormat="false" ht="15" hidden="false" customHeight="false" outlineLevel="0" collapsed="false">
      <c r="A130" s="6" t="s">
        <v>229</v>
      </c>
      <c r="B130" s="22" t="n">
        <v>46196</v>
      </c>
      <c r="C130" s="6" t="str">
        <f aca="false">TEXT(B130,"yyyy-mm")</f>
        <v>2026-06</v>
      </c>
      <c r="D130" s="6" t="s">
        <v>52</v>
      </c>
      <c r="E130" s="6" t="s">
        <v>214</v>
      </c>
      <c r="F130" s="22" t="n">
        <v>46204</v>
      </c>
      <c r="G130" s="7" t="n">
        <f aca="false">Summary!$C$5-B130</f>
        <v>124</v>
      </c>
      <c r="H130" s="7" t="n">
        <v>5711.24</v>
      </c>
      <c r="I130" s="7" t="n">
        <v>16275</v>
      </c>
      <c r="J130" s="7" t="n">
        <v>240</v>
      </c>
      <c r="K130" s="7" t="n">
        <v>6935.39</v>
      </c>
      <c r="L130" s="10" t="n">
        <f aca="false">IFERROR(J130/I130,"-")</f>
        <v>0.0147465437788018</v>
      </c>
      <c r="M130" s="10" t="n">
        <f aca="false">IFERROR(K130/I130,"-")</f>
        <v>0.426137634408602</v>
      </c>
      <c r="N130" s="7" t="n">
        <f aca="false">IFERROR(H130/I130*1000,"-")</f>
        <v>350.921044546851</v>
      </c>
      <c r="O130" s="7" t="n">
        <v>0</v>
      </c>
      <c r="P130" s="7" t="str">
        <f aca="false">IFERROR(H130/O130,"-")</f>
        <v>-</v>
      </c>
      <c r="Q130" s="6" t="s">
        <v>90</v>
      </c>
      <c r="R130" s="22"/>
      <c r="S130" s="7" t="str">
        <f aca="false">IF(Q130="Yes",R130-B130,"")</f>
        <v/>
      </c>
      <c r="T130" s="6"/>
      <c r="U130" s="7" t="n">
        <v>0</v>
      </c>
      <c r="V130" s="7" t="n">
        <v>0</v>
      </c>
      <c r="W130" s="7" t="n">
        <v>0</v>
      </c>
      <c r="X130" s="7" t="n">
        <v>0</v>
      </c>
      <c r="Y130" s="10" t="str">
        <f aca="false">IF(Q130="Yes",IFERROR(W130/V130,"-"),"")</f>
        <v/>
      </c>
      <c r="Z130" s="10" t="str">
        <f aca="false">IF(Q130="Yes",IFERROR(X130/V130,"-"),"")</f>
        <v/>
      </c>
      <c r="AA130" s="7" t="n">
        <v>0</v>
      </c>
    </row>
    <row r="131" customFormat="false" ht="15" hidden="false" customHeight="false" outlineLevel="0" collapsed="false">
      <c r="A131" s="6" t="s">
        <v>230</v>
      </c>
      <c r="B131" s="22" t="n">
        <v>46197</v>
      </c>
      <c r="C131" s="6" t="str">
        <f aca="false">TEXT(B131,"yyyy-mm")</f>
        <v>2026-06</v>
      </c>
      <c r="D131" s="6" t="s">
        <v>52</v>
      </c>
      <c r="E131" s="6" t="s">
        <v>99</v>
      </c>
      <c r="F131" s="22" t="n">
        <v>46206</v>
      </c>
      <c r="G131" s="7" t="n">
        <f aca="false">Summary!$C$5-B131</f>
        <v>123</v>
      </c>
      <c r="H131" s="7" t="n">
        <v>23585.51</v>
      </c>
      <c r="I131" s="7" t="n">
        <v>61770</v>
      </c>
      <c r="J131" s="7" t="n">
        <v>327</v>
      </c>
      <c r="K131" s="7" t="n">
        <v>9117.07</v>
      </c>
      <c r="L131" s="10" t="n">
        <f aca="false">IFERROR(J131/I131,"-")</f>
        <v>0.00529383195726081</v>
      </c>
      <c r="M131" s="10" t="n">
        <f aca="false">IFERROR(K131/I131,"-")</f>
        <v>0.147597053585883</v>
      </c>
      <c r="N131" s="7" t="n">
        <f aca="false">IFERROR(H131/I131*1000,"-")</f>
        <v>381.827909988668</v>
      </c>
      <c r="O131" s="7" t="n">
        <v>7</v>
      </c>
      <c r="P131" s="7" t="n">
        <f aca="false">IFERROR(H131/O131,"-")</f>
        <v>3369.35857142857</v>
      </c>
      <c r="Q131" s="6" t="s">
        <v>90</v>
      </c>
      <c r="R131" s="22"/>
      <c r="S131" s="7" t="str">
        <f aca="false">IF(Q131="Yes",R131-B131,"")</f>
        <v/>
      </c>
      <c r="T131" s="6"/>
      <c r="U131" s="7" t="n">
        <v>0</v>
      </c>
      <c r="V131" s="7" t="n">
        <v>0</v>
      </c>
      <c r="W131" s="7" t="n">
        <v>0</v>
      </c>
      <c r="X131" s="7" t="n">
        <v>0</v>
      </c>
      <c r="Y131" s="10" t="str">
        <f aca="false">IF(Q131="Yes",IFERROR(W131/V131,"-"),"")</f>
        <v/>
      </c>
      <c r="Z131" s="10" t="str">
        <f aca="false">IF(Q131="Yes",IFERROR(X131/V131,"-"),"")</f>
        <v/>
      </c>
      <c r="AA131" s="7" t="n">
        <v>0</v>
      </c>
    </row>
    <row r="132" customFormat="false" ht="15" hidden="false" customHeight="false" outlineLevel="0" collapsed="false">
      <c r="A132" s="6" t="s">
        <v>231</v>
      </c>
      <c r="B132" s="22" t="n">
        <v>46197</v>
      </c>
      <c r="C132" s="6" t="str">
        <f aca="false">TEXT(B132,"yyyy-mm")</f>
        <v>2026-06</v>
      </c>
      <c r="D132" s="6" t="s">
        <v>52</v>
      </c>
      <c r="E132" s="6" t="s">
        <v>99</v>
      </c>
      <c r="F132" s="22" t="n">
        <v>46202</v>
      </c>
      <c r="G132" s="7" t="n">
        <f aca="false">Summary!$C$5-B132</f>
        <v>123</v>
      </c>
      <c r="H132" s="7" t="n">
        <v>2001.88</v>
      </c>
      <c r="I132" s="7" t="n">
        <v>4076</v>
      </c>
      <c r="J132" s="7" t="n">
        <v>21</v>
      </c>
      <c r="K132" s="7" t="n">
        <v>595.02</v>
      </c>
      <c r="L132" s="10" t="n">
        <f aca="false">IFERROR(J132/I132,"-")</f>
        <v>0.00515210991167812</v>
      </c>
      <c r="M132" s="10" t="n">
        <f aca="false">IFERROR(K132/I132,"-")</f>
        <v>0.145981354268891</v>
      </c>
      <c r="N132" s="7" t="n">
        <f aca="false">IFERROR(H132/I132*1000,"-")</f>
        <v>491.138370951914</v>
      </c>
      <c r="O132" s="7" t="n">
        <v>0</v>
      </c>
      <c r="P132" s="7" t="str">
        <f aca="false">IFERROR(H132/O132,"-")</f>
        <v>-</v>
      </c>
      <c r="Q132" s="6" t="s">
        <v>90</v>
      </c>
      <c r="R132" s="22"/>
      <c r="S132" s="7" t="str">
        <f aca="false">IF(Q132="Yes",R132-B132,"")</f>
        <v/>
      </c>
      <c r="T132" s="6"/>
      <c r="U132" s="7" t="n">
        <v>0</v>
      </c>
      <c r="V132" s="7" t="n">
        <v>0</v>
      </c>
      <c r="W132" s="7" t="n">
        <v>0</v>
      </c>
      <c r="X132" s="7" t="n">
        <v>0</v>
      </c>
      <c r="Y132" s="10" t="str">
        <f aca="false">IF(Q132="Yes",IFERROR(W132/V132,"-"),"")</f>
        <v/>
      </c>
      <c r="Z132" s="10" t="str">
        <f aca="false">IF(Q132="Yes",IFERROR(X132/V132,"-"),"")</f>
        <v/>
      </c>
      <c r="AA132" s="7" t="n">
        <v>0</v>
      </c>
    </row>
    <row r="133" customFormat="false" ht="15" hidden="false" customHeight="false" outlineLevel="0" collapsed="false">
      <c r="A133" s="6" t="s">
        <v>232</v>
      </c>
      <c r="B133" s="22" t="n">
        <v>46197</v>
      </c>
      <c r="C133" s="6" t="str">
        <f aca="false">TEXT(B133,"yyyy-mm")</f>
        <v>2026-06</v>
      </c>
      <c r="D133" s="6" t="s">
        <v>52</v>
      </c>
      <c r="E133" s="6" t="s">
        <v>99</v>
      </c>
      <c r="F133" s="22" t="n">
        <v>46202</v>
      </c>
      <c r="G133" s="7" t="n">
        <f aca="false">Summary!$C$5-B133</f>
        <v>123</v>
      </c>
      <c r="H133" s="7" t="n">
        <v>3667.48</v>
      </c>
      <c r="I133" s="7" t="n">
        <v>10007</v>
      </c>
      <c r="J133" s="7" t="n">
        <v>41</v>
      </c>
      <c r="K133" s="7" t="n">
        <v>1463.18</v>
      </c>
      <c r="L133" s="10" t="n">
        <f aca="false">IFERROR(J133/I133,"-")</f>
        <v>0.00409713200759468</v>
      </c>
      <c r="M133" s="10" t="n">
        <f aca="false">IFERROR(K133/I133,"-")</f>
        <v>0.146215649045668</v>
      </c>
      <c r="N133" s="7" t="n">
        <f aca="false">IFERROR(H133/I133*1000,"-")</f>
        <v>366.491455980813</v>
      </c>
      <c r="O133" s="7" t="n">
        <v>1</v>
      </c>
      <c r="P133" s="7" t="n">
        <f aca="false">IFERROR(H133/O133,"-")</f>
        <v>3667.48</v>
      </c>
      <c r="Q133" s="6" t="s">
        <v>90</v>
      </c>
      <c r="R133" s="22"/>
      <c r="S133" s="7" t="str">
        <f aca="false">IF(Q133="Yes",R133-B133,"")</f>
        <v/>
      </c>
      <c r="T133" s="6"/>
      <c r="U133" s="7" t="n">
        <v>0</v>
      </c>
      <c r="V133" s="7" t="n">
        <v>0</v>
      </c>
      <c r="W133" s="7" t="n">
        <v>0</v>
      </c>
      <c r="X133" s="7" t="n">
        <v>0</v>
      </c>
      <c r="Y133" s="10" t="str">
        <f aca="false">IF(Q133="Yes",IFERROR(W133/V133,"-"),"")</f>
        <v/>
      </c>
      <c r="Z133" s="10" t="str">
        <f aca="false">IF(Q133="Yes",IFERROR(X133/V133,"-"),"")</f>
        <v/>
      </c>
      <c r="AA133" s="7" t="n">
        <v>0</v>
      </c>
    </row>
    <row r="134" customFormat="false" ht="15" hidden="false" customHeight="false" outlineLevel="0" collapsed="false">
      <c r="A134" s="6" t="s">
        <v>233</v>
      </c>
      <c r="B134" s="22" t="n">
        <v>46197</v>
      </c>
      <c r="C134" s="6" t="str">
        <f aca="false">TEXT(B134,"yyyy-mm")</f>
        <v>2026-06</v>
      </c>
      <c r="D134" s="6" t="s">
        <v>52</v>
      </c>
      <c r="E134" s="6" t="s">
        <v>99</v>
      </c>
      <c r="F134" s="22" t="n">
        <v>46202</v>
      </c>
      <c r="G134" s="7" t="n">
        <f aca="false">Summary!$C$5-B134</f>
        <v>123</v>
      </c>
      <c r="H134" s="7" t="n">
        <v>1591.11</v>
      </c>
      <c r="I134" s="7" t="n">
        <v>3973</v>
      </c>
      <c r="J134" s="7" t="n">
        <v>13</v>
      </c>
      <c r="K134" s="7" t="n">
        <v>413.06</v>
      </c>
      <c r="L134" s="10" t="n">
        <f aca="false">IFERROR(J134/I134,"-")</f>
        <v>0.003272086584445</v>
      </c>
      <c r="M134" s="10" t="n">
        <f aca="false">IFERROR(K134/I134,"-")</f>
        <v>0.103966775736219</v>
      </c>
      <c r="N134" s="7" t="n">
        <f aca="false">IFERROR(H134/I134*1000,"-")</f>
        <v>400.480745028945</v>
      </c>
      <c r="O134" s="7" t="n">
        <v>0</v>
      </c>
      <c r="P134" s="7" t="str">
        <f aca="false">IFERROR(H134/O134,"-")</f>
        <v>-</v>
      </c>
      <c r="Q134" s="6" t="s">
        <v>90</v>
      </c>
      <c r="R134" s="22"/>
      <c r="S134" s="7" t="str">
        <f aca="false">IF(Q134="Yes",R134-B134,"")</f>
        <v/>
      </c>
      <c r="T134" s="6"/>
      <c r="U134" s="7" t="n">
        <v>0</v>
      </c>
      <c r="V134" s="7" t="n">
        <v>0</v>
      </c>
      <c r="W134" s="7" t="n">
        <v>0</v>
      </c>
      <c r="X134" s="7" t="n">
        <v>0</v>
      </c>
      <c r="Y134" s="10" t="str">
        <f aca="false">IF(Q134="Yes",IFERROR(W134/V134,"-"),"")</f>
        <v/>
      </c>
      <c r="Z134" s="10" t="str">
        <f aca="false">IF(Q134="Yes",IFERROR(X134/V134,"-"),"")</f>
        <v/>
      </c>
      <c r="AA134" s="7" t="n">
        <v>0</v>
      </c>
    </row>
    <row r="135" customFormat="false" ht="15" hidden="false" customHeight="false" outlineLevel="0" collapsed="false">
      <c r="A135" s="6" t="s">
        <v>234</v>
      </c>
      <c r="B135" s="22" t="n">
        <v>46197</v>
      </c>
      <c r="C135" s="6" t="str">
        <f aca="false">TEXT(B135,"yyyy-mm")</f>
        <v>2026-06</v>
      </c>
      <c r="D135" s="6" t="s">
        <v>52</v>
      </c>
      <c r="E135" s="6" t="s">
        <v>99</v>
      </c>
      <c r="F135" s="22" t="n">
        <v>46202</v>
      </c>
      <c r="G135" s="7" t="n">
        <f aca="false">Summary!$C$5-B135</f>
        <v>123</v>
      </c>
      <c r="H135" s="7" t="n">
        <v>1746.56</v>
      </c>
      <c r="I135" s="7" t="n">
        <v>2136</v>
      </c>
      <c r="J135" s="7" t="n">
        <v>11</v>
      </c>
      <c r="K135" s="7" t="n">
        <v>315.02</v>
      </c>
      <c r="L135" s="10" t="n">
        <f aca="false">IFERROR(J135/I135,"-")</f>
        <v>0.0051498127340824</v>
      </c>
      <c r="M135" s="10" t="n">
        <f aca="false">IFERROR(K135/I135,"-")</f>
        <v>0.14748127340824</v>
      </c>
      <c r="N135" s="7" t="n">
        <f aca="false">IFERROR(H135/I135*1000,"-")</f>
        <v>817.677902621723</v>
      </c>
      <c r="O135" s="7" t="n">
        <v>0</v>
      </c>
      <c r="P135" s="7" t="str">
        <f aca="false">IFERROR(H135/O135,"-")</f>
        <v>-</v>
      </c>
      <c r="Q135" s="6" t="s">
        <v>90</v>
      </c>
      <c r="R135" s="22"/>
      <c r="S135" s="7" t="str">
        <f aca="false">IF(Q135="Yes",R135-B135,"")</f>
        <v/>
      </c>
      <c r="T135" s="6"/>
      <c r="U135" s="7" t="n">
        <v>0</v>
      </c>
      <c r="V135" s="7" t="n">
        <v>0</v>
      </c>
      <c r="W135" s="7" t="n">
        <v>0</v>
      </c>
      <c r="X135" s="7" t="n">
        <v>0</v>
      </c>
      <c r="Y135" s="10" t="str">
        <f aca="false">IF(Q135="Yes",IFERROR(W135/V135,"-"),"")</f>
        <v/>
      </c>
      <c r="Z135" s="10" t="str">
        <f aca="false">IF(Q135="Yes",IFERROR(X135/V135,"-"),"")</f>
        <v/>
      </c>
      <c r="AA135" s="7" t="n">
        <v>0</v>
      </c>
    </row>
    <row r="136" customFormat="false" ht="15" hidden="false" customHeight="false" outlineLevel="0" collapsed="false">
      <c r="A136" s="6" t="s">
        <v>235</v>
      </c>
      <c r="B136" s="22" t="n">
        <v>46197</v>
      </c>
      <c r="C136" s="6" t="str">
        <f aca="false">TEXT(B136,"yyyy-mm")</f>
        <v>2026-06</v>
      </c>
      <c r="D136" s="6" t="s">
        <v>52</v>
      </c>
      <c r="E136" s="6" t="s">
        <v>99</v>
      </c>
      <c r="F136" s="22" t="n">
        <v>46198</v>
      </c>
      <c r="G136" s="7" t="n">
        <f aca="false">Summary!$C$5-B136</f>
        <v>123</v>
      </c>
      <c r="H136" s="7" t="n">
        <v>2385.25</v>
      </c>
      <c r="I136" s="7" t="n">
        <v>6401</v>
      </c>
      <c r="J136" s="7" t="n">
        <v>80</v>
      </c>
      <c r="K136" s="7" t="n">
        <v>2273.17</v>
      </c>
      <c r="L136" s="10" t="n">
        <f aca="false">IFERROR(J136/I136,"-")</f>
        <v>0.0124980471801281</v>
      </c>
      <c r="M136" s="10" t="n">
        <f aca="false">IFERROR(K136/I136,"-")</f>
        <v>0.355127323855648</v>
      </c>
      <c r="N136" s="7" t="n">
        <f aca="false">IFERROR(H136/I136*1000,"-")</f>
        <v>372.637087955007</v>
      </c>
      <c r="O136" s="7" t="n">
        <v>1</v>
      </c>
      <c r="P136" s="7" t="n">
        <f aca="false">IFERROR(H136/O136,"-")</f>
        <v>2385.25</v>
      </c>
      <c r="Q136" s="6" t="s">
        <v>90</v>
      </c>
      <c r="R136" s="22"/>
      <c r="S136" s="7" t="str">
        <f aca="false">IF(Q136="Yes",R136-B136,"")</f>
        <v/>
      </c>
      <c r="T136" s="6"/>
      <c r="U136" s="7" t="n">
        <v>0</v>
      </c>
      <c r="V136" s="7" t="n">
        <v>0</v>
      </c>
      <c r="W136" s="7" t="n">
        <v>0</v>
      </c>
      <c r="X136" s="7" t="n">
        <v>0</v>
      </c>
      <c r="Y136" s="10" t="str">
        <f aca="false">IF(Q136="Yes",IFERROR(W136/V136,"-"),"")</f>
        <v/>
      </c>
      <c r="Z136" s="10" t="str">
        <f aca="false">IF(Q136="Yes",IFERROR(X136/V136,"-"),"")</f>
        <v/>
      </c>
      <c r="AA136" s="7" t="n">
        <v>0</v>
      </c>
    </row>
    <row r="137" customFormat="false" ht="15" hidden="false" customHeight="false" outlineLevel="0" collapsed="false">
      <c r="A137" s="6" t="s">
        <v>236</v>
      </c>
      <c r="B137" s="22" t="n">
        <v>46197</v>
      </c>
      <c r="C137" s="6" t="str">
        <f aca="false">TEXT(B137,"yyyy-mm")</f>
        <v>2026-06</v>
      </c>
      <c r="D137" s="6" t="s">
        <v>52</v>
      </c>
      <c r="E137" s="6" t="s">
        <v>214</v>
      </c>
      <c r="F137" s="22" t="n">
        <v>46209</v>
      </c>
      <c r="G137" s="7" t="n">
        <f aca="false">Summary!$C$5-B137</f>
        <v>123</v>
      </c>
      <c r="H137" s="7" t="n">
        <v>10074.6</v>
      </c>
      <c r="I137" s="7" t="n">
        <v>10835</v>
      </c>
      <c r="J137" s="7" t="n">
        <v>55</v>
      </c>
      <c r="K137" s="7" t="n">
        <v>1392.01</v>
      </c>
      <c r="L137" s="10" t="n">
        <f aca="false">IFERROR(J137/I137,"-")</f>
        <v>0.0050761421319797</v>
      </c>
      <c r="M137" s="10" t="n">
        <f aca="false">IFERROR(K137/I137,"-")</f>
        <v>0.128473465620674</v>
      </c>
      <c r="N137" s="7" t="n">
        <f aca="false">IFERROR(H137/I137*1000,"-")</f>
        <v>929.820027688048</v>
      </c>
      <c r="O137" s="7" t="n">
        <v>2</v>
      </c>
      <c r="P137" s="7" t="n">
        <f aca="false">IFERROR(H137/O137,"-")</f>
        <v>5037.3</v>
      </c>
      <c r="Q137" s="6" t="s">
        <v>90</v>
      </c>
      <c r="R137" s="22"/>
      <c r="S137" s="7" t="str">
        <f aca="false">IF(Q137="Yes",R137-B137,"")</f>
        <v/>
      </c>
      <c r="T137" s="6"/>
      <c r="U137" s="7" t="n">
        <v>0</v>
      </c>
      <c r="V137" s="7" t="n">
        <v>0</v>
      </c>
      <c r="W137" s="7" t="n">
        <v>0</v>
      </c>
      <c r="X137" s="7" t="n">
        <v>0</v>
      </c>
      <c r="Y137" s="10" t="str">
        <f aca="false">IF(Q137="Yes",IFERROR(W137/V137,"-"),"")</f>
        <v/>
      </c>
      <c r="Z137" s="10" t="str">
        <f aca="false">IF(Q137="Yes",IFERROR(X137/V137,"-"),"")</f>
        <v/>
      </c>
      <c r="AA137" s="7" t="n">
        <v>0</v>
      </c>
    </row>
    <row r="138" customFormat="false" ht="15" hidden="false" customHeight="false" outlineLevel="0" collapsed="false">
      <c r="A138" s="6" t="s">
        <v>237</v>
      </c>
      <c r="B138" s="22" t="n">
        <v>46202</v>
      </c>
      <c r="C138" s="6" t="str">
        <f aca="false">TEXT(B138,"yyyy-mm")</f>
        <v>2026-06</v>
      </c>
      <c r="D138" s="6" t="s">
        <v>52</v>
      </c>
      <c r="E138" s="6" t="s">
        <v>238</v>
      </c>
      <c r="F138" s="22" t="n">
        <v>46210</v>
      </c>
      <c r="G138" s="7" t="n">
        <f aca="false">Summary!$C$5-B138</f>
        <v>118</v>
      </c>
      <c r="H138" s="7" t="n">
        <v>2768.39</v>
      </c>
      <c r="I138" s="7" t="n">
        <v>10906</v>
      </c>
      <c r="J138" s="7" t="n">
        <v>112</v>
      </c>
      <c r="K138" s="7" t="n">
        <v>3708.81</v>
      </c>
      <c r="L138" s="10" t="n">
        <f aca="false">IFERROR(J138/I138,"-")</f>
        <v>0.0102695763799743</v>
      </c>
      <c r="M138" s="10" t="n">
        <f aca="false">IFERROR(K138/I138,"-")</f>
        <v>0.340070603337612</v>
      </c>
      <c r="N138" s="7" t="n">
        <f aca="false">IFERROR(H138/I138*1000,"-")</f>
        <v>253.841004951403</v>
      </c>
      <c r="O138" s="7" t="n">
        <v>2</v>
      </c>
      <c r="P138" s="7" t="n">
        <f aca="false">IFERROR(H138/O138,"-")</f>
        <v>1384.195</v>
      </c>
      <c r="Q138" s="6" t="s">
        <v>90</v>
      </c>
      <c r="R138" s="22"/>
      <c r="S138" s="7" t="str">
        <f aca="false">IF(Q138="Yes",R138-B138,"")</f>
        <v/>
      </c>
      <c r="T138" s="6"/>
      <c r="U138" s="7" t="n">
        <v>0</v>
      </c>
      <c r="V138" s="7" t="n">
        <v>0</v>
      </c>
      <c r="W138" s="7" t="n">
        <v>0</v>
      </c>
      <c r="X138" s="7" t="n">
        <v>0</v>
      </c>
      <c r="Y138" s="10" t="str">
        <f aca="false">IF(Q138="Yes",IFERROR(W138/V138,"-"),"")</f>
        <v/>
      </c>
      <c r="Z138" s="10" t="str">
        <f aca="false">IF(Q138="Yes",IFERROR(X138/V138,"-"),"")</f>
        <v/>
      </c>
      <c r="AA138" s="7" t="n">
        <v>0</v>
      </c>
    </row>
    <row r="139" customFormat="false" ht="15" hidden="false" customHeight="false" outlineLevel="0" collapsed="false">
      <c r="A139" s="6" t="s">
        <v>239</v>
      </c>
      <c r="B139" s="22" t="n">
        <v>46203</v>
      </c>
      <c r="C139" s="6" t="str">
        <f aca="false">TEXT(B139,"yyyy-mm")</f>
        <v>2026-06</v>
      </c>
      <c r="D139" s="6" t="s">
        <v>52</v>
      </c>
      <c r="E139" s="6" t="s">
        <v>238</v>
      </c>
      <c r="F139" s="22" t="n">
        <v>46209</v>
      </c>
      <c r="G139" s="7" t="n">
        <f aca="false">Summary!$C$5-B139</f>
        <v>117</v>
      </c>
      <c r="H139" s="7" t="n">
        <v>5149.42</v>
      </c>
      <c r="I139" s="7" t="n">
        <v>12207</v>
      </c>
      <c r="J139" s="7" t="n">
        <v>65</v>
      </c>
      <c r="K139" s="7" t="n">
        <v>2544.79</v>
      </c>
      <c r="L139" s="10" t="n">
        <f aca="false">IFERROR(J139/I139,"-")</f>
        <v>0.0053248136315229</v>
      </c>
      <c r="M139" s="10" t="n">
        <f aca="false">IFERROR(K139/I139,"-")</f>
        <v>0.20846973048251</v>
      </c>
      <c r="N139" s="7" t="n">
        <f aca="false">IFERROR(H139/I139*1000,"-")</f>
        <v>421.84156631441</v>
      </c>
      <c r="O139" s="7" t="n">
        <v>1</v>
      </c>
      <c r="P139" s="7" t="n">
        <f aca="false">IFERROR(H139/O139,"-")</f>
        <v>5149.42</v>
      </c>
      <c r="Q139" s="6" t="s">
        <v>90</v>
      </c>
      <c r="R139" s="22"/>
      <c r="S139" s="7" t="str">
        <f aca="false">IF(Q139="Yes",R139-B139,"")</f>
        <v/>
      </c>
      <c r="T139" s="6"/>
      <c r="U139" s="7" t="n">
        <v>0</v>
      </c>
      <c r="V139" s="7" t="n">
        <v>0</v>
      </c>
      <c r="W139" s="7" t="n">
        <v>0</v>
      </c>
      <c r="X139" s="7" t="n">
        <v>0</v>
      </c>
      <c r="Y139" s="10" t="str">
        <f aca="false">IF(Q139="Yes",IFERROR(W139/V139,"-"),"")</f>
        <v/>
      </c>
      <c r="Z139" s="10" t="str">
        <f aca="false">IF(Q139="Yes",IFERROR(X139/V139,"-"),"")</f>
        <v/>
      </c>
      <c r="AA139" s="7" t="n">
        <v>0</v>
      </c>
    </row>
    <row r="140" customFormat="false" ht="15" hidden="false" customHeight="false" outlineLevel="0" collapsed="false">
      <c r="A140" s="6" t="s">
        <v>240</v>
      </c>
      <c r="B140" s="22" t="n">
        <v>46203</v>
      </c>
      <c r="C140" s="6" t="str">
        <f aca="false">TEXT(B140,"yyyy-mm")</f>
        <v>2026-06</v>
      </c>
      <c r="D140" s="6" t="s">
        <v>52</v>
      </c>
      <c r="E140" s="6" t="s">
        <v>238</v>
      </c>
      <c r="F140" s="22" t="n">
        <v>46209</v>
      </c>
      <c r="G140" s="7" t="n">
        <f aca="false">Summary!$C$5-B140</f>
        <v>117</v>
      </c>
      <c r="H140" s="7" t="n">
        <v>2854.1</v>
      </c>
      <c r="I140" s="7" t="n">
        <v>6456</v>
      </c>
      <c r="J140" s="7" t="n">
        <v>30</v>
      </c>
      <c r="K140" s="7" t="n">
        <v>867.97</v>
      </c>
      <c r="L140" s="10" t="n">
        <f aca="false">IFERROR(J140/I140,"-")</f>
        <v>0.00464684014869889</v>
      </c>
      <c r="M140" s="10" t="n">
        <f aca="false">IFERROR(K140/I140,"-")</f>
        <v>0.134443928128872</v>
      </c>
      <c r="N140" s="7" t="n">
        <f aca="false">IFERROR(H140/I140*1000,"-")</f>
        <v>442.08488228005</v>
      </c>
      <c r="O140" s="7" t="n">
        <v>0</v>
      </c>
      <c r="P140" s="7" t="str">
        <f aca="false">IFERROR(H140/O140,"-")</f>
        <v>-</v>
      </c>
      <c r="Q140" s="6" t="s">
        <v>90</v>
      </c>
      <c r="R140" s="22"/>
      <c r="S140" s="7" t="str">
        <f aca="false">IF(Q140="Yes",R140-B140,"")</f>
        <v/>
      </c>
      <c r="T140" s="6"/>
      <c r="U140" s="7" t="n">
        <v>0</v>
      </c>
      <c r="V140" s="7" t="n">
        <v>0</v>
      </c>
      <c r="W140" s="7" t="n">
        <v>0</v>
      </c>
      <c r="X140" s="7" t="n">
        <v>0</v>
      </c>
      <c r="Y140" s="10" t="str">
        <f aca="false">IF(Q140="Yes",IFERROR(W140/V140,"-"),"")</f>
        <v/>
      </c>
      <c r="Z140" s="10" t="str">
        <f aca="false">IF(Q140="Yes",IFERROR(X140/V140,"-"),"")</f>
        <v/>
      </c>
      <c r="AA140" s="7" t="n">
        <v>0</v>
      </c>
    </row>
    <row r="141" customFormat="false" ht="15" hidden="false" customHeight="false" outlineLevel="0" collapsed="false">
      <c r="A141" s="6" t="s">
        <v>241</v>
      </c>
      <c r="B141" s="22" t="n">
        <v>46203</v>
      </c>
      <c r="C141" s="6" t="str">
        <f aca="false">TEXT(B141,"yyyy-mm")</f>
        <v>2026-06</v>
      </c>
      <c r="D141" s="6" t="s">
        <v>52</v>
      </c>
      <c r="E141" s="6" t="s">
        <v>238</v>
      </c>
      <c r="F141" s="22" t="n">
        <v>46216</v>
      </c>
      <c r="G141" s="7" t="n">
        <f aca="false">Summary!$C$5-B141</f>
        <v>117</v>
      </c>
      <c r="H141" s="7" t="n">
        <v>4556.86</v>
      </c>
      <c r="I141" s="7" t="n">
        <v>8933</v>
      </c>
      <c r="J141" s="7" t="n">
        <v>59</v>
      </c>
      <c r="K141" s="7" t="n">
        <v>1225.14</v>
      </c>
      <c r="L141" s="10" t="n">
        <f aca="false">IFERROR(J141/I141,"-")</f>
        <v>0.00660472405686779</v>
      </c>
      <c r="M141" s="10" t="n">
        <f aca="false">IFERROR(K141/I141,"-")</f>
        <v>0.137147654763237</v>
      </c>
      <c r="N141" s="7" t="n">
        <f aca="false">IFERROR(H141/I141*1000,"-")</f>
        <v>510.115302809806</v>
      </c>
      <c r="O141" s="7" t="n">
        <v>4</v>
      </c>
      <c r="P141" s="7" t="n">
        <f aca="false">IFERROR(H141/O141,"-")</f>
        <v>1139.215</v>
      </c>
      <c r="Q141" s="6" t="s">
        <v>90</v>
      </c>
      <c r="R141" s="22"/>
      <c r="S141" s="7" t="str">
        <f aca="false">IF(Q141="Yes",R141-B141,"")</f>
        <v/>
      </c>
      <c r="T141" s="6"/>
      <c r="U141" s="7" t="n">
        <v>0</v>
      </c>
      <c r="V141" s="7" t="n">
        <v>0</v>
      </c>
      <c r="W141" s="7" t="n">
        <v>0</v>
      </c>
      <c r="X141" s="7" t="n">
        <v>0</v>
      </c>
      <c r="Y141" s="10" t="str">
        <f aca="false">IF(Q141="Yes",IFERROR(W141/V141,"-"),"")</f>
        <v/>
      </c>
      <c r="Z141" s="10" t="str">
        <f aca="false">IF(Q141="Yes",IFERROR(X141/V141,"-"),"")</f>
        <v/>
      </c>
      <c r="AA141" s="7" t="n">
        <v>0</v>
      </c>
    </row>
    <row r="142" customFormat="false" ht="15" hidden="false" customHeight="false" outlineLevel="0" collapsed="false">
      <c r="A142" s="6" t="s">
        <v>242</v>
      </c>
      <c r="B142" s="22" t="n">
        <v>46203</v>
      </c>
      <c r="C142" s="6" t="str">
        <f aca="false">TEXT(B142,"yyyy-mm")</f>
        <v>2026-06</v>
      </c>
      <c r="D142" s="6" t="s">
        <v>52</v>
      </c>
      <c r="E142" s="6" t="s">
        <v>238</v>
      </c>
      <c r="F142" s="22" t="n">
        <v>46210</v>
      </c>
      <c r="G142" s="7" t="n">
        <f aca="false">Summary!$C$5-B142</f>
        <v>117</v>
      </c>
      <c r="H142" s="7" t="n">
        <v>14642.65</v>
      </c>
      <c r="I142" s="7" t="n">
        <v>38570</v>
      </c>
      <c r="J142" s="7" t="n">
        <v>150</v>
      </c>
      <c r="K142" s="7" t="n">
        <v>6089.41</v>
      </c>
      <c r="L142" s="10" t="n">
        <f aca="false">IFERROR(J142/I142,"-")</f>
        <v>0.00388903292714545</v>
      </c>
      <c r="M142" s="10" t="n">
        <f aca="false">IFERROR(K142/I142,"-")</f>
        <v>0.157879439979259</v>
      </c>
      <c r="N142" s="7" t="n">
        <f aca="false">IFERROR(H142/I142*1000,"-")</f>
        <v>379.638319937775</v>
      </c>
      <c r="O142" s="7" t="n">
        <v>11</v>
      </c>
      <c r="P142" s="7" t="n">
        <f aca="false">IFERROR(H142/O142,"-")</f>
        <v>1331.15</v>
      </c>
      <c r="Q142" s="6" t="s">
        <v>100</v>
      </c>
      <c r="R142" s="22" t="n">
        <v>46210</v>
      </c>
      <c r="S142" s="7" t="n">
        <f aca="false">IF(Q142="Yes",R142-B142,"")</f>
        <v>7</v>
      </c>
      <c r="T142" s="6" t="s">
        <v>101</v>
      </c>
      <c r="U142" s="7" t="n">
        <v>6940.27</v>
      </c>
      <c r="V142" s="7" t="n">
        <v>24389</v>
      </c>
      <c r="W142" s="7" t="n">
        <v>147</v>
      </c>
      <c r="X142" s="7" t="n">
        <v>3244.22</v>
      </c>
      <c r="Y142" s="10" t="n">
        <f aca="false">IF(Q142="Yes",IFERROR(W142/V142,"-"),"")</f>
        <v>0.00602730739267703</v>
      </c>
      <c r="Z142" s="10" t="n">
        <f aca="false">IF(Q142="Yes",IFERROR(X142/V142,"-"),"")</f>
        <v>0.133019804010005</v>
      </c>
      <c r="AA142" s="7" t="n">
        <v>1</v>
      </c>
    </row>
    <row r="143" customFormat="false" ht="15" hidden="false" customHeight="false" outlineLevel="0" collapsed="false">
      <c r="A143" s="6" t="s">
        <v>243</v>
      </c>
      <c r="B143" s="22" t="n">
        <v>46203</v>
      </c>
      <c r="C143" s="6" t="str">
        <f aca="false">TEXT(B143,"yyyy-mm")</f>
        <v>2026-06</v>
      </c>
      <c r="D143" s="6" t="s">
        <v>52</v>
      </c>
      <c r="E143" s="6" t="s">
        <v>238</v>
      </c>
      <c r="F143" s="22" t="n">
        <v>46216</v>
      </c>
      <c r="G143" s="7" t="n">
        <f aca="false">Summary!$C$5-B143</f>
        <v>117</v>
      </c>
      <c r="H143" s="7" t="n">
        <v>2060.56</v>
      </c>
      <c r="I143" s="7" t="n">
        <v>3436</v>
      </c>
      <c r="J143" s="7" t="n">
        <v>20</v>
      </c>
      <c r="K143" s="7" t="n">
        <v>478.03</v>
      </c>
      <c r="L143" s="10" t="n">
        <f aca="false">IFERROR(J143/I143,"-")</f>
        <v>0.00582072176949942</v>
      </c>
      <c r="M143" s="10" t="n">
        <f aca="false">IFERROR(K143/I143,"-")</f>
        <v>0.13912398137369</v>
      </c>
      <c r="N143" s="7" t="n">
        <f aca="false">IFERROR(H143/I143*1000,"-")</f>
        <v>599.697322467986</v>
      </c>
      <c r="O143" s="7" t="n">
        <v>1</v>
      </c>
      <c r="P143" s="7" t="n">
        <f aca="false">IFERROR(H143/O143,"-")</f>
        <v>2060.56</v>
      </c>
      <c r="Q143" s="6" t="s">
        <v>90</v>
      </c>
      <c r="R143" s="22"/>
      <c r="S143" s="7" t="str">
        <f aca="false">IF(Q143="Yes",R143-B143,"")</f>
        <v/>
      </c>
      <c r="T143" s="6"/>
      <c r="U143" s="7" t="n">
        <v>0</v>
      </c>
      <c r="V143" s="7" t="n">
        <v>0</v>
      </c>
      <c r="W143" s="7" t="n">
        <v>0</v>
      </c>
      <c r="X143" s="7" t="n">
        <v>0</v>
      </c>
      <c r="Y143" s="10" t="str">
        <f aca="false">IF(Q143="Yes",IFERROR(W143/V143,"-"),"")</f>
        <v/>
      </c>
      <c r="Z143" s="10" t="str">
        <f aca="false">IF(Q143="Yes",IFERROR(X143/V143,"-"),"")</f>
        <v/>
      </c>
      <c r="AA143" s="7" t="n">
        <v>0</v>
      </c>
    </row>
    <row r="144" customFormat="false" ht="15" hidden="false" customHeight="false" outlineLevel="0" collapsed="false">
      <c r="A144" s="6" t="s">
        <v>244</v>
      </c>
      <c r="B144" s="22" t="n">
        <v>46211</v>
      </c>
      <c r="C144" s="6" t="str">
        <f aca="false">TEXT(B144,"yyyy-mm")</f>
        <v>2026-07</v>
      </c>
      <c r="D144" s="6" t="s">
        <v>52</v>
      </c>
      <c r="E144" s="6" t="s">
        <v>238</v>
      </c>
      <c r="F144" s="22" t="n">
        <v>46237</v>
      </c>
      <c r="G144" s="7" t="n">
        <f aca="false">Summary!$C$5-B144</f>
        <v>109</v>
      </c>
      <c r="H144" s="7" t="n">
        <v>5834.54</v>
      </c>
      <c r="I144" s="7" t="n">
        <v>10515</v>
      </c>
      <c r="J144" s="7" t="n">
        <v>88</v>
      </c>
      <c r="K144" s="7" t="n">
        <v>1884.02</v>
      </c>
      <c r="L144" s="10" t="n">
        <f aca="false">IFERROR(J144/I144,"-")</f>
        <v>0.00836899667142178</v>
      </c>
      <c r="M144" s="10" t="n">
        <f aca="false">IFERROR(K144/I144,"-")</f>
        <v>0.179174512601046</v>
      </c>
      <c r="N144" s="7" t="n">
        <f aca="false">IFERROR(H144/I144*1000,"-")</f>
        <v>554.87779362815</v>
      </c>
      <c r="O144" s="7" t="n">
        <v>1</v>
      </c>
      <c r="P144" s="7" t="n">
        <f aca="false">IFERROR(H144/O144,"-")</f>
        <v>5834.54</v>
      </c>
      <c r="Q144" s="6" t="s">
        <v>100</v>
      </c>
      <c r="R144" s="22" t="n">
        <v>46237</v>
      </c>
      <c r="S144" s="7" t="n">
        <f aca="false">IF(Q144="Yes",R144-B144,"")</f>
        <v>26</v>
      </c>
      <c r="T144" s="6" t="s">
        <v>101</v>
      </c>
      <c r="U144" s="7" t="n">
        <v>22193.68</v>
      </c>
      <c r="V144" s="7" t="n">
        <v>54816</v>
      </c>
      <c r="W144" s="7" t="n">
        <v>242</v>
      </c>
      <c r="X144" s="7" t="n">
        <v>6576</v>
      </c>
      <c r="Y144" s="10" t="n">
        <f aca="false">IF(Q144="Yes",IFERROR(W144/V144,"-"),"")</f>
        <v>0.00441476941039113</v>
      </c>
      <c r="Z144" s="10" t="n">
        <f aca="false">IF(Q144="Yes",IFERROR(X144/V144,"-"),"")</f>
        <v>0.119964973730298</v>
      </c>
      <c r="AA144" s="7" t="n">
        <v>5</v>
      </c>
    </row>
    <row r="145" customFormat="false" ht="15" hidden="false" customHeight="false" outlineLevel="0" collapsed="false">
      <c r="A145" s="6" t="s">
        <v>245</v>
      </c>
      <c r="B145" s="22" t="n">
        <v>46211</v>
      </c>
      <c r="C145" s="6" t="str">
        <f aca="false">TEXT(B145,"yyyy-mm")</f>
        <v>2026-07</v>
      </c>
      <c r="D145" s="6" t="s">
        <v>52</v>
      </c>
      <c r="E145" s="6" t="s">
        <v>238</v>
      </c>
      <c r="F145" s="22" t="n">
        <v>46244</v>
      </c>
      <c r="G145" s="7" t="n">
        <f aca="false">Summary!$C$5-B145</f>
        <v>109</v>
      </c>
      <c r="H145" s="7" t="n">
        <v>801.77</v>
      </c>
      <c r="I145" s="7" t="n">
        <v>1390</v>
      </c>
      <c r="J145" s="7" t="n">
        <v>5</v>
      </c>
      <c r="K145" s="7" t="n">
        <v>197.99</v>
      </c>
      <c r="L145" s="10" t="n">
        <f aca="false">IFERROR(J145/I145,"-")</f>
        <v>0.00359712230215827</v>
      </c>
      <c r="M145" s="10" t="n">
        <f aca="false">IFERROR(K145/I145,"-")</f>
        <v>0.142438848920863</v>
      </c>
      <c r="N145" s="7" t="n">
        <f aca="false">IFERROR(H145/I145*1000,"-")</f>
        <v>576.812949640288</v>
      </c>
      <c r="O145" s="7" t="n">
        <v>0</v>
      </c>
      <c r="P145" s="7" t="str">
        <f aca="false">IFERROR(H145/O145,"-")</f>
        <v>-</v>
      </c>
      <c r="Q145" s="6" t="s">
        <v>90</v>
      </c>
      <c r="R145" s="22"/>
      <c r="S145" s="7" t="str">
        <f aca="false">IF(Q145="Yes",R145-B145,"")</f>
        <v/>
      </c>
      <c r="T145" s="6"/>
      <c r="U145" s="7" t="n">
        <v>0</v>
      </c>
      <c r="V145" s="7" t="n">
        <v>0</v>
      </c>
      <c r="W145" s="7" t="n">
        <v>0</v>
      </c>
      <c r="X145" s="7" t="n">
        <v>0</v>
      </c>
      <c r="Y145" s="10" t="str">
        <f aca="false">IF(Q145="Yes",IFERROR(W145/V145,"-"),"")</f>
        <v/>
      </c>
      <c r="Z145" s="10" t="str">
        <f aca="false">IF(Q145="Yes",IFERROR(X145/V145,"-"),"")</f>
        <v/>
      </c>
      <c r="AA145" s="7" t="n">
        <v>0</v>
      </c>
    </row>
    <row r="146" customFormat="false" ht="15" hidden="false" customHeight="false" outlineLevel="0" collapsed="false">
      <c r="A146" s="6" t="s">
        <v>246</v>
      </c>
      <c r="B146" s="22" t="n">
        <v>46211</v>
      </c>
      <c r="C146" s="6" t="str">
        <f aca="false">TEXT(B146,"yyyy-mm")</f>
        <v>2026-07</v>
      </c>
      <c r="D146" s="6" t="s">
        <v>52</v>
      </c>
      <c r="E146" s="6" t="s">
        <v>238</v>
      </c>
      <c r="F146" s="22" t="n">
        <v>46216</v>
      </c>
      <c r="G146" s="7" t="n">
        <f aca="false">Summary!$C$5-B146</f>
        <v>109</v>
      </c>
      <c r="H146" s="7" t="n">
        <v>3725.35</v>
      </c>
      <c r="I146" s="7" t="n">
        <v>8763</v>
      </c>
      <c r="J146" s="7" t="n">
        <v>44</v>
      </c>
      <c r="K146" s="7" t="n">
        <v>1487.03</v>
      </c>
      <c r="L146" s="10" t="n">
        <f aca="false">IFERROR(J146/I146,"-")</f>
        <v>0.00502111149149835</v>
      </c>
      <c r="M146" s="10" t="n">
        <f aca="false">IFERROR(K146/I146,"-")</f>
        <v>0.1696941686637</v>
      </c>
      <c r="N146" s="7" t="n">
        <f aca="false">IFERROR(H146/I146*1000,"-")</f>
        <v>425.122674883031</v>
      </c>
      <c r="O146" s="7" t="n">
        <v>1</v>
      </c>
      <c r="P146" s="7" t="n">
        <f aca="false">IFERROR(H146/O146,"-")</f>
        <v>3725.35</v>
      </c>
      <c r="Q146" s="6" t="s">
        <v>90</v>
      </c>
      <c r="R146" s="22"/>
      <c r="S146" s="7" t="str">
        <f aca="false">IF(Q146="Yes",R146-B146,"")</f>
        <v/>
      </c>
      <c r="T146" s="6"/>
      <c r="U146" s="7" t="n">
        <v>0</v>
      </c>
      <c r="V146" s="7" t="n">
        <v>0</v>
      </c>
      <c r="W146" s="7" t="n">
        <v>0</v>
      </c>
      <c r="X146" s="7" t="n">
        <v>0</v>
      </c>
      <c r="Y146" s="10" t="str">
        <f aca="false">IF(Q146="Yes",IFERROR(W146/V146,"-"),"")</f>
        <v/>
      </c>
      <c r="Z146" s="10" t="str">
        <f aca="false">IF(Q146="Yes",IFERROR(X146/V146,"-"),"")</f>
        <v/>
      </c>
      <c r="AA146" s="7" t="n">
        <v>0</v>
      </c>
    </row>
    <row r="147" customFormat="false" ht="15" hidden="false" customHeight="false" outlineLevel="0" collapsed="false">
      <c r="A147" s="6" t="s">
        <v>247</v>
      </c>
      <c r="B147" s="22" t="n">
        <v>46211</v>
      </c>
      <c r="C147" s="6" t="str">
        <f aca="false">TEXT(B147,"yyyy-mm")</f>
        <v>2026-07</v>
      </c>
      <c r="D147" s="6" t="s">
        <v>52</v>
      </c>
      <c r="E147" s="6" t="s">
        <v>238</v>
      </c>
      <c r="F147" s="22" t="n">
        <v>46216</v>
      </c>
      <c r="G147" s="7" t="n">
        <f aca="false">Summary!$C$5-B147</f>
        <v>109</v>
      </c>
      <c r="H147" s="7" t="n">
        <v>3740.77</v>
      </c>
      <c r="I147" s="7" t="n">
        <v>8033</v>
      </c>
      <c r="J147" s="7" t="n">
        <v>51</v>
      </c>
      <c r="K147" s="7" t="n">
        <v>1927.04</v>
      </c>
      <c r="L147" s="10" t="n">
        <f aca="false">IFERROR(J147/I147,"-")</f>
        <v>0.00634881115398979</v>
      </c>
      <c r="M147" s="10" t="n">
        <f aca="false">IFERROR(K147/I147,"-")</f>
        <v>0.23989045188597</v>
      </c>
      <c r="N147" s="7" t="n">
        <f aca="false">IFERROR(H147/I147*1000,"-")</f>
        <v>465.675339225694</v>
      </c>
      <c r="O147" s="7" t="n">
        <v>1</v>
      </c>
      <c r="P147" s="7" t="n">
        <f aca="false">IFERROR(H147/O147,"-")</f>
        <v>3740.77</v>
      </c>
      <c r="Q147" s="6" t="s">
        <v>90</v>
      </c>
      <c r="R147" s="22"/>
      <c r="S147" s="7" t="str">
        <f aca="false">IF(Q147="Yes",R147-B147,"")</f>
        <v/>
      </c>
      <c r="T147" s="6"/>
      <c r="U147" s="7" t="n">
        <v>0</v>
      </c>
      <c r="V147" s="7" t="n">
        <v>0</v>
      </c>
      <c r="W147" s="7" t="n">
        <v>0</v>
      </c>
      <c r="X147" s="7" t="n">
        <v>0</v>
      </c>
      <c r="Y147" s="10" t="str">
        <f aca="false">IF(Q147="Yes",IFERROR(W147/V147,"-"),"")</f>
        <v/>
      </c>
      <c r="Z147" s="10" t="str">
        <f aca="false">IF(Q147="Yes",IFERROR(X147/V147,"-"),"")</f>
        <v/>
      </c>
      <c r="AA147" s="7" t="n">
        <v>0</v>
      </c>
    </row>
    <row r="148" customFormat="false" ht="15" hidden="false" customHeight="false" outlineLevel="0" collapsed="false">
      <c r="A148" s="6" t="s">
        <v>248</v>
      </c>
      <c r="B148" s="22" t="n">
        <v>46211</v>
      </c>
      <c r="C148" s="6" t="str">
        <f aca="false">TEXT(B148,"yyyy-mm")</f>
        <v>2026-07</v>
      </c>
      <c r="D148" s="6" t="s">
        <v>52</v>
      </c>
      <c r="E148" s="6" t="s">
        <v>214</v>
      </c>
      <c r="F148" s="22" t="n">
        <v>46244</v>
      </c>
      <c r="G148" s="7" t="n">
        <f aca="false">Summary!$C$5-B148</f>
        <v>109</v>
      </c>
      <c r="H148" s="7" t="n">
        <v>7637.26</v>
      </c>
      <c r="I148" s="7" t="n">
        <v>13291</v>
      </c>
      <c r="J148" s="7" t="n">
        <v>97</v>
      </c>
      <c r="K148" s="7" t="n">
        <v>3149.95</v>
      </c>
      <c r="L148" s="10" t="n">
        <f aca="false">IFERROR(J148/I148,"-")</f>
        <v>0.00729817169513204</v>
      </c>
      <c r="M148" s="10" t="n">
        <f aca="false">IFERROR(K148/I148,"-")</f>
        <v>0.236998720938981</v>
      </c>
      <c r="N148" s="7" t="n">
        <f aca="false">IFERROR(H148/I148*1000,"-")</f>
        <v>574.618915055301</v>
      </c>
      <c r="O148" s="7" t="n">
        <v>5</v>
      </c>
      <c r="P148" s="7" t="n">
        <f aca="false">IFERROR(H148/O148,"-")</f>
        <v>1527.452</v>
      </c>
      <c r="Q148" s="6" t="s">
        <v>90</v>
      </c>
      <c r="R148" s="22"/>
      <c r="S148" s="7" t="str">
        <f aca="false">IF(Q148="Yes",R148-B148,"")</f>
        <v/>
      </c>
      <c r="T148" s="6"/>
      <c r="U148" s="7" t="n">
        <v>0</v>
      </c>
      <c r="V148" s="7" t="n">
        <v>0</v>
      </c>
      <c r="W148" s="7" t="n">
        <v>0</v>
      </c>
      <c r="X148" s="7" t="n">
        <v>0</v>
      </c>
      <c r="Y148" s="10" t="str">
        <f aca="false">IF(Q148="Yes",IFERROR(W148/V148,"-"),"")</f>
        <v/>
      </c>
      <c r="Z148" s="10" t="str">
        <f aca="false">IF(Q148="Yes",IFERROR(X148/V148,"-"),"")</f>
        <v/>
      </c>
      <c r="AA148" s="7" t="n">
        <v>0</v>
      </c>
    </row>
    <row r="149" customFormat="false" ht="15" hidden="false" customHeight="false" outlineLevel="0" collapsed="false">
      <c r="A149" s="6" t="s">
        <v>249</v>
      </c>
      <c r="B149" s="22" t="n">
        <v>46212</v>
      </c>
      <c r="C149" s="6" t="str">
        <f aca="false">TEXT(B149,"yyyy-mm")</f>
        <v>2026-07</v>
      </c>
      <c r="D149" s="6" t="s">
        <v>52</v>
      </c>
      <c r="E149" s="6" t="s">
        <v>214</v>
      </c>
      <c r="F149" s="22" t="n">
        <v>46216</v>
      </c>
      <c r="G149" s="7" t="n">
        <f aca="false">Summary!$C$5-B149</f>
        <v>108</v>
      </c>
      <c r="H149" s="7" t="n">
        <v>10185.41</v>
      </c>
      <c r="I149" s="7" t="n">
        <v>26321</v>
      </c>
      <c r="J149" s="7" t="n">
        <v>263</v>
      </c>
      <c r="K149" s="7" t="n">
        <v>5386.29</v>
      </c>
      <c r="L149" s="10" t="n">
        <f aca="false">IFERROR(J149/I149,"-")</f>
        <v>0.00999202157972721</v>
      </c>
      <c r="M149" s="10" t="n">
        <f aca="false">IFERROR(K149/I149,"-")</f>
        <v>0.204638501576688</v>
      </c>
      <c r="N149" s="7" t="n">
        <f aca="false">IFERROR(H149/I149*1000,"-")</f>
        <v>386.968960145891</v>
      </c>
      <c r="O149" s="7" t="n">
        <v>4</v>
      </c>
      <c r="P149" s="7" t="n">
        <f aca="false">IFERROR(H149/O149,"-")</f>
        <v>2546.3525</v>
      </c>
      <c r="Q149" s="6" t="s">
        <v>90</v>
      </c>
      <c r="R149" s="22"/>
      <c r="S149" s="7" t="str">
        <f aca="false">IF(Q149="Yes",R149-B149,"")</f>
        <v/>
      </c>
      <c r="T149" s="6"/>
      <c r="U149" s="7" t="n">
        <v>0</v>
      </c>
      <c r="V149" s="7" t="n">
        <v>0</v>
      </c>
      <c r="W149" s="7" t="n">
        <v>0</v>
      </c>
      <c r="X149" s="7" t="n">
        <v>0</v>
      </c>
      <c r="Y149" s="10" t="str">
        <f aca="false">IF(Q149="Yes",IFERROR(W149/V149,"-"),"")</f>
        <v/>
      </c>
      <c r="Z149" s="10" t="str">
        <f aca="false">IF(Q149="Yes",IFERROR(X149/V149,"-"),"")</f>
        <v/>
      </c>
      <c r="AA149" s="7" t="n">
        <v>0</v>
      </c>
    </row>
    <row r="150" customFormat="false" ht="15" hidden="false" customHeight="false" outlineLevel="0" collapsed="false">
      <c r="A150" s="6" t="s">
        <v>250</v>
      </c>
      <c r="B150" s="22" t="n">
        <v>46216</v>
      </c>
      <c r="C150" s="6" t="str">
        <f aca="false">TEXT(B150,"yyyy-mm")</f>
        <v>2026-07</v>
      </c>
      <c r="D150" s="6" t="s">
        <v>52</v>
      </c>
      <c r="E150" s="6" t="s">
        <v>238</v>
      </c>
      <c r="F150" s="22" t="n">
        <v>46223</v>
      </c>
      <c r="G150" s="7" t="n">
        <f aca="false">Summary!$C$5-B150</f>
        <v>104</v>
      </c>
      <c r="H150" s="7" t="n">
        <v>5151.93</v>
      </c>
      <c r="I150" s="7" t="n">
        <v>16533</v>
      </c>
      <c r="J150" s="7" t="n">
        <v>231</v>
      </c>
      <c r="K150" s="7" t="n">
        <v>5868.2</v>
      </c>
      <c r="L150" s="10" t="n">
        <f aca="false">IFERROR(J150/I150,"-")</f>
        <v>0.0139720558882236</v>
      </c>
      <c r="M150" s="10" t="n">
        <f aca="false">IFERROR(K150/I150,"-")</f>
        <v>0.354938607633218</v>
      </c>
      <c r="N150" s="7" t="n">
        <f aca="false">IFERROR(H150/I150*1000,"-")</f>
        <v>311.614951914353</v>
      </c>
      <c r="O150" s="7" t="n">
        <v>3</v>
      </c>
      <c r="P150" s="7" t="n">
        <f aca="false">IFERROR(H150/O150,"-")</f>
        <v>1717.31</v>
      </c>
      <c r="Q150" s="6" t="s">
        <v>100</v>
      </c>
      <c r="R150" s="22" t="n">
        <v>46225</v>
      </c>
      <c r="S150" s="7" t="n">
        <f aca="false">IF(Q150="Yes",R150-B150,"")</f>
        <v>9</v>
      </c>
      <c r="T150" s="6" t="s">
        <v>101</v>
      </c>
      <c r="U150" s="7" t="n">
        <v>61192.08</v>
      </c>
      <c r="V150" s="7" t="n">
        <v>389091</v>
      </c>
      <c r="W150" s="7" t="n">
        <v>2624</v>
      </c>
      <c r="X150" s="7" t="n">
        <v>85494</v>
      </c>
      <c r="Y150" s="10" t="n">
        <f aca="false">IF(Q150="Yes",IFERROR(W150/V150,"-"),"")</f>
        <v>0.00674392365796176</v>
      </c>
      <c r="Z150" s="10" t="n">
        <f aca="false">IF(Q150="Yes",IFERROR(X150/V150,"-"),"")</f>
        <v>0.219727518755253</v>
      </c>
      <c r="AA150" s="7" t="n">
        <v>7</v>
      </c>
    </row>
    <row r="151" customFormat="false" ht="15" hidden="false" customHeight="false" outlineLevel="0" collapsed="false">
      <c r="A151" s="6" t="s">
        <v>251</v>
      </c>
      <c r="B151" s="22" t="n">
        <v>46216</v>
      </c>
      <c r="C151" s="6" t="str">
        <f aca="false">TEXT(B151,"yyyy-mm")</f>
        <v>2026-07</v>
      </c>
      <c r="D151" s="6" t="s">
        <v>52</v>
      </c>
      <c r="E151" s="6" t="s">
        <v>238</v>
      </c>
      <c r="F151" s="22" t="n">
        <v>46223</v>
      </c>
      <c r="G151" s="7" t="n">
        <f aca="false">Summary!$C$5-B151</f>
        <v>104</v>
      </c>
      <c r="H151" s="7" t="n">
        <v>4404.59</v>
      </c>
      <c r="I151" s="7" t="n">
        <v>8951</v>
      </c>
      <c r="J151" s="7" t="n">
        <v>97</v>
      </c>
      <c r="K151" s="7" t="n">
        <v>2771.86</v>
      </c>
      <c r="L151" s="10" t="n">
        <f aca="false">IFERROR(J151/I151,"-")</f>
        <v>0.0108367780136298</v>
      </c>
      <c r="M151" s="10" t="n">
        <f aca="false">IFERROR(K151/I151,"-")</f>
        <v>0.309670427885153</v>
      </c>
      <c r="N151" s="7" t="n">
        <f aca="false">IFERROR(H151/I151*1000,"-")</f>
        <v>492.077980113954</v>
      </c>
      <c r="O151" s="7" t="n">
        <v>0</v>
      </c>
      <c r="P151" s="7" t="str">
        <f aca="false">IFERROR(H151/O151,"-")</f>
        <v>-</v>
      </c>
      <c r="Q151" s="6" t="s">
        <v>90</v>
      </c>
      <c r="R151" s="22"/>
      <c r="S151" s="7" t="str">
        <f aca="false">IF(Q151="Yes",R151-B151,"")</f>
        <v/>
      </c>
      <c r="T151" s="6"/>
      <c r="U151" s="7" t="n">
        <v>0</v>
      </c>
      <c r="V151" s="7" t="n">
        <v>0</v>
      </c>
      <c r="W151" s="7" t="n">
        <v>0</v>
      </c>
      <c r="X151" s="7" t="n">
        <v>0</v>
      </c>
      <c r="Y151" s="10" t="str">
        <f aca="false">IF(Q151="Yes",IFERROR(W151/V151,"-"),"")</f>
        <v/>
      </c>
      <c r="Z151" s="10" t="str">
        <f aca="false">IF(Q151="Yes",IFERROR(X151/V151,"-"),"")</f>
        <v/>
      </c>
      <c r="AA151" s="7" t="n">
        <v>0</v>
      </c>
    </row>
    <row r="152" customFormat="false" ht="15" hidden="false" customHeight="false" outlineLevel="0" collapsed="false">
      <c r="A152" s="6" t="s">
        <v>252</v>
      </c>
      <c r="B152" s="22" t="n">
        <v>46216</v>
      </c>
      <c r="C152" s="6" t="str">
        <f aca="false">TEXT(B152,"yyyy-mm")</f>
        <v>2026-07</v>
      </c>
      <c r="D152" s="6" t="s">
        <v>52</v>
      </c>
      <c r="E152" s="6" t="s">
        <v>238</v>
      </c>
      <c r="F152" s="22" t="n">
        <v>46251</v>
      </c>
      <c r="G152" s="7" t="n">
        <f aca="false">Summary!$C$5-B152</f>
        <v>104</v>
      </c>
      <c r="H152" s="7" t="n">
        <v>8179.77</v>
      </c>
      <c r="I152" s="7" t="n">
        <v>19526</v>
      </c>
      <c r="J152" s="7" t="n">
        <v>199</v>
      </c>
      <c r="K152" s="7" t="n">
        <v>4617</v>
      </c>
      <c r="L152" s="10" t="n">
        <f aca="false">IFERROR(J152/I152,"-")</f>
        <v>0.0101915394858138</v>
      </c>
      <c r="M152" s="10" t="n">
        <f aca="false">IFERROR(K152/I152,"-")</f>
        <v>0.236453958824132</v>
      </c>
      <c r="N152" s="7" t="n">
        <f aca="false">IFERROR(H152/I152*1000,"-")</f>
        <v>418.916828843593</v>
      </c>
      <c r="O152" s="7" t="n">
        <v>5</v>
      </c>
      <c r="P152" s="7" t="n">
        <f aca="false">IFERROR(H152/O152,"-")</f>
        <v>1635.954</v>
      </c>
      <c r="Q152" s="6" t="s">
        <v>100</v>
      </c>
      <c r="R152" s="22" t="n">
        <v>46251</v>
      </c>
      <c r="S152" s="7" t="n">
        <f aca="false">IF(Q152="Yes",R152-B152,"")</f>
        <v>35</v>
      </c>
      <c r="T152" s="6" t="s">
        <v>101</v>
      </c>
      <c r="U152" s="7" t="n">
        <v>164999.71</v>
      </c>
      <c r="V152" s="7" t="n">
        <v>482501</v>
      </c>
      <c r="W152" s="7" t="n">
        <v>4710</v>
      </c>
      <c r="X152" s="7" t="n">
        <v>73415</v>
      </c>
      <c r="Y152" s="10" t="n">
        <f aca="false">IF(Q152="Yes",IFERROR(W152/V152,"-"),"")</f>
        <v>0.0097616377997144</v>
      </c>
      <c r="Z152" s="10" t="n">
        <f aca="false">IF(Q152="Yes",IFERROR(X152/V152,"-"),"")</f>
        <v>0.152155125067098</v>
      </c>
      <c r="AA152" s="7" t="n">
        <v>31</v>
      </c>
    </row>
    <row r="153" customFormat="false" ht="15" hidden="false" customHeight="false" outlineLevel="0" collapsed="false">
      <c r="A153" s="6" t="s">
        <v>253</v>
      </c>
      <c r="B153" s="22" t="n">
        <v>46217</v>
      </c>
      <c r="C153" s="6" t="str">
        <f aca="false">TEXT(B153,"yyyy-mm")</f>
        <v>2026-07</v>
      </c>
      <c r="D153" s="6" t="s">
        <v>52</v>
      </c>
      <c r="E153" s="6" t="s">
        <v>238</v>
      </c>
      <c r="F153" s="22" t="n">
        <v>46243</v>
      </c>
      <c r="G153" s="7" t="n">
        <f aca="false">Summary!$C$5-B153</f>
        <v>103</v>
      </c>
      <c r="H153" s="7" t="n">
        <v>1506.21</v>
      </c>
      <c r="I153" s="7" t="n">
        <v>2320</v>
      </c>
      <c r="J153" s="7" t="n">
        <v>26</v>
      </c>
      <c r="K153" s="7" t="n">
        <v>394</v>
      </c>
      <c r="L153" s="10" t="n">
        <f aca="false">IFERROR(J153/I153,"-")</f>
        <v>0.0112068965517241</v>
      </c>
      <c r="M153" s="10" t="n">
        <f aca="false">IFERROR(K153/I153,"-")</f>
        <v>0.169827586206897</v>
      </c>
      <c r="N153" s="7" t="n">
        <f aca="false">IFERROR(H153/I153*1000,"-")</f>
        <v>649.228448275862</v>
      </c>
      <c r="O153" s="7" t="n">
        <v>0</v>
      </c>
      <c r="P153" s="7" t="str">
        <f aca="false">IFERROR(H153/O153,"-")</f>
        <v>-</v>
      </c>
      <c r="Q153" s="6" t="s">
        <v>90</v>
      </c>
      <c r="R153" s="22"/>
      <c r="S153" s="7" t="str">
        <f aca="false">IF(Q153="Yes",R153-B153,"")</f>
        <v/>
      </c>
      <c r="T153" s="6"/>
      <c r="U153" s="7" t="n">
        <v>0</v>
      </c>
      <c r="V153" s="7" t="n">
        <v>0</v>
      </c>
      <c r="W153" s="7" t="n">
        <v>0</v>
      </c>
      <c r="X153" s="7" t="n">
        <v>0</v>
      </c>
      <c r="Y153" s="10" t="str">
        <f aca="false">IF(Q153="Yes",IFERROR(W153/V153,"-"),"")</f>
        <v/>
      </c>
      <c r="Z153" s="10" t="str">
        <f aca="false">IF(Q153="Yes",IFERROR(X153/V153,"-"),"")</f>
        <v/>
      </c>
      <c r="AA153" s="7" t="n">
        <v>0</v>
      </c>
    </row>
    <row r="154" customFormat="false" ht="15" hidden="false" customHeight="false" outlineLevel="0" collapsed="false">
      <c r="A154" s="6" t="s">
        <v>254</v>
      </c>
      <c r="B154" s="22" t="n">
        <v>46217</v>
      </c>
      <c r="C154" s="6" t="str">
        <f aca="false">TEXT(B154,"yyyy-mm")</f>
        <v>2026-07</v>
      </c>
      <c r="D154" s="6" t="s">
        <v>52</v>
      </c>
      <c r="E154" s="6" t="s">
        <v>214</v>
      </c>
      <c r="F154" s="22" t="n">
        <v>46237</v>
      </c>
      <c r="G154" s="7" t="n">
        <f aca="false">Summary!$C$5-B154</f>
        <v>103</v>
      </c>
      <c r="H154" s="7" t="n">
        <v>8854.4</v>
      </c>
      <c r="I154" s="7" t="n">
        <v>23111</v>
      </c>
      <c r="J154" s="7" t="n">
        <v>229</v>
      </c>
      <c r="K154" s="7" t="n">
        <v>8616.04</v>
      </c>
      <c r="L154" s="10" t="n">
        <f aca="false">IFERROR(J154/I154,"-")</f>
        <v>0.00990870148414175</v>
      </c>
      <c r="M154" s="10" t="n">
        <f aca="false">IFERROR(K154/I154,"-")</f>
        <v>0.372811215438536</v>
      </c>
      <c r="N154" s="7" t="n">
        <f aca="false">IFERROR(H154/I154*1000,"-")</f>
        <v>383.124918869802</v>
      </c>
      <c r="O154" s="7" t="n">
        <v>2</v>
      </c>
      <c r="P154" s="7" t="n">
        <f aca="false">IFERROR(H154/O154,"-")</f>
        <v>4427.2</v>
      </c>
      <c r="Q154" s="6" t="s">
        <v>90</v>
      </c>
      <c r="R154" s="22"/>
      <c r="S154" s="7" t="str">
        <f aca="false">IF(Q154="Yes",R154-B154,"")</f>
        <v/>
      </c>
      <c r="T154" s="6"/>
      <c r="U154" s="7" t="n">
        <v>0</v>
      </c>
      <c r="V154" s="7" t="n">
        <v>0</v>
      </c>
      <c r="W154" s="7" t="n">
        <v>0</v>
      </c>
      <c r="X154" s="7" t="n">
        <v>0</v>
      </c>
      <c r="Y154" s="10" t="str">
        <f aca="false">IF(Q154="Yes",IFERROR(W154/V154,"-"),"")</f>
        <v/>
      </c>
      <c r="Z154" s="10" t="str">
        <f aca="false">IF(Q154="Yes",IFERROR(X154/V154,"-"),"")</f>
        <v/>
      </c>
      <c r="AA154" s="7" t="n">
        <v>0</v>
      </c>
    </row>
    <row r="155" customFormat="false" ht="15" hidden="false" customHeight="false" outlineLevel="0" collapsed="false">
      <c r="A155" s="6" t="s">
        <v>255</v>
      </c>
      <c r="B155" s="22" t="n">
        <v>46217</v>
      </c>
      <c r="C155" s="6" t="str">
        <f aca="false">TEXT(B155,"yyyy-mm")</f>
        <v>2026-07</v>
      </c>
      <c r="D155" s="6" t="s">
        <v>52</v>
      </c>
      <c r="E155" s="6" t="s">
        <v>214</v>
      </c>
      <c r="F155" s="22" t="n">
        <v>46244</v>
      </c>
      <c r="G155" s="7" t="n">
        <f aca="false">Summary!$C$5-B155</f>
        <v>103</v>
      </c>
      <c r="H155" s="7" t="n">
        <v>3244.06</v>
      </c>
      <c r="I155" s="7" t="n">
        <v>9421</v>
      </c>
      <c r="J155" s="7" t="n">
        <v>93</v>
      </c>
      <c r="K155" s="7" t="n">
        <v>2791.06</v>
      </c>
      <c r="L155" s="10" t="n">
        <f aca="false">IFERROR(J155/I155,"-")</f>
        <v>0.00987156352828787</v>
      </c>
      <c r="M155" s="10" t="n">
        <f aca="false">IFERROR(K155/I155,"-")</f>
        <v>0.29625942044369</v>
      </c>
      <c r="N155" s="7" t="n">
        <f aca="false">IFERROR(H155/I155*1000,"-")</f>
        <v>344.343487952447</v>
      </c>
      <c r="O155" s="7" t="n">
        <v>0</v>
      </c>
      <c r="P155" s="7" t="str">
        <f aca="false">IFERROR(H155/O155,"-")</f>
        <v>-</v>
      </c>
      <c r="Q155" s="6" t="s">
        <v>90</v>
      </c>
      <c r="R155" s="22"/>
      <c r="S155" s="7" t="str">
        <f aca="false">IF(Q155="Yes",R155-B155,"")</f>
        <v/>
      </c>
      <c r="T155" s="6"/>
      <c r="U155" s="7" t="n">
        <v>0</v>
      </c>
      <c r="V155" s="7" t="n">
        <v>0</v>
      </c>
      <c r="W155" s="7" t="n">
        <v>0</v>
      </c>
      <c r="X155" s="7" t="n">
        <v>0</v>
      </c>
      <c r="Y155" s="10" t="str">
        <f aca="false">IF(Q155="Yes",IFERROR(W155/V155,"-"),"")</f>
        <v/>
      </c>
      <c r="Z155" s="10" t="str">
        <f aca="false">IF(Q155="Yes",IFERROR(X155/V155,"-"),"")</f>
        <v/>
      </c>
      <c r="AA155" s="7" t="n">
        <v>0</v>
      </c>
    </row>
    <row r="156" customFormat="false" ht="15" hidden="false" customHeight="false" outlineLevel="0" collapsed="false">
      <c r="A156" s="6" t="s">
        <v>256</v>
      </c>
      <c r="B156" s="22" t="n">
        <v>46217</v>
      </c>
      <c r="C156" s="6" t="str">
        <f aca="false">TEXT(B156,"yyyy-mm")</f>
        <v>2026-07</v>
      </c>
      <c r="D156" s="6" t="s">
        <v>52</v>
      </c>
      <c r="E156" s="6" t="s">
        <v>214</v>
      </c>
      <c r="F156" s="22" t="n">
        <v>46230</v>
      </c>
      <c r="G156" s="7" t="n">
        <f aca="false">Summary!$C$5-B156</f>
        <v>103</v>
      </c>
      <c r="H156" s="7" t="n">
        <v>6009.56</v>
      </c>
      <c r="I156" s="7" t="n">
        <v>21177</v>
      </c>
      <c r="J156" s="7" t="n">
        <v>203</v>
      </c>
      <c r="K156" s="7" t="n">
        <v>7605.04</v>
      </c>
      <c r="L156" s="10" t="n">
        <f aca="false">IFERROR(J156/I156,"-")</f>
        <v>0.0095858714643245</v>
      </c>
      <c r="M156" s="10" t="n">
        <f aca="false">IFERROR(K156/I156,"-")</f>
        <v>0.359117910941115</v>
      </c>
      <c r="N156" s="7" t="n">
        <f aca="false">IFERROR(H156/I156*1000,"-")</f>
        <v>283.777683335694</v>
      </c>
      <c r="O156" s="7" t="n">
        <v>0</v>
      </c>
      <c r="P156" s="7" t="str">
        <f aca="false">IFERROR(H156/O156,"-")</f>
        <v>-</v>
      </c>
      <c r="Q156" s="6" t="s">
        <v>100</v>
      </c>
      <c r="R156" s="22" t="n">
        <v>46230</v>
      </c>
      <c r="S156" s="7" t="n">
        <f aca="false">IF(Q156="Yes",R156-B156,"")</f>
        <v>13</v>
      </c>
      <c r="T156" s="6" t="s">
        <v>53</v>
      </c>
      <c r="U156" s="7" t="n">
        <v>112112.82</v>
      </c>
      <c r="V156" s="7" t="n">
        <v>691964</v>
      </c>
      <c r="W156" s="7" t="n">
        <v>2351</v>
      </c>
      <c r="X156" s="7" t="n">
        <v>179085</v>
      </c>
      <c r="Y156" s="10" t="n">
        <f aca="false">IF(Q156="Yes",IFERROR(W156/V156,"-"),"")</f>
        <v>0.00339757559641831</v>
      </c>
      <c r="Z156" s="10" t="n">
        <f aca="false">IF(Q156="Yes",IFERROR(X156/V156,"-"),"")</f>
        <v>0.258806816539589</v>
      </c>
      <c r="AA156" s="7" t="n">
        <v>9</v>
      </c>
    </row>
    <row r="157" customFormat="false" ht="15" hidden="false" customHeight="false" outlineLevel="0" collapsed="false">
      <c r="A157" s="6" t="s">
        <v>257</v>
      </c>
      <c r="B157" s="22" t="n">
        <v>46217</v>
      </c>
      <c r="C157" s="6" t="str">
        <f aca="false">TEXT(B157,"yyyy-mm")</f>
        <v>2026-07</v>
      </c>
      <c r="D157" s="6" t="s">
        <v>52</v>
      </c>
      <c r="E157" s="6" t="s">
        <v>214</v>
      </c>
      <c r="F157" s="22" t="n">
        <v>46237</v>
      </c>
      <c r="G157" s="7" t="n">
        <f aca="false">Summary!$C$5-B157</f>
        <v>103</v>
      </c>
      <c r="H157" s="7" t="n">
        <v>10619.46</v>
      </c>
      <c r="I157" s="7" t="n">
        <v>47116</v>
      </c>
      <c r="J157" s="7" t="n">
        <v>476</v>
      </c>
      <c r="K157" s="7" t="n">
        <v>16685.48</v>
      </c>
      <c r="L157" s="10" t="n">
        <f aca="false">IFERROR(J157/I157,"-")</f>
        <v>0.0101027251888955</v>
      </c>
      <c r="M157" s="10" t="n">
        <f aca="false">IFERROR(K157/I157,"-")</f>
        <v>0.354136174547924</v>
      </c>
      <c r="N157" s="7" t="n">
        <f aca="false">IFERROR(H157/I157*1000,"-")</f>
        <v>225.389676543</v>
      </c>
      <c r="O157" s="7" t="n">
        <v>3</v>
      </c>
      <c r="P157" s="7" t="n">
        <f aca="false">IFERROR(H157/O157,"-")</f>
        <v>3539.82</v>
      </c>
      <c r="Q157" s="6" t="s">
        <v>90</v>
      </c>
      <c r="R157" s="22"/>
      <c r="S157" s="7" t="str">
        <f aca="false">IF(Q157="Yes",R157-B157,"")</f>
        <v/>
      </c>
      <c r="T157" s="6"/>
      <c r="U157" s="7" t="n">
        <v>0</v>
      </c>
      <c r="V157" s="7" t="n">
        <v>0</v>
      </c>
      <c r="W157" s="7" t="n">
        <v>0</v>
      </c>
      <c r="X157" s="7" t="n">
        <v>0</v>
      </c>
      <c r="Y157" s="10" t="str">
        <f aca="false">IF(Q157="Yes",IFERROR(W157/V157,"-"),"")</f>
        <v/>
      </c>
      <c r="Z157" s="10" t="str">
        <f aca="false">IF(Q157="Yes",IFERROR(X157/V157,"-"),"")</f>
        <v/>
      </c>
      <c r="AA157" s="7" t="n">
        <v>0</v>
      </c>
    </row>
    <row r="158" customFormat="false" ht="15" hidden="false" customHeight="false" outlineLevel="0" collapsed="false">
      <c r="A158" s="6" t="s">
        <v>258</v>
      </c>
      <c r="B158" s="22" t="n">
        <v>46225</v>
      </c>
      <c r="C158" s="6" t="str">
        <f aca="false">TEXT(B158,"yyyy-mm")</f>
        <v>2026-07</v>
      </c>
      <c r="D158" s="6" t="s">
        <v>52</v>
      </c>
      <c r="E158" s="6" t="s">
        <v>238</v>
      </c>
      <c r="F158" s="22" t="n">
        <v>46230</v>
      </c>
      <c r="G158" s="7" t="n">
        <f aca="false">Summary!$C$5-B158</f>
        <v>95</v>
      </c>
      <c r="H158" s="7" t="n">
        <v>1896.66</v>
      </c>
      <c r="I158" s="7" t="n">
        <v>4219</v>
      </c>
      <c r="J158" s="7" t="n">
        <v>51</v>
      </c>
      <c r="K158" s="7" t="n">
        <v>898</v>
      </c>
      <c r="L158" s="10" t="n">
        <f aca="false">IFERROR(J158/I158,"-")</f>
        <v>0.0120881725527376</v>
      </c>
      <c r="M158" s="10" t="n">
        <f aca="false">IFERROR(K158/I158,"-")</f>
        <v>0.212846646124674</v>
      </c>
      <c r="N158" s="7" t="n">
        <f aca="false">IFERROR(H158/I158*1000,"-")</f>
        <v>449.552026546575</v>
      </c>
      <c r="O158" s="7" t="n">
        <v>0</v>
      </c>
      <c r="P158" s="7" t="str">
        <f aca="false">IFERROR(H158/O158,"-")</f>
        <v>-</v>
      </c>
      <c r="Q158" s="6" t="s">
        <v>90</v>
      </c>
      <c r="R158" s="22"/>
      <c r="S158" s="7" t="str">
        <f aca="false">IF(Q158="Yes",R158-B158,"")</f>
        <v/>
      </c>
      <c r="T158" s="6"/>
      <c r="U158" s="7" t="n">
        <v>0</v>
      </c>
      <c r="V158" s="7" t="n">
        <v>0</v>
      </c>
      <c r="W158" s="7" t="n">
        <v>0</v>
      </c>
      <c r="X158" s="7" t="n">
        <v>0</v>
      </c>
      <c r="Y158" s="10" t="str">
        <f aca="false">IF(Q158="Yes",IFERROR(W158/V158,"-"),"")</f>
        <v/>
      </c>
      <c r="Z158" s="10" t="str">
        <f aca="false">IF(Q158="Yes",IFERROR(X158/V158,"-"),"")</f>
        <v/>
      </c>
      <c r="AA158" s="7" t="n">
        <v>0</v>
      </c>
    </row>
    <row r="159" customFormat="false" ht="15" hidden="false" customHeight="false" outlineLevel="0" collapsed="false">
      <c r="A159" s="6" t="s">
        <v>259</v>
      </c>
      <c r="B159" s="22" t="n">
        <v>46225</v>
      </c>
      <c r="C159" s="6" t="str">
        <f aca="false">TEXT(B159,"yyyy-mm")</f>
        <v>2026-07</v>
      </c>
      <c r="D159" s="6" t="s">
        <v>52</v>
      </c>
      <c r="E159" s="6" t="s">
        <v>238</v>
      </c>
      <c r="F159" s="22" t="n">
        <v>46237</v>
      </c>
      <c r="G159" s="7" t="n">
        <f aca="false">Summary!$C$5-B159</f>
        <v>95</v>
      </c>
      <c r="H159" s="7" t="n">
        <v>9079.1</v>
      </c>
      <c r="I159" s="7" t="n">
        <v>21628</v>
      </c>
      <c r="J159" s="7" t="n">
        <v>193</v>
      </c>
      <c r="K159" s="7" t="n">
        <v>4922</v>
      </c>
      <c r="L159" s="10" t="n">
        <f aca="false">IFERROR(J159/I159,"-")</f>
        <v>0.00892361753282782</v>
      </c>
      <c r="M159" s="10" t="n">
        <f aca="false">IFERROR(K159/I159,"-")</f>
        <v>0.227575365267246</v>
      </c>
      <c r="N159" s="7" t="n">
        <f aca="false">IFERROR(H159/I159*1000,"-")</f>
        <v>419.784538561125</v>
      </c>
      <c r="O159" s="7" t="n">
        <v>3</v>
      </c>
      <c r="P159" s="7" t="n">
        <f aca="false">IFERROR(H159/O159,"-")</f>
        <v>3026.36666666667</v>
      </c>
      <c r="Q159" s="6" t="s">
        <v>100</v>
      </c>
      <c r="R159" s="22" t="n">
        <v>46237</v>
      </c>
      <c r="S159" s="7" t="n">
        <f aca="false">IF(Q159="Yes",R159-B159,"")</f>
        <v>12</v>
      </c>
      <c r="T159" s="6" t="s">
        <v>101</v>
      </c>
      <c r="U159" s="7" t="n">
        <v>56494.37</v>
      </c>
      <c r="V159" s="7" t="n">
        <v>165526</v>
      </c>
      <c r="W159" s="7" t="n">
        <v>924</v>
      </c>
      <c r="X159" s="7" t="n">
        <v>24899</v>
      </c>
      <c r="Y159" s="10" t="n">
        <f aca="false">IF(Q159="Yes",IFERROR(W159/V159,"-"),"")</f>
        <v>0.00558220460833948</v>
      </c>
      <c r="Z159" s="10" t="n">
        <f aca="false">IF(Q159="Yes",IFERROR(X159/V159,"-"),"")</f>
        <v>0.150423498423208</v>
      </c>
      <c r="AA159" s="7" t="n">
        <v>10</v>
      </c>
    </row>
    <row r="160" customFormat="false" ht="15" hidden="false" customHeight="false" outlineLevel="0" collapsed="false">
      <c r="A160" s="6" t="s">
        <v>260</v>
      </c>
      <c r="B160" s="22" t="n">
        <v>46225</v>
      </c>
      <c r="C160" s="6" t="str">
        <f aca="false">TEXT(B160,"yyyy-mm")</f>
        <v>2026-07</v>
      </c>
      <c r="D160" s="6" t="s">
        <v>52</v>
      </c>
      <c r="E160" s="6" t="s">
        <v>238</v>
      </c>
      <c r="F160" s="22" t="n">
        <v>46237</v>
      </c>
      <c r="G160" s="7" t="n">
        <f aca="false">Summary!$C$5-B160</f>
        <v>95</v>
      </c>
      <c r="H160" s="7" t="n">
        <v>7283.71</v>
      </c>
      <c r="I160" s="7" t="n">
        <v>17174</v>
      </c>
      <c r="J160" s="7" t="n">
        <v>116</v>
      </c>
      <c r="K160" s="7" t="n">
        <v>2090</v>
      </c>
      <c r="L160" s="10" t="n">
        <f aca="false">IFERROR(J160/I160,"-")</f>
        <v>0.00675439618027251</v>
      </c>
      <c r="M160" s="10" t="n">
        <f aca="false">IFERROR(K160/I160,"-")</f>
        <v>0.121695586351462</v>
      </c>
      <c r="N160" s="7" t="n">
        <f aca="false">IFERROR(H160/I160*1000,"-")</f>
        <v>424.11261208804</v>
      </c>
      <c r="O160" s="7" t="n">
        <v>7</v>
      </c>
      <c r="P160" s="7" t="n">
        <f aca="false">IFERROR(H160/O160,"-")</f>
        <v>1040.53</v>
      </c>
      <c r="Q160" s="6" t="s">
        <v>100</v>
      </c>
      <c r="R160" s="22" t="n">
        <v>46237</v>
      </c>
      <c r="S160" s="7" t="n">
        <f aca="false">IF(Q160="Yes",R160-B160,"")</f>
        <v>12</v>
      </c>
      <c r="T160" s="6" t="s">
        <v>101</v>
      </c>
      <c r="U160" s="7" t="n">
        <v>58605.44</v>
      </c>
      <c r="V160" s="7" t="n">
        <v>134397</v>
      </c>
      <c r="W160" s="7" t="n">
        <v>605</v>
      </c>
      <c r="X160" s="7" t="n">
        <v>12261</v>
      </c>
      <c r="Y160" s="10" t="n">
        <f aca="false">IF(Q160="Yes",IFERROR(W160/V160,"-"),"")</f>
        <v>0.00450158857712598</v>
      </c>
      <c r="Z160" s="10" t="n">
        <f aca="false">IF(Q160="Yes",IFERROR(X160/V160,"-"),"")</f>
        <v>0.0912297149489944</v>
      </c>
      <c r="AA160" s="7" t="n">
        <v>14</v>
      </c>
    </row>
    <row r="161" customFormat="false" ht="15" hidden="false" customHeight="false" outlineLevel="0" collapsed="false">
      <c r="A161" s="6" t="s">
        <v>261</v>
      </c>
      <c r="B161" s="22" t="n">
        <v>46225</v>
      </c>
      <c r="C161" s="6" t="str">
        <f aca="false">TEXT(B161,"yyyy-mm")</f>
        <v>2026-07</v>
      </c>
      <c r="D161" s="6" t="s">
        <v>52</v>
      </c>
      <c r="E161" s="6" t="s">
        <v>214</v>
      </c>
      <c r="F161" s="22" t="n">
        <v>46237</v>
      </c>
      <c r="G161" s="7" t="n">
        <f aca="false">Summary!$C$5-B161</f>
        <v>95</v>
      </c>
      <c r="H161" s="7" t="n">
        <v>3820.56</v>
      </c>
      <c r="I161" s="7" t="n">
        <v>8478</v>
      </c>
      <c r="J161" s="7" t="n">
        <v>101</v>
      </c>
      <c r="K161" s="7" t="n">
        <v>3181</v>
      </c>
      <c r="L161" s="10" t="n">
        <f aca="false">IFERROR(J161/I161,"-")</f>
        <v>0.0119131870724227</v>
      </c>
      <c r="M161" s="10" t="n">
        <f aca="false">IFERROR(K161/I161,"-")</f>
        <v>0.375206416607691</v>
      </c>
      <c r="N161" s="7" t="n">
        <f aca="false">IFERROR(H161/I161*1000,"-")</f>
        <v>450.644019815994</v>
      </c>
      <c r="O161" s="7" t="n">
        <v>2</v>
      </c>
      <c r="P161" s="7" t="n">
        <f aca="false">IFERROR(H161/O161,"-")</f>
        <v>1910.28</v>
      </c>
      <c r="Q161" s="6" t="s">
        <v>100</v>
      </c>
      <c r="R161" s="22" t="n">
        <v>46237</v>
      </c>
      <c r="S161" s="7" t="n">
        <f aca="false">IF(Q161="Yes",R161-B161,"")</f>
        <v>12</v>
      </c>
      <c r="T161" s="6" t="s">
        <v>53</v>
      </c>
      <c r="U161" s="7" t="n">
        <v>93850.49</v>
      </c>
      <c r="V161" s="7" t="n">
        <v>360672</v>
      </c>
      <c r="W161" s="7" t="n">
        <v>1171</v>
      </c>
      <c r="X161" s="7" t="n">
        <v>85701</v>
      </c>
      <c r="Y161" s="10" t="n">
        <f aca="false">IF(Q161="Yes",IFERROR(W161/V161,"-"),"")</f>
        <v>0.00324671723893177</v>
      </c>
      <c r="Z161" s="10" t="n">
        <f aca="false">IF(Q161="Yes",IFERROR(X161/V161,"-"),"")</f>
        <v>0.237614785733298</v>
      </c>
      <c r="AA161" s="7" t="n">
        <v>16</v>
      </c>
    </row>
    <row r="162" customFormat="false" ht="15" hidden="false" customHeight="false" outlineLevel="0" collapsed="false">
      <c r="A162" s="6" t="s">
        <v>262</v>
      </c>
      <c r="B162" s="22" t="n">
        <v>46225</v>
      </c>
      <c r="C162" s="6" t="str">
        <f aca="false">TEXT(B162,"yyyy-mm")</f>
        <v>2026-07</v>
      </c>
      <c r="D162" s="6" t="s">
        <v>52</v>
      </c>
      <c r="E162" s="6" t="s">
        <v>214</v>
      </c>
      <c r="F162" s="22" t="n">
        <v>46230</v>
      </c>
      <c r="G162" s="7" t="n">
        <f aca="false">Summary!$C$5-B162</f>
        <v>95</v>
      </c>
      <c r="H162" s="7" t="n">
        <v>8347.63</v>
      </c>
      <c r="I162" s="7" t="n">
        <v>32572</v>
      </c>
      <c r="J162" s="7" t="n">
        <v>391</v>
      </c>
      <c r="K162" s="7" t="n">
        <v>12356</v>
      </c>
      <c r="L162" s="10" t="n">
        <f aca="false">IFERROR(J162/I162,"-")</f>
        <v>0.0120041753653445</v>
      </c>
      <c r="M162" s="10" t="n">
        <f aca="false">IFERROR(K162/I162,"-")</f>
        <v>0.379344222031192</v>
      </c>
      <c r="N162" s="7" t="n">
        <f aca="false">IFERROR(H162/I162*1000,"-")</f>
        <v>256.282389782635</v>
      </c>
      <c r="O162" s="7" t="n">
        <v>3</v>
      </c>
      <c r="P162" s="7" t="n">
        <f aca="false">IFERROR(H162/O162,"-")</f>
        <v>2782.54333333333</v>
      </c>
      <c r="Q162" s="6" t="s">
        <v>100</v>
      </c>
      <c r="R162" s="22" t="n">
        <v>46230</v>
      </c>
      <c r="S162" s="7" t="n">
        <f aca="false">IF(Q162="Yes",R162-B162,"")</f>
        <v>5</v>
      </c>
      <c r="T162" s="6" t="s">
        <v>53</v>
      </c>
      <c r="U162" s="7" t="n">
        <v>371703.9</v>
      </c>
      <c r="V162" s="7" t="n">
        <v>1882364</v>
      </c>
      <c r="W162" s="7" t="n">
        <v>12965</v>
      </c>
      <c r="X162" s="7" t="n">
        <v>489829</v>
      </c>
      <c r="Y162" s="10" t="n">
        <f aca="false">IF(Q162="Yes",IFERROR(W162/V162,"-"),"")</f>
        <v>0.00688761578525726</v>
      </c>
      <c r="Z162" s="10" t="n">
        <f aca="false">IF(Q162="Yes",IFERROR(X162/V162,"-"),"")</f>
        <v>0.260220127456751</v>
      </c>
      <c r="AA162" s="7" t="n">
        <v>44</v>
      </c>
    </row>
    <row r="163" customFormat="false" ht="15" hidden="false" customHeight="false" outlineLevel="0" collapsed="false">
      <c r="A163" s="6" t="s">
        <v>263</v>
      </c>
      <c r="B163" s="22" t="n">
        <v>46225</v>
      </c>
      <c r="C163" s="6" t="str">
        <f aca="false">TEXT(B163,"yyyy-mm")</f>
        <v>2026-07</v>
      </c>
      <c r="D163" s="6" t="s">
        <v>52</v>
      </c>
      <c r="E163" s="6" t="s">
        <v>214</v>
      </c>
      <c r="F163" s="22" t="n">
        <v>46241</v>
      </c>
      <c r="G163" s="7" t="n">
        <f aca="false">Summary!$C$5-B163</f>
        <v>95</v>
      </c>
      <c r="H163" s="7" t="n">
        <v>153.32</v>
      </c>
      <c r="I163" s="7" t="n">
        <v>167</v>
      </c>
      <c r="J163" s="7" t="n">
        <v>1</v>
      </c>
      <c r="K163" s="7" t="n">
        <v>44</v>
      </c>
      <c r="L163" s="10" t="n">
        <f aca="false">IFERROR(J163/I163,"-")</f>
        <v>0.00598802395209581</v>
      </c>
      <c r="M163" s="10" t="n">
        <f aca="false">IFERROR(K163/I163,"-")</f>
        <v>0.263473053892216</v>
      </c>
      <c r="N163" s="7" t="n">
        <f aca="false">IFERROR(H163/I163*1000,"-")</f>
        <v>918.08383233533</v>
      </c>
      <c r="O163" s="7" t="n">
        <v>0</v>
      </c>
      <c r="P163" s="7" t="str">
        <f aca="false">IFERROR(H163/O163,"-")</f>
        <v>-</v>
      </c>
      <c r="Q163" s="6" t="s">
        <v>90</v>
      </c>
      <c r="R163" s="22"/>
      <c r="S163" s="7" t="str">
        <f aca="false">IF(Q163="Yes",R163-B163,"")</f>
        <v/>
      </c>
      <c r="T163" s="6"/>
      <c r="U163" s="7" t="n">
        <v>0</v>
      </c>
      <c r="V163" s="7" t="n">
        <v>0</v>
      </c>
      <c r="W163" s="7" t="n">
        <v>0</v>
      </c>
      <c r="X163" s="7" t="n">
        <v>0</v>
      </c>
      <c r="Y163" s="10" t="str">
        <f aca="false">IF(Q163="Yes",IFERROR(W163/V163,"-"),"")</f>
        <v/>
      </c>
      <c r="Z163" s="10" t="str">
        <f aca="false">IF(Q163="Yes",IFERROR(X163/V163,"-"),"")</f>
        <v/>
      </c>
      <c r="AA163" s="7" t="n">
        <v>0</v>
      </c>
    </row>
    <row r="164" customFormat="false" ht="15" hidden="false" customHeight="false" outlineLevel="0" collapsed="false">
      <c r="A164" s="6" t="s">
        <v>264</v>
      </c>
      <c r="B164" s="22" t="n">
        <v>46225</v>
      </c>
      <c r="C164" s="6" t="str">
        <f aca="false">TEXT(B164,"yyyy-mm")</f>
        <v>2026-07</v>
      </c>
      <c r="D164" s="6" t="s">
        <v>52</v>
      </c>
      <c r="E164" s="6" t="s">
        <v>214</v>
      </c>
      <c r="F164" s="22" t="n">
        <v>46244</v>
      </c>
      <c r="G164" s="7" t="n">
        <f aca="false">Summary!$C$5-B164</f>
        <v>95</v>
      </c>
      <c r="H164" s="7" t="n">
        <v>2547.34</v>
      </c>
      <c r="I164" s="7" t="n">
        <v>5894</v>
      </c>
      <c r="J164" s="7" t="n">
        <v>51</v>
      </c>
      <c r="K164" s="7" t="n">
        <v>1955</v>
      </c>
      <c r="L164" s="10" t="n">
        <f aca="false">IFERROR(J164/I164,"-")</f>
        <v>0.00865286732270105</v>
      </c>
      <c r="M164" s="10" t="n">
        <f aca="false">IFERROR(K164/I164,"-")</f>
        <v>0.331693247370207</v>
      </c>
      <c r="N164" s="7" t="n">
        <f aca="false">IFERROR(H164/I164*1000,"-")</f>
        <v>432.192059721751</v>
      </c>
      <c r="O164" s="7" t="n">
        <v>0</v>
      </c>
      <c r="P164" s="7" t="str">
        <f aca="false">IFERROR(H164/O164,"-")</f>
        <v>-</v>
      </c>
      <c r="Q164" s="6" t="s">
        <v>90</v>
      </c>
      <c r="R164" s="22"/>
      <c r="S164" s="7" t="str">
        <f aca="false">IF(Q164="Yes",R164-B164,"")</f>
        <v/>
      </c>
      <c r="T164" s="6"/>
      <c r="U164" s="7" t="n">
        <v>0</v>
      </c>
      <c r="V164" s="7" t="n">
        <v>0</v>
      </c>
      <c r="W164" s="7" t="n">
        <v>0</v>
      </c>
      <c r="X164" s="7" t="n">
        <v>0</v>
      </c>
      <c r="Y164" s="10" t="str">
        <f aca="false">IF(Q164="Yes",IFERROR(W164/V164,"-"),"")</f>
        <v/>
      </c>
      <c r="Z164" s="10" t="str">
        <f aca="false">IF(Q164="Yes",IFERROR(X164/V164,"-"),"")</f>
        <v/>
      </c>
      <c r="AA164" s="7" t="n">
        <v>0</v>
      </c>
    </row>
    <row r="165" customFormat="false" ht="15" hidden="false" customHeight="false" outlineLevel="0" collapsed="false">
      <c r="A165" s="6" t="s">
        <v>265</v>
      </c>
      <c r="B165" s="22" t="n">
        <v>46230</v>
      </c>
      <c r="C165" s="6" t="str">
        <f aca="false">TEXT(B165,"yyyy-mm")</f>
        <v>2026-07</v>
      </c>
      <c r="D165" s="6" t="s">
        <v>52</v>
      </c>
      <c r="E165" s="6" t="s">
        <v>238</v>
      </c>
      <c r="F165" s="22" t="n">
        <v>46244</v>
      </c>
      <c r="G165" s="7" t="n">
        <f aca="false">Summary!$C$5-B165</f>
        <v>90</v>
      </c>
      <c r="H165" s="7" t="n">
        <v>1172.64</v>
      </c>
      <c r="I165" s="7" t="n">
        <v>2227</v>
      </c>
      <c r="J165" s="7" t="n">
        <v>21</v>
      </c>
      <c r="K165" s="7" t="n">
        <v>413</v>
      </c>
      <c r="L165" s="10" t="n">
        <f aca="false">IFERROR(J165/I165,"-")</f>
        <v>0.00942972608890885</v>
      </c>
      <c r="M165" s="10" t="n">
        <f aca="false">IFERROR(K165/I165,"-")</f>
        <v>0.185451279748541</v>
      </c>
      <c r="N165" s="7" t="n">
        <f aca="false">IFERROR(H165/I165*1000,"-")</f>
        <v>526.55590480467</v>
      </c>
      <c r="O165" s="7" t="n">
        <v>0</v>
      </c>
      <c r="P165" s="7" t="str">
        <f aca="false">IFERROR(H165/O165,"-")</f>
        <v>-</v>
      </c>
      <c r="Q165" s="6" t="s">
        <v>90</v>
      </c>
      <c r="R165" s="22"/>
      <c r="S165" s="7" t="str">
        <f aca="false">IF(Q165="Yes",R165-B165,"")</f>
        <v/>
      </c>
      <c r="T165" s="6"/>
      <c r="U165" s="7" t="n">
        <v>0</v>
      </c>
      <c r="V165" s="7" t="n">
        <v>0</v>
      </c>
      <c r="W165" s="7" t="n">
        <v>0</v>
      </c>
      <c r="X165" s="7" t="n">
        <v>0</v>
      </c>
      <c r="Y165" s="10" t="str">
        <f aca="false">IF(Q165="Yes",IFERROR(W165/V165,"-"),"")</f>
        <v/>
      </c>
      <c r="Z165" s="10" t="str">
        <f aca="false">IF(Q165="Yes",IFERROR(X165/V165,"-"),"")</f>
        <v/>
      </c>
      <c r="AA165" s="7" t="n">
        <v>0</v>
      </c>
    </row>
    <row r="166" customFormat="false" ht="15" hidden="false" customHeight="false" outlineLevel="0" collapsed="false">
      <c r="A166" s="6" t="s">
        <v>266</v>
      </c>
      <c r="B166" s="22" t="n">
        <v>46230</v>
      </c>
      <c r="C166" s="6" t="str">
        <f aca="false">TEXT(B166,"yyyy-mm")</f>
        <v>2026-07</v>
      </c>
      <c r="D166" s="6" t="s">
        <v>52</v>
      </c>
      <c r="E166" s="6" t="s">
        <v>238</v>
      </c>
      <c r="F166" s="22" t="n">
        <v>46269</v>
      </c>
      <c r="G166" s="7" t="n">
        <f aca="false">Summary!$C$5-B166</f>
        <v>90</v>
      </c>
      <c r="H166" s="7" t="n">
        <v>6779.14</v>
      </c>
      <c r="I166" s="7" t="n">
        <v>12624</v>
      </c>
      <c r="J166" s="7" t="n">
        <v>100</v>
      </c>
      <c r="K166" s="7" t="n">
        <v>2064</v>
      </c>
      <c r="L166" s="10" t="n">
        <f aca="false">IFERROR(J166/I166,"-")</f>
        <v>0.00792141951837769</v>
      </c>
      <c r="M166" s="10" t="n">
        <f aca="false">IFERROR(K166/I166,"-")</f>
        <v>0.163498098859316</v>
      </c>
      <c r="N166" s="7" t="n">
        <f aca="false">IFERROR(H166/I166*1000,"-")</f>
        <v>537.00411913815</v>
      </c>
      <c r="O166" s="7" t="n">
        <v>4</v>
      </c>
      <c r="P166" s="7" t="n">
        <f aca="false">IFERROR(H166/O166,"-")</f>
        <v>1694.785</v>
      </c>
      <c r="Q166" s="6" t="s">
        <v>90</v>
      </c>
      <c r="R166" s="22"/>
      <c r="S166" s="7" t="str">
        <f aca="false">IF(Q166="Yes",R166-B166,"")</f>
        <v/>
      </c>
      <c r="T166" s="6"/>
      <c r="U166" s="7" t="n">
        <v>0</v>
      </c>
      <c r="V166" s="7" t="n">
        <v>0</v>
      </c>
      <c r="W166" s="7" t="n">
        <v>0</v>
      </c>
      <c r="X166" s="7" t="n">
        <v>0</v>
      </c>
      <c r="Y166" s="10" t="str">
        <f aca="false">IF(Q166="Yes",IFERROR(W166/V166,"-"),"")</f>
        <v/>
      </c>
      <c r="Z166" s="10" t="str">
        <f aca="false">IF(Q166="Yes",IFERROR(X166/V166,"-"),"")</f>
        <v/>
      </c>
      <c r="AA166" s="7" t="n">
        <v>0</v>
      </c>
    </row>
    <row r="167" customFormat="false" ht="15" hidden="false" customHeight="false" outlineLevel="0" collapsed="false">
      <c r="A167" s="6" t="s">
        <v>267</v>
      </c>
      <c r="B167" s="22" t="n">
        <v>46230</v>
      </c>
      <c r="C167" s="6" t="str">
        <f aca="false">TEXT(B167,"yyyy-mm")</f>
        <v>2026-07</v>
      </c>
      <c r="D167" s="6" t="s">
        <v>52</v>
      </c>
      <c r="E167" s="6" t="s">
        <v>238</v>
      </c>
      <c r="F167" s="22" t="n">
        <v>46237</v>
      </c>
      <c r="G167" s="7" t="n">
        <f aca="false">Summary!$C$5-B167</f>
        <v>90</v>
      </c>
      <c r="H167" s="7" t="n">
        <v>3814.67</v>
      </c>
      <c r="I167" s="7" t="n">
        <v>9982</v>
      </c>
      <c r="J167" s="7" t="n">
        <v>79</v>
      </c>
      <c r="K167" s="7" t="n">
        <v>1979</v>
      </c>
      <c r="L167" s="10" t="n">
        <f aca="false">IFERROR(J167/I167,"-")</f>
        <v>0.00791424564215588</v>
      </c>
      <c r="M167" s="10" t="n">
        <f aca="false">IFERROR(K167/I167,"-")</f>
        <v>0.198256862352234</v>
      </c>
      <c r="N167" s="7" t="n">
        <f aca="false">IFERROR(H167/I167*1000,"-")</f>
        <v>382.154878781807</v>
      </c>
      <c r="O167" s="7" t="n">
        <v>1</v>
      </c>
      <c r="P167" s="7" t="n">
        <f aca="false">IFERROR(H167/O167,"-")</f>
        <v>3814.67</v>
      </c>
      <c r="Q167" s="6" t="s">
        <v>90</v>
      </c>
      <c r="R167" s="22"/>
      <c r="S167" s="7" t="str">
        <f aca="false">IF(Q167="Yes",R167-B167,"")</f>
        <v/>
      </c>
      <c r="T167" s="6"/>
      <c r="U167" s="7" t="n">
        <v>0</v>
      </c>
      <c r="V167" s="7" t="n">
        <v>0</v>
      </c>
      <c r="W167" s="7" t="n">
        <v>0</v>
      </c>
      <c r="X167" s="7" t="n">
        <v>0</v>
      </c>
      <c r="Y167" s="10" t="str">
        <f aca="false">IF(Q167="Yes",IFERROR(W167/V167,"-"),"")</f>
        <v/>
      </c>
      <c r="Z167" s="10" t="str">
        <f aca="false">IF(Q167="Yes",IFERROR(X167/V167,"-"),"")</f>
        <v/>
      </c>
      <c r="AA167" s="7" t="n">
        <v>0</v>
      </c>
    </row>
    <row r="168" customFormat="false" ht="15" hidden="false" customHeight="false" outlineLevel="0" collapsed="false">
      <c r="A168" s="6" t="s">
        <v>268</v>
      </c>
      <c r="B168" s="22" t="n">
        <v>46237</v>
      </c>
      <c r="C168" s="6" t="str">
        <f aca="false">TEXT(B168,"yyyy-mm")</f>
        <v>2026-08</v>
      </c>
      <c r="D168" s="6" t="s">
        <v>52</v>
      </c>
      <c r="E168" s="6" t="s">
        <v>238</v>
      </c>
      <c r="F168" s="22" t="n">
        <v>46241</v>
      </c>
      <c r="G168" s="7" t="n">
        <f aca="false">Summary!$C$5-B168</f>
        <v>83</v>
      </c>
      <c r="H168" s="7" t="n">
        <v>3818.9</v>
      </c>
      <c r="I168" s="7" t="n">
        <v>7484</v>
      </c>
      <c r="J168" s="7" t="n">
        <v>54</v>
      </c>
      <c r="K168" s="7" t="n">
        <v>1187</v>
      </c>
      <c r="L168" s="10" t="n">
        <f aca="false">IFERROR(J168/I168,"-")</f>
        <v>0.00721539283805452</v>
      </c>
      <c r="M168" s="10" t="n">
        <f aca="false">IFERROR(K168/I168,"-")</f>
        <v>0.158605024051309</v>
      </c>
      <c r="N168" s="7" t="n">
        <f aca="false">IFERROR(H168/I168*1000,"-")</f>
        <v>510.275253874933</v>
      </c>
      <c r="O168" s="7" t="n">
        <v>1</v>
      </c>
      <c r="P168" s="7" t="n">
        <f aca="false">IFERROR(H168/O168,"-")</f>
        <v>3818.9</v>
      </c>
      <c r="Q168" s="6" t="s">
        <v>90</v>
      </c>
      <c r="R168" s="22"/>
      <c r="S168" s="7" t="str">
        <f aca="false">IF(Q168="Yes",R168-B168,"")</f>
        <v/>
      </c>
      <c r="T168" s="6"/>
      <c r="U168" s="7" t="n">
        <v>0</v>
      </c>
      <c r="V168" s="7" t="n">
        <v>0</v>
      </c>
      <c r="W168" s="7" t="n">
        <v>0</v>
      </c>
      <c r="X168" s="7" t="n">
        <v>0</v>
      </c>
      <c r="Y168" s="10" t="str">
        <f aca="false">IF(Q168="Yes",IFERROR(W168/V168,"-"),"")</f>
        <v/>
      </c>
      <c r="Z168" s="10" t="str">
        <f aca="false">IF(Q168="Yes",IFERROR(X168/V168,"-"),"")</f>
        <v/>
      </c>
      <c r="AA168" s="7" t="n">
        <v>0</v>
      </c>
    </row>
    <row r="169" customFormat="false" ht="15" hidden="false" customHeight="false" outlineLevel="0" collapsed="false">
      <c r="A169" s="6" t="s">
        <v>269</v>
      </c>
      <c r="B169" s="22" t="n">
        <v>46237</v>
      </c>
      <c r="C169" s="6" t="str">
        <f aca="false">TEXT(B169,"yyyy-mm")</f>
        <v>2026-08</v>
      </c>
      <c r="D169" s="6" t="s">
        <v>52</v>
      </c>
      <c r="E169" s="6" t="s">
        <v>238</v>
      </c>
      <c r="F169" s="22" t="n">
        <v>46244</v>
      </c>
      <c r="G169" s="7" t="n">
        <f aca="false">Summary!$C$5-B169</f>
        <v>83</v>
      </c>
      <c r="H169" s="7" t="n">
        <v>5919.36</v>
      </c>
      <c r="I169" s="7" t="n">
        <v>12605</v>
      </c>
      <c r="J169" s="7" t="n">
        <v>67</v>
      </c>
      <c r="K169" s="7" t="n">
        <v>2575</v>
      </c>
      <c r="L169" s="10" t="n">
        <f aca="false">IFERROR(J169/I169,"-")</f>
        <v>0.00531535105117017</v>
      </c>
      <c r="M169" s="10" t="n">
        <f aca="false">IFERROR(K169/I169,"-")</f>
        <v>0.204284014280048</v>
      </c>
      <c r="N169" s="7" t="n">
        <f aca="false">IFERROR(H169/I169*1000,"-")</f>
        <v>469.604125347085</v>
      </c>
      <c r="O169" s="7" t="n">
        <v>5</v>
      </c>
      <c r="P169" s="7" t="n">
        <f aca="false">IFERROR(H169/O169,"-")</f>
        <v>1183.872</v>
      </c>
      <c r="Q169" s="6" t="s">
        <v>90</v>
      </c>
      <c r="R169" s="22"/>
      <c r="S169" s="7" t="str">
        <f aca="false">IF(Q169="Yes",R169-B169,"")</f>
        <v/>
      </c>
      <c r="T169" s="6"/>
      <c r="U169" s="7" t="n">
        <v>0</v>
      </c>
      <c r="V169" s="7" t="n">
        <v>0</v>
      </c>
      <c r="W169" s="7" t="n">
        <v>0</v>
      </c>
      <c r="X169" s="7" t="n">
        <v>0</v>
      </c>
      <c r="Y169" s="10" t="str">
        <f aca="false">IF(Q169="Yes",IFERROR(W169/V169,"-"),"")</f>
        <v/>
      </c>
      <c r="Z169" s="10" t="str">
        <f aca="false">IF(Q169="Yes",IFERROR(X169/V169,"-"),"")</f>
        <v/>
      </c>
      <c r="AA169" s="7" t="n">
        <v>0</v>
      </c>
    </row>
    <row r="170" customFormat="false" ht="15" hidden="false" customHeight="false" outlineLevel="0" collapsed="false">
      <c r="A170" s="6" t="s">
        <v>270</v>
      </c>
      <c r="B170" s="22" t="n">
        <v>46237</v>
      </c>
      <c r="C170" s="6" t="str">
        <f aca="false">TEXT(B170,"yyyy-mm")</f>
        <v>2026-08</v>
      </c>
      <c r="D170" s="6" t="s">
        <v>52</v>
      </c>
      <c r="E170" s="6" t="s">
        <v>238</v>
      </c>
      <c r="F170" s="22" t="n">
        <v>46244</v>
      </c>
      <c r="G170" s="7" t="n">
        <f aca="false">Summary!$C$5-B170</f>
        <v>83</v>
      </c>
      <c r="H170" s="7" t="n">
        <v>2464.77</v>
      </c>
      <c r="I170" s="7" t="n">
        <v>4067</v>
      </c>
      <c r="J170" s="7" t="n">
        <v>21</v>
      </c>
      <c r="K170" s="7" t="n">
        <v>568</v>
      </c>
      <c r="L170" s="10" t="n">
        <f aca="false">IFERROR(J170/I170,"-")</f>
        <v>0.00516351118760757</v>
      </c>
      <c r="M170" s="10" t="n">
        <f aca="false">IFERROR(K170/I170,"-")</f>
        <v>0.139660683550529</v>
      </c>
      <c r="N170" s="7" t="n">
        <f aca="false">IFERROR(H170/I170*1000,"-")</f>
        <v>606.041308089501</v>
      </c>
      <c r="O170" s="7" t="n">
        <v>3</v>
      </c>
      <c r="P170" s="7" t="n">
        <f aca="false">IFERROR(H170/O170,"-")</f>
        <v>821.59</v>
      </c>
      <c r="Q170" s="6" t="s">
        <v>90</v>
      </c>
      <c r="R170" s="22"/>
      <c r="S170" s="7" t="str">
        <f aca="false">IF(Q170="Yes",R170-B170,"")</f>
        <v/>
      </c>
      <c r="T170" s="6"/>
      <c r="U170" s="7" t="n">
        <v>0</v>
      </c>
      <c r="V170" s="7" t="n">
        <v>0</v>
      </c>
      <c r="W170" s="7" t="n">
        <v>0</v>
      </c>
      <c r="X170" s="7" t="n">
        <v>0</v>
      </c>
      <c r="Y170" s="10" t="str">
        <f aca="false">IF(Q170="Yes",IFERROR(W170/V170,"-"),"")</f>
        <v/>
      </c>
      <c r="Z170" s="10" t="str">
        <f aca="false">IF(Q170="Yes",IFERROR(X170/V170,"-"),"")</f>
        <v/>
      </c>
      <c r="AA170" s="7" t="n">
        <v>0</v>
      </c>
    </row>
    <row r="171" customFormat="false" ht="15" hidden="false" customHeight="false" outlineLevel="0" collapsed="false">
      <c r="A171" s="6" t="s">
        <v>271</v>
      </c>
      <c r="B171" s="22" t="n">
        <v>46237</v>
      </c>
      <c r="C171" s="6" t="str">
        <f aca="false">TEXT(B171,"yyyy-mm")</f>
        <v>2026-08</v>
      </c>
      <c r="D171" s="6" t="s">
        <v>52</v>
      </c>
      <c r="E171" s="6" t="s">
        <v>214</v>
      </c>
      <c r="F171" s="22" t="n">
        <v>46241</v>
      </c>
      <c r="G171" s="7" t="n">
        <f aca="false">Summary!$C$5-B171</f>
        <v>83</v>
      </c>
      <c r="H171" s="7" t="n">
        <v>5618.6</v>
      </c>
      <c r="I171" s="7" t="n">
        <v>19204</v>
      </c>
      <c r="J171" s="7" t="n">
        <v>214</v>
      </c>
      <c r="K171" s="7" t="n">
        <v>3979</v>
      </c>
      <c r="L171" s="10" t="n">
        <f aca="false">IFERROR(J171/I171,"-")</f>
        <v>0.0111435117683816</v>
      </c>
      <c r="M171" s="10" t="n">
        <f aca="false">IFERROR(K171/I171,"-")</f>
        <v>0.207196417413039</v>
      </c>
      <c r="N171" s="7" t="n">
        <f aca="false">IFERROR(H171/I171*1000,"-")</f>
        <v>292.574463653406</v>
      </c>
      <c r="O171" s="7" t="n">
        <v>2</v>
      </c>
      <c r="P171" s="7" t="n">
        <f aca="false">IFERROR(H171/O171,"-")</f>
        <v>2809.3</v>
      </c>
      <c r="Q171" s="6" t="s">
        <v>90</v>
      </c>
      <c r="R171" s="22"/>
      <c r="S171" s="7" t="str">
        <f aca="false">IF(Q171="Yes",R171-B171,"")</f>
        <v/>
      </c>
      <c r="T171" s="6"/>
      <c r="U171" s="7" t="n">
        <v>0</v>
      </c>
      <c r="V171" s="7" t="n">
        <v>0</v>
      </c>
      <c r="W171" s="7" t="n">
        <v>0</v>
      </c>
      <c r="X171" s="7" t="n">
        <v>0</v>
      </c>
      <c r="Y171" s="10" t="str">
        <f aca="false">IF(Q171="Yes",IFERROR(W171/V171,"-"),"")</f>
        <v/>
      </c>
      <c r="Z171" s="10" t="str">
        <f aca="false">IF(Q171="Yes",IFERROR(X171/V171,"-"),"")</f>
        <v/>
      </c>
      <c r="AA171" s="7" t="n">
        <v>0</v>
      </c>
    </row>
    <row r="172" customFormat="false" ht="15" hidden="false" customHeight="false" outlineLevel="0" collapsed="false">
      <c r="A172" s="6" t="s">
        <v>272</v>
      </c>
      <c r="B172" s="22" t="n">
        <v>46237</v>
      </c>
      <c r="C172" s="6" t="str">
        <f aca="false">TEXT(B172,"yyyy-mm")</f>
        <v>2026-08</v>
      </c>
      <c r="D172" s="6" t="s">
        <v>52</v>
      </c>
      <c r="E172" s="6" t="s">
        <v>214</v>
      </c>
      <c r="F172" s="22" t="n">
        <v>46244</v>
      </c>
      <c r="G172" s="7" t="n">
        <f aca="false">Summary!$C$5-B172</f>
        <v>83</v>
      </c>
      <c r="H172" s="7" t="n">
        <v>591.08</v>
      </c>
      <c r="I172" s="7" t="n">
        <v>1262</v>
      </c>
      <c r="J172" s="7" t="n">
        <v>11</v>
      </c>
      <c r="K172" s="7" t="n">
        <v>220</v>
      </c>
      <c r="L172" s="10" t="n">
        <f aca="false">IFERROR(J172/I172,"-")</f>
        <v>0.00871632329635499</v>
      </c>
      <c r="M172" s="10" t="n">
        <f aca="false">IFERROR(K172/I172,"-")</f>
        <v>0.1743264659271</v>
      </c>
      <c r="N172" s="7" t="n">
        <f aca="false">IFERROR(H172/I172*1000,"-")</f>
        <v>468.367670364501</v>
      </c>
      <c r="O172" s="7" t="n">
        <v>0</v>
      </c>
      <c r="P172" s="7" t="str">
        <f aca="false">IFERROR(H172/O172,"-")</f>
        <v>-</v>
      </c>
      <c r="Q172" s="6" t="s">
        <v>90</v>
      </c>
      <c r="R172" s="22"/>
      <c r="S172" s="7" t="str">
        <f aca="false">IF(Q172="Yes",R172-B172,"")</f>
        <v/>
      </c>
      <c r="T172" s="6"/>
      <c r="U172" s="7" t="n">
        <v>0</v>
      </c>
      <c r="V172" s="7" t="n">
        <v>0</v>
      </c>
      <c r="W172" s="7" t="n">
        <v>0</v>
      </c>
      <c r="X172" s="7" t="n">
        <v>0</v>
      </c>
      <c r="Y172" s="10" t="str">
        <f aca="false">IF(Q172="Yes",IFERROR(W172/V172,"-"),"")</f>
        <v/>
      </c>
      <c r="Z172" s="10" t="str">
        <f aca="false">IF(Q172="Yes",IFERROR(X172/V172,"-"),"")</f>
        <v/>
      </c>
      <c r="AA172" s="7" t="n">
        <v>0</v>
      </c>
    </row>
    <row r="173" customFormat="false" ht="15" hidden="false" customHeight="false" outlineLevel="0" collapsed="false">
      <c r="A173" s="6" t="s">
        <v>273</v>
      </c>
      <c r="B173" s="22" t="n">
        <v>46237</v>
      </c>
      <c r="C173" s="6" t="str">
        <f aca="false">TEXT(B173,"yyyy-mm")</f>
        <v>2026-08</v>
      </c>
      <c r="D173" s="6" t="s">
        <v>52</v>
      </c>
      <c r="E173" s="6" t="s">
        <v>214</v>
      </c>
      <c r="F173" s="22" t="n">
        <v>46244</v>
      </c>
      <c r="G173" s="7" t="n">
        <f aca="false">Summary!$C$5-B173</f>
        <v>83</v>
      </c>
      <c r="H173" s="7" t="n">
        <v>665.86</v>
      </c>
      <c r="I173" s="7" t="n">
        <v>1814</v>
      </c>
      <c r="J173" s="7" t="n">
        <v>25</v>
      </c>
      <c r="K173" s="7" t="n">
        <v>383</v>
      </c>
      <c r="L173" s="10" t="n">
        <f aca="false">IFERROR(J173/I173,"-")</f>
        <v>0.0137816979051819</v>
      </c>
      <c r="M173" s="10" t="n">
        <f aca="false">IFERROR(K173/I173,"-")</f>
        <v>0.211135611907387</v>
      </c>
      <c r="N173" s="7" t="n">
        <f aca="false">IFERROR(H173/I173*1000,"-")</f>
        <v>367.067254685777</v>
      </c>
      <c r="O173" s="7" t="n">
        <v>0</v>
      </c>
      <c r="P173" s="7" t="str">
        <f aca="false">IFERROR(H173/O173,"-")</f>
        <v>-</v>
      </c>
      <c r="Q173" s="6" t="s">
        <v>90</v>
      </c>
      <c r="R173" s="22"/>
      <c r="S173" s="7" t="str">
        <f aca="false">IF(Q173="Yes",R173-B173,"")</f>
        <v/>
      </c>
      <c r="T173" s="6"/>
      <c r="U173" s="7" t="n">
        <v>0</v>
      </c>
      <c r="V173" s="7" t="n">
        <v>0</v>
      </c>
      <c r="W173" s="7" t="n">
        <v>0</v>
      </c>
      <c r="X173" s="7" t="n">
        <v>0</v>
      </c>
      <c r="Y173" s="10" t="str">
        <f aca="false">IF(Q173="Yes",IFERROR(W173/V173,"-"),"")</f>
        <v/>
      </c>
      <c r="Z173" s="10" t="str">
        <f aca="false">IF(Q173="Yes",IFERROR(X173/V173,"-"),"")</f>
        <v/>
      </c>
      <c r="AA173" s="7" t="n">
        <v>0</v>
      </c>
    </row>
    <row r="174" customFormat="false" ht="15" hidden="false" customHeight="false" outlineLevel="0" collapsed="false">
      <c r="A174" s="6" t="s">
        <v>274</v>
      </c>
      <c r="B174" s="22" t="n">
        <v>46244</v>
      </c>
      <c r="C174" s="6" t="str">
        <f aca="false">TEXT(B174,"yyyy-mm")</f>
        <v>2026-08</v>
      </c>
      <c r="D174" s="6" t="s">
        <v>52</v>
      </c>
      <c r="E174" s="6" t="s">
        <v>238</v>
      </c>
      <c r="F174" s="22" t="n">
        <v>46251</v>
      </c>
      <c r="G174" s="7" t="n">
        <f aca="false">Summary!$C$5-B174</f>
        <v>76</v>
      </c>
      <c r="H174" s="7" t="n">
        <v>2270.13</v>
      </c>
      <c r="I174" s="7" t="n">
        <v>4119</v>
      </c>
      <c r="J174" s="7" t="n">
        <v>27</v>
      </c>
      <c r="K174" s="7" t="n">
        <v>455</v>
      </c>
      <c r="L174" s="10" t="n">
        <f aca="false">IFERROR(J174/I174,"-")</f>
        <v>0.00655498907501821</v>
      </c>
      <c r="M174" s="10" t="n">
        <f aca="false">IFERROR(K174/I174,"-")</f>
        <v>0.110463704782714</v>
      </c>
      <c r="N174" s="7" t="n">
        <f aca="false">IFERROR(H174/I174*1000,"-")</f>
        <v>551.136198106337</v>
      </c>
      <c r="O174" s="7" t="n">
        <v>0</v>
      </c>
      <c r="P174" s="7" t="str">
        <f aca="false">IFERROR(H174/O174,"-")</f>
        <v>-</v>
      </c>
      <c r="Q174" s="6" t="s">
        <v>90</v>
      </c>
      <c r="R174" s="22"/>
      <c r="S174" s="7" t="str">
        <f aca="false">IF(Q174="Yes",R174-B174,"")</f>
        <v/>
      </c>
      <c r="T174" s="6"/>
      <c r="U174" s="7" t="n">
        <v>0</v>
      </c>
      <c r="V174" s="7" t="n">
        <v>0</v>
      </c>
      <c r="W174" s="7" t="n">
        <v>0</v>
      </c>
      <c r="X174" s="7" t="n">
        <v>0</v>
      </c>
      <c r="Y174" s="10" t="str">
        <f aca="false">IF(Q174="Yes",IFERROR(W174/V174,"-"),"")</f>
        <v/>
      </c>
      <c r="Z174" s="10" t="str">
        <f aca="false">IF(Q174="Yes",IFERROR(X174/V174,"-"),"")</f>
        <v/>
      </c>
      <c r="AA174" s="7" t="n">
        <v>0</v>
      </c>
    </row>
    <row r="175" customFormat="false" ht="15" hidden="false" customHeight="false" outlineLevel="0" collapsed="false">
      <c r="A175" s="6" t="s">
        <v>275</v>
      </c>
      <c r="B175" s="22" t="n">
        <v>46244</v>
      </c>
      <c r="C175" s="6" t="str">
        <f aca="false">TEXT(B175,"yyyy-mm")</f>
        <v>2026-08</v>
      </c>
      <c r="D175" s="6" t="s">
        <v>52</v>
      </c>
      <c r="E175" s="6" t="s">
        <v>238</v>
      </c>
      <c r="F175" s="22" t="n">
        <v>46250</v>
      </c>
      <c r="G175" s="7" t="n">
        <f aca="false">Summary!$C$5-B175</f>
        <v>76</v>
      </c>
      <c r="H175" s="7" t="n">
        <v>3026.24</v>
      </c>
      <c r="I175" s="7" t="n">
        <v>6096</v>
      </c>
      <c r="J175" s="7" t="n">
        <v>56</v>
      </c>
      <c r="K175" s="7" t="n">
        <v>1089</v>
      </c>
      <c r="L175" s="10" t="n">
        <f aca="false">IFERROR(J175/I175,"-")</f>
        <v>0.00918635170603675</v>
      </c>
      <c r="M175" s="10" t="n">
        <f aca="false">IFERROR(K175/I175,"-")</f>
        <v>0.178641732283465</v>
      </c>
      <c r="N175" s="7" t="n">
        <f aca="false">IFERROR(H175/I175*1000,"-")</f>
        <v>496.430446194226</v>
      </c>
      <c r="O175" s="7" t="n">
        <v>2</v>
      </c>
      <c r="P175" s="7" t="n">
        <f aca="false">IFERROR(H175/O175,"-")</f>
        <v>1513.12</v>
      </c>
      <c r="Q175" s="6" t="s">
        <v>90</v>
      </c>
      <c r="R175" s="22"/>
      <c r="S175" s="7" t="str">
        <f aca="false">IF(Q175="Yes",R175-B175,"")</f>
        <v/>
      </c>
      <c r="T175" s="6"/>
      <c r="U175" s="7" t="n">
        <v>0</v>
      </c>
      <c r="V175" s="7" t="n">
        <v>0</v>
      </c>
      <c r="W175" s="7" t="n">
        <v>0</v>
      </c>
      <c r="X175" s="7" t="n">
        <v>0</v>
      </c>
      <c r="Y175" s="10" t="str">
        <f aca="false">IF(Q175="Yes",IFERROR(W175/V175,"-"),"")</f>
        <v/>
      </c>
      <c r="Z175" s="10" t="str">
        <f aca="false">IF(Q175="Yes",IFERROR(X175/V175,"-"),"")</f>
        <v/>
      </c>
      <c r="AA175" s="7" t="n">
        <v>0</v>
      </c>
    </row>
    <row r="176" customFormat="false" ht="15" hidden="false" customHeight="false" outlineLevel="0" collapsed="false">
      <c r="A176" s="6" t="s">
        <v>276</v>
      </c>
      <c r="B176" s="22" t="n">
        <v>46244</v>
      </c>
      <c r="C176" s="6" t="str">
        <f aca="false">TEXT(B176,"yyyy-mm")</f>
        <v>2026-08</v>
      </c>
      <c r="D176" s="6" t="s">
        <v>52</v>
      </c>
      <c r="E176" s="6" t="s">
        <v>214</v>
      </c>
      <c r="F176" s="22" t="n">
        <v>46248</v>
      </c>
      <c r="G176" s="7" t="n">
        <f aca="false">Summary!$C$5-B176</f>
        <v>76</v>
      </c>
      <c r="H176" s="7" t="n">
        <v>2273.87</v>
      </c>
      <c r="I176" s="7" t="n">
        <v>3384</v>
      </c>
      <c r="J176" s="7" t="n">
        <v>49</v>
      </c>
      <c r="K176" s="7" t="n">
        <v>1291</v>
      </c>
      <c r="L176" s="10" t="n">
        <f aca="false">IFERROR(J176/I176,"-")</f>
        <v>0.0144799054373522</v>
      </c>
      <c r="M176" s="10" t="n">
        <f aca="false">IFERROR(K176/I176,"-")</f>
        <v>0.381501182033097</v>
      </c>
      <c r="N176" s="7" t="n">
        <f aca="false">IFERROR(H176/I176*1000,"-")</f>
        <v>671.947399527187</v>
      </c>
      <c r="O176" s="7" t="n">
        <v>2</v>
      </c>
      <c r="P176" s="7" t="n">
        <f aca="false">IFERROR(H176/O176,"-")</f>
        <v>1136.935</v>
      </c>
      <c r="Q176" s="6" t="s">
        <v>100</v>
      </c>
      <c r="R176" s="22" t="n">
        <v>46248</v>
      </c>
      <c r="S176" s="7" t="n">
        <f aca="false">IF(Q176="Yes",R176-B176,"")</f>
        <v>4</v>
      </c>
      <c r="T176" s="6" t="s">
        <v>53</v>
      </c>
      <c r="U176" s="7" t="n">
        <v>106861.38</v>
      </c>
      <c r="V176" s="7" t="n">
        <v>345987</v>
      </c>
      <c r="W176" s="7" t="n">
        <v>2014</v>
      </c>
      <c r="X176" s="7" t="n">
        <v>62180</v>
      </c>
      <c r="Y176" s="10" t="n">
        <f aca="false">IF(Q176="Yes",IFERROR(W176/V176,"-"),"")</f>
        <v>0.00582102795769783</v>
      </c>
      <c r="Z176" s="10" t="n">
        <f aca="false">IF(Q176="Yes",IFERROR(X176/V176,"-"),"")</f>
        <v>0.17971773505941</v>
      </c>
      <c r="AA176" s="7" t="n">
        <v>21</v>
      </c>
    </row>
    <row r="177" customFormat="false" ht="15" hidden="false" customHeight="false" outlineLevel="0" collapsed="false">
      <c r="A177" s="6" t="s">
        <v>277</v>
      </c>
      <c r="B177" s="22" t="n">
        <v>46244</v>
      </c>
      <c r="C177" s="6" t="str">
        <f aca="false">TEXT(B177,"yyyy-mm")</f>
        <v>2026-08</v>
      </c>
      <c r="D177" s="6" t="s">
        <v>52</v>
      </c>
      <c r="E177" s="6" t="s">
        <v>214</v>
      </c>
      <c r="F177" s="22" t="n">
        <v>46267</v>
      </c>
      <c r="G177" s="7" t="n">
        <f aca="false">Summary!$C$5-B177</f>
        <v>76</v>
      </c>
      <c r="H177" s="7" t="n">
        <v>4184.28</v>
      </c>
      <c r="I177" s="7" t="n">
        <v>7905</v>
      </c>
      <c r="J177" s="7" t="n">
        <v>84</v>
      </c>
      <c r="K177" s="7" t="n">
        <v>1717</v>
      </c>
      <c r="L177" s="10" t="n">
        <f aca="false">IFERROR(J177/I177,"-")</f>
        <v>0.0106261859582543</v>
      </c>
      <c r="M177" s="10" t="n">
        <f aca="false">IFERROR(K177/I177,"-")</f>
        <v>0.217204301075269</v>
      </c>
      <c r="N177" s="7" t="n">
        <f aca="false">IFERROR(H177/I177*1000,"-")</f>
        <v>529.320683111955</v>
      </c>
      <c r="O177" s="7" t="n">
        <v>5</v>
      </c>
      <c r="P177" s="7" t="n">
        <f aca="false">IFERROR(H177/O177,"-")</f>
        <v>836.856</v>
      </c>
      <c r="Q177" s="6" t="s">
        <v>90</v>
      </c>
      <c r="R177" s="22"/>
      <c r="S177" s="7" t="str">
        <f aca="false">IF(Q177="Yes",R177-B177,"")</f>
        <v/>
      </c>
      <c r="T177" s="6"/>
      <c r="U177" s="7" t="n">
        <v>0</v>
      </c>
      <c r="V177" s="7" t="n">
        <v>0</v>
      </c>
      <c r="W177" s="7" t="n">
        <v>0</v>
      </c>
      <c r="X177" s="7" t="n">
        <v>0</v>
      </c>
      <c r="Y177" s="10" t="str">
        <f aca="false">IF(Q177="Yes",IFERROR(W177/V177,"-"),"")</f>
        <v/>
      </c>
      <c r="Z177" s="10" t="str">
        <f aca="false">IF(Q177="Yes",IFERROR(X177/V177,"-"),"")</f>
        <v/>
      </c>
      <c r="AA177" s="7" t="n">
        <v>0</v>
      </c>
    </row>
    <row r="178" customFormat="false" ht="15" hidden="false" customHeight="false" outlineLevel="0" collapsed="false">
      <c r="A178" s="6" t="s">
        <v>278</v>
      </c>
      <c r="B178" s="22" t="n">
        <v>46244</v>
      </c>
      <c r="C178" s="6" t="str">
        <f aca="false">TEXT(B178,"yyyy-mm")</f>
        <v>2026-08</v>
      </c>
      <c r="D178" s="6" t="s">
        <v>52</v>
      </c>
      <c r="E178" s="6" t="s">
        <v>214</v>
      </c>
      <c r="F178" s="22" t="n">
        <v>46280</v>
      </c>
      <c r="G178" s="7" t="n">
        <f aca="false">Summary!$C$5-B178</f>
        <v>76</v>
      </c>
      <c r="H178" s="7" t="n">
        <v>4893.63</v>
      </c>
      <c r="I178" s="7" t="n">
        <v>2752</v>
      </c>
      <c r="J178" s="7" t="n">
        <v>22</v>
      </c>
      <c r="K178" s="7" t="n">
        <v>477</v>
      </c>
      <c r="L178" s="10" t="n">
        <f aca="false">IFERROR(J178/I178,"-")</f>
        <v>0.00799418604651163</v>
      </c>
      <c r="M178" s="10" t="n">
        <f aca="false">IFERROR(K178/I178,"-")</f>
        <v>0.173328488372093</v>
      </c>
      <c r="N178" s="7" t="n">
        <f aca="false">IFERROR(H178/I178*1000,"-")</f>
        <v>1778.2085755814</v>
      </c>
      <c r="O178" s="7" t="n">
        <v>0</v>
      </c>
      <c r="P178" s="7" t="str">
        <f aca="false">IFERROR(H178/O178,"-")</f>
        <v>-</v>
      </c>
      <c r="Q178" s="6" t="s">
        <v>90</v>
      </c>
      <c r="R178" s="22"/>
      <c r="S178" s="7" t="str">
        <f aca="false">IF(Q178="Yes",R178-B178,"")</f>
        <v/>
      </c>
      <c r="T178" s="6"/>
      <c r="U178" s="7" t="n">
        <v>0</v>
      </c>
      <c r="V178" s="7" t="n">
        <v>0</v>
      </c>
      <c r="W178" s="7" t="n">
        <v>0</v>
      </c>
      <c r="X178" s="7" t="n">
        <v>0</v>
      </c>
      <c r="Y178" s="10" t="str">
        <f aca="false">IF(Q178="Yes",IFERROR(W178/V178,"-"),"")</f>
        <v/>
      </c>
      <c r="Z178" s="10" t="str">
        <f aca="false">IF(Q178="Yes",IFERROR(X178/V178,"-"),"")</f>
        <v/>
      </c>
      <c r="AA178" s="7" t="n">
        <v>0</v>
      </c>
    </row>
    <row r="179" customFormat="false" ht="15" hidden="false" customHeight="false" outlineLevel="0" collapsed="false">
      <c r="A179" s="6" t="s">
        <v>279</v>
      </c>
      <c r="B179" s="22" t="n">
        <v>46244</v>
      </c>
      <c r="C179" s="6" t="str">
        <f aca="false">TEXT(B179,"yyyy-mm")</f>
        <v>2026-08</v>
      </c>
      <c r="D179" s="6" t="s">
        <v>52</v>
      </c>
      <c r="E179" s="6" t="s">
        <v>214</v>
      </c>
      <c r="F179" s="22" t="n">
        <v>46258</v>
      </c>
      <c r="G179" s="7" t="n">
        <f aca="false">Summary!$C$5-B179</f>
        <v>76</v>
      </c>
      <c r="H179" s="7" t="n">
        <v>4056.69</v>
      </c>
      <c r="I179" s="7" t="n">
        <v>7898</v>
      </c>
      <c r="J179" s="7" t="n">
        <v>49</v>
      </c>
      <c r="K179" s="7" t="n">
        <v>1720</v>
      </c>
      <c r="L179" s="10" t="n">
        <f aca="false">IFERROR(J179/I179,"-")</f>
        <v>0.00620410230438086</v>
      </c>
      <c r="M179" s="10" t="n">
        <f aca="false">IFERROR(K179/I179,"-")</f>
        <v>0.217776652317042</v>
      </c>
      <c r="N179" s="7" t="n">
        <f aca="false">IFERROR(H179/I179*1000,"-")</f>
        <v>513.635097493036</v>
      </c>
      <c r="O179" s="7" t="n">
        <v>4</v>
      </c>
      <c r="P179" s="7" t="n">
        <f aca="false">IFERROR(H179/O179,"-")</f>
        <v>1014.1725</v>
      </c>
      <c r="Q179" s="6" t="s">
        <v>90</v>
      </c>
      <c r="R179" s="22"/>
      <c r="S179" s="7" t="str">
        <f aca="false">IF(Q179="Yes",R179-B179,"")</f>
        <v/>
      </c>
      <c r="T179" s="6"/>
      <c r="U179" s="7" t="n">
        <v>0</v>
      </c>
      <c r="V179" s="7" t="n">
        <v>0</v>
      </c>
      <c r="W179" s="7" t="n">
        <v>0</v>
      </c>
      <c r="X179" s="7" t="n">
        <v>0</v>
      </c>
      <c r="Y179" s="10" t="str">
        <f aca="false">IF(Q179="Yes",IFERROR(W179/V179,"-"),"")</f>
        <v/>
      </c>
      <c r="Z179" s="10" t="str">
        <f aca="false">IF(Q179="Yes",IFERROR(X179/V179,"-"),"")</f>
        <v/>
      </c>
      <c r="AA179" s="7" t="n">
        <v>0</v>
      </c>
    </row>
    <row r="180" customFormat="false" ht="15" hidden="false" customHeight="false" outlineLevel="0" collapsed="false">
      <c r="A180" s="6" t="s">
        <v>280</v>
      </c>
      <c r="B180" s="22" t="n">
        <v>46244</v>
      </c>
      <c r="C180" s="6" t="str">
        <f aca="false">TEXT(B180,"yyyy-mm")</f>
        <v>2026-08</v>
      </c>
      <c r="D180" s="6" t="s">
        <v>52</v>
      </c>
      <c r="E180" s="6" t="s">
        <v>214</v>
      </c>
      <c r="F180" s="22" t="n">
        <v>46248</v>
      </c>
      <c r="G180" s="7" t="n">
        <f aca="false">Summary!$C$5-B180</f>
        <v>76</v>
      </c>
      <c r="H180" s="7" t="n">
        <v>4605.66</v>
      </c>
      <c r="I180" s="7" t="n">
        <v>11912</v>
      </c>
      <c r="J180" s="7" t="n">
        <v>214</v>
      </c>
      <c r="K180" s="7" t="n">
        <v>4987</v>
      </c>
      <c r="L180" s="10" t="n">
        <f aca="false">IFERROR(J180/I180,"-")</f>
        <v>0.0179650772330423</v>
      </c>
      <c r="M180" s="10" t="n">
        <f aca="false">IFERROR(K180/I180,"-")</f>
        <v>0.418653458697112</v>
      </c>
      <c r="N180" s="7" t="n">
        <f aca="false">IFERROR(H180/I180*1000,"-")</f>
        <v>386.640362659503</v>
      </c>
      <c r="O180" s="7" t="n">
        <v>1</v>
      </c>
      <c r="P180" s="7" t="n">
        <f aca="false">IFERROR(H180/O180,"-")</f>
        <v>4605.66</v>
      </c>
      <c r="Q180" s="6" t="s">
        <v>100</v>
      </c>
      <c r="R180" s="22" t="n">
        <v>46248</v>
      </c>
      <c r="S180" s="7" t="n">
        <f aca="false">IF(Q180="Yes",R180-B180,"")</f>
        <v>4</v>
      </c>
      <c r="T180" s="6" t="s">
        <v>53</v>
      </c>
      <c r="U180" s="7" t="n">
        <v>89577.22</v>
      </c>
      <c r="V180" s="7" t="n">
        <v>375433</v>
      </c>
      <c r="W180" s="7" t="n">
        <v>2114</v>
      </c>
      <c r="X180" s="7" t="n">
        <v>91774</v>
      </c>
      <c r="Y180" s="10" t="n">
        <f aca="false">IF(Q180="Yes",IFERROR(W180/V180,"-"),"")</f>
        <v>0.00563083159977946</v>
      </c>
      <c r="Z180" s="10" t="n">
        <f aca="false">IF(Q180="Yes",IFERROR(X180/V180,"-"),"")</f>
        <v>0.244448410235648</v>
      </c>
      <c r="AA180" s="7" t="n">
        <v>11</v>
      </c>
    </row>
    <row r="181" customFormat="false" ht="15" hidden="false" customHeight="false" outlineLevel="0" collapsed="false">
      <c r="A181" s="6" t="s">
        <v>281</v>
      </c>
      <c r="B181" s="22" t="n">
        <v>46245</v>
      </c>
      <c r="C181" s="6" t="str">
        <f aca="false">TEXT(B181,"yyyy-mm")</f>
        <v>2026-08</v>
      </c>
      <c r="D181" s="6" t="s">
        <v>52</v>
      </c>
      <c r="E181" s="6" t="s">
        <v>238</v>
      </c>
      <c r="F181" s="22" t="n">
        <v>46248</v>
      </c>
      <c r="G181" s="7" t="n">
        <f aca="false">Summary!$C$5-B181</f>
        <v>75</v>
      </c>
      <c r="H181" s="7" t="n">
        <v>2709.26</v>
      </c>
      <c r="I181" s="7" t="n">
        <v>5130</v>
      </c>
      <c r="J181" s="7" t="n">
        <v>49</v>
      </c>
      <c r="K181" s="7" t="n">
        <v>621</v>
      </c>
      <c r="L181" s="10" t="n">
        <f aca="false">IFERROR(J181/I181,"-")</f>
        <v>0.00955165692007797</v>
      </c>
      <c r="M181" s="10" t="n">
        <f aca="false">IFERROR(K181/I181,"-")</f>
        <v>0.121052631578947</v>
      </c>
      <c r="N181" s="7" t="n">
        <f aca="false">IFERROR(H181/I181*1000,"-")</f>
        <v>528.120857699805</v>
      </c>
      <c r="O181" s="7" t="n">
        <v>3</v>
      </c>
      <c r="P181" s="7" t="n">
        <f aca="false">IFERROR(H181/O181,"-")</f>
        <v>903.086666666667</v>
      </c>
      <c r="Q181" s="6" t="s">
        <v>90</v>
      </c>
      <c r="R181" s="22"/>
      <c r="S181" s="7" t="str">
        <f aca="false">IF(Q181="Yes",R181-B181,"")</f>
        <v/>
      </c>
      <c r="T181" s="6"/>
      <c r="U181" s="7" t="n">
        <v>0</v>
      </c>
      <c r="V181" s="7" t="n">
        <v>0</v>
      </c>
      <c r="W181" s="7" t="n">
        <v>0</v>
      </c>
      <c r="X181" s="7" t="n">
        <v>0</v>
      </c>
      <c r="Y181" s="10" t="str">
        <f aca="false">IF(Q181="Yes",IFERROR(W181/V181,"-"),"")</f>
        <v/>
      </c>
      <c r="Z181" s="10" t="str">
        <f aca="false">IF(Q181="Yes",IFERROR(X181/V181,"-"),"")</f>
        <v/>
      </c>
      <c r="AA181" s="7" t="n">
        <v>0</v>
      </c>
    </row>
    <row r="182" customFormat="false" ht="15" hidden="false" customHeight="false" outlineLevel="0" collapsed="false">
      <c r="A182" s="6" t="s">
        <v>282</v>
      </c>
      <c r="B182" s="22" t="n">
        <v>46248</v>
      </c>
      <c r="C182" s="6" t="str">
        <f aca="false">TEXT(B182,"yyyy-mm")</f>
        <v>2026-08</v>
      </c>
      <c r="D182" s="6" t="s">
        <v>52</v>
      </c>
      <c r="E182" s="6" t="s">
        <v>214</v>
      </c>
      <c r="F182" s="22" t="n">
        <v>46251</v>
      </c>
      <c r="G182" s="7" t="n">
        <f aca="false">Summary!$C$5-B182</f>
        <v>72</v>
      </c>
      <c r="H182" s="7" t="n">
        <v>4176.1</v>
      </c>
      <c r="I182" s="7" t="n">
        <v>12155</v>
      </c>
      <c r="J182" s="7" t="n">
        <v>158</v>
      </c>
      <c r="K182" s="7" t="n">
        <v>2589</v>
      </c>
      <c r="L182" s="10" t="n">
        <f aca="false">IFERROR(J182/I182,"-")</f>
        <v>0.0129987659399424</v>
      </c>
      <c r="M182" s="10" t="n">
        <f aca="false">IFERROR(K182/I182,"-")</f>
        <v>0.212998765939942</v>
      </c>
      <c r="N182" s="7" t="n">
        <f aca="false">IFERROR(H182/I182*1000,"-")</f>
        <v>343.570547099959</v>
      </c>
      <c r="O182" s="7" t="n">
        <v>2</v>
      </c>
      <c r="P182" s="7" t="n">
        <f aca="false">IFERROR(H182/O182,"-")</f>
        <v>2088.05</v>
      </c>
      <c r="Q182" s="6" t="s">
        <v>100</v>
      </c>
      <c r="R182" s="22" t="n">
        <v>46251</v>
      </c>
      <c r="S182" s="7" t="n">
        <f aca="false">IF(Q182="Yes",R182-B182,"")</f>
        <v>3</v>
      </c>
      <c r="T182" s="6" t="s">
        <v>53</v>
      </c>
      <c r="U182" s="7" t="n">
        <v>124366.48</v>
      </c>
      <c r="V182" s="7" t="n">
        <v>491585</v>
      </c>
      <c r="W182" s="7" t="n">
        <v>1820</v>
      </c>
      <c r="X182" s="7" t="n">
        <v>53345</v>
      </c>
      <c r="Y182" s="10" t="n">
        <f aca="false">IF(Q182="Yes",IFERROR(W182/V182,"-"),"")</f>
        <v>0.00370230987519961</v>
      </c>
      <c r="Z182" s="10" t="n">
        <f aca="false">IF(Q182="Yes",IFERROR(X182/V182,"-"),"")</f>
        <v>0.108516329831057</v>
      </c>
      <c r="AA182" s="7" t="n">
        <v>25</v>
      </c>
    </row>
    <row r="183" customFormat="false" ht="15" hidden="false" customHeight="false" outlineLevel="0" collapsed="false">
      <c r="A183" s="6" t="s">
        <v>283</v>
      </c>
      <c r="B183" s="22" t="n">
        <v>46248</v>
      </c>
      <c r="C183" s="6" t="str">
        <f aca="false">TEXT(B183,"yyyy-mm")</f>
        <v>2026-08</v>
      </c>
      <c r="D183" s="6" t="s">
        <v>52</v>
      </c>
      <c r="E183" s="6" t="s">
        <v>214</v>
      </c>
      <c r="F183" s="22" t="n">
        <v>46256</v>
      </c>
      <c r="G183" s="7" t="n">
        <f aca="false">Summary!$C$5-B183</f>
        <v>72</v>
      </c>
      <c r="H183" s="7" t="n">
        <v>8152.5</v>
      </c>
      <c r="I183" s="7" t="n">
        <v>20889</v>
      </c>
      <c r="J183" s="7" t="n">
        <v>203</v>
      </c>
      <c r="K183" s="7" t="n">
        <v>5817</v>
      </c>
      <c r="L183" s="10" t="n">
        <f aca="false">IFERROR(J183/I183,"-")</f>
        <v>0.00971803341471588</v>
      </c>
      <c r="M183" s="10" t="n">
        <f aca="false">IFERROR(K183/I183,"-")</f>
        <v>0.278471923021686</v>
      </c>
      <c r="N183" s="7" t="n">
        <f aca="false">IFERROR(H183/I183*1000,"-")</f>
        <v>390.277179376706</v>
      </c>
      <c r="O183" s="7" t="n">
        <v>2</v>
      </c>
      <c r="P183" s="7" t="n">
        <f aca="false">IFERROR(H183/O183,"-")</f>
        <v>4076.25</v>
      </c>
      <c r="Q183" s="6" t="s">
        <v>90</v>
      </c>
      <c r="R183" s="22"/>
      <c r="S183" s="7" t="str">
        <f aca="false">IF(Q183="Yes",R183-B183,"")</f>
        <v/>
      </c>
      <c r="T183" s="6"/>
      <c r="U183" s="7" t="n">
        <v>0</v>
      </c>
      <c r="V183" s="7" t="n">
        <v>0</v>
      </c>
      <c r="W183" s="7" t="n">
        <v>0</v>
      </c>
      <c r="X183" s="7" t="n">
        <v>0</v>
      </c>
      <c r="Y183" s="10" t="str">
        <f aca="false">IF(Q183="Yes",IFERROR(W183/V183,"-"),"")</f>
        <v/>
      </c>
      <c r="Z183" s="10" t="str">
        <f aca="false">IF(Q183="Yes",IFERROR(X183/V183,"-"),"")</f>
        <v/>
      </c>
      <c r="AA183" s="7" t="n">
        <v>0</v>
      </c>
    </row>
    <row r="184" customFormat="false" ht="15" hidden="false" customHeight="false" outlineLevel="0" collapsed="false">
      <c r="A184" s="6" t="s">
        <v>284</v>
      </c>
      <c r="B184" s="22" t="n">
        <v>46251</v>
      </c>
      <c r="C184" s="6" t="str">
        <f aca="false">TEXT(B184,"yyyy-mm")</f>
        <v>2026-08</v>
      </c>
      <c r="D184" s="6" t="s">
        <v>52</v>
      </c>
      <c r="E184" s="6" t="s">
        <v>238</v>
      </c>
      <c r="F184" s="22" t="n">
        <v>46265</v>
      </c>
      <c r="G184" s="7" t="n">
        <f aca="false">Summary!$C$5-B184</f>
        <v>69</v>
      </c>
      <c r="H184" s="7" t="n">
        <v>6149.22</v>
      </c>
      <c r="I184" s="7" t="n">
        <v>12507</v>
      </c>
      <c r="J184" s="7" t="n">
        <v>84</v>
      </c>
      <c r="K184" s="7" t="n">
        <v>1566</v>
      </c>
      <c r="L184" s="10" t="n">
        <f aca="false">IFERROR(J184/I184,"-")</f>
        <v>0.00671623890621252</v>
      </c>
      <c r="M184" s="10" t="n">
        <f aca="false">IFERROR(K184/I184,"-")</f>
        <v>0.125209882465819</v>
      </c>
      <c r="N184" s="7" t="n">
        <f aca="false">IFERROR(H184/I184*1000,"-")</f>
        <v>491.662269129288</v>
      </c>
      <c r="O184" s="7" t="n">
        <v>2</v>
      </c>
      <c r="P184" s="7" t="n">
        <f aca="false">IFERROR(H184/O184,"-")</f>
        <v>3074.61</v>
      </c>
      <c r="Q184" s="6" t="s">
        <v>90</v>
      </c>
      <c r="R184" s="22"/>
      <c r="S184" s="7" t="str">
        <f aca="false">IF(Q184="Yes",R184-B184,"")</f>
        <v/>
      </c>
      <c r="T184" s="6"/>
      <c r="U184" s="7" t="n">
        <v>0</v>
      </c>
      <c r="V184" s="7" t="n">
        <v>0</v>
      </c>
      <c r="W184" s="7" t="n">
        <v>0</v>
      </c>
      <c r="X184" s="7" t="n">
        <v>0</v>
      </c>
      <c r="Y184" s="10" t="str">
        <f aca="false">IF(Q184="Yes",IFERROR(W184/V184,"-"),"")</f>
        <v/>
      </c>
      <c r="Z184" s="10" t="str">
        <f aca="false">IF(Q184="Yes",IFERROR(X184/V184,"-"),"")</f>
        <v/>
      </c>
      <c r="AA184" s="7" t="n">
        <v>0</v>
      </c>
    </row>
    <row r="185" customFormat="false" ht="15" hidden="false" customHeight="false" outlineLevel="0" collapsed="false">
      <c r="A185" s="6" t="s">
        <v>285</v>
      </c>
      <c r="B185" s="22" t="n">
        <v>46251</v>
      </c>
      <c r="C185" s="6" t="str">
        <f aca="false">TEXT(B185,"yyyy-mm")</f>
        <v>2026-08</v>
      </c>
      <c r="D185" s="6" t="s">
        <v>52</v>
      </c>
      <c r="E185" s="6" t="s">
        <v>238</v>
      </c>
      <c r="F185" s="22" t="n">
        <v>46256</v>
      </c>
      <c r="G185" s="7" t="n">
        <f aca="false">Summary!$C$5-B185</f>
        <v>69</v>
      </c>
      <c r="H185" s="7" t="n">
        <v>2438.99</v>
      </c>
      <c r="I185" s="7" t="n">
        <v>5106</v>
      </c>
      <c r="J185" s="7" t="n">
        <v>32</v>
      </c>
      <c r="K185" s="7" t="n">
        <v>878</v>
      </c>
      <c r="L185" s="10" t="n">
        <f aca="false">IFERROR(J185/I185,"-")</f>
        <v>0.00626713670191931</v>
      </c>
      <c r="M185" s="10" t="n">
        <f aca="false">IFERROR(K185/I185,"-")</f>
        <v>0.171954563258911</v>
      </c>
      <c r="N185" s="7" t="n">
        <f aca="false">IFERROR(H185/I185*1000,"-")</f>
        <v>477.671367019193</v>
      </c>
      <c r="O185" s="7" t="n">
        <v>0</v>
      </c>
      <c r="P185" s="7" t="str">
        <f aca="false">IFERROR(H185/O185,"-")</f>
        <v>-</v>
      </c>
      <c r="Q185" s="6" t="s">
        <v>90</v>
      </c>
      <c r="R185" s="22"/>
      <c r="S185" s="7" t="str">
        <f aca="false">IF(Q185="Yes",R185-B185,"")</f>
        <v/>
      </c>
      <c r="T185" s="6"/>
      <c r="U185" s="7" t="n">
        <v>0</v>
      </c>
      <c r="V185" s="7" t="n">
        <v>0</v>
      </c>
      <c r="W185" s="7" t="n">
        <v>0</v>
      </c>
      <c r="X185" s="7" t="n">
        <v>0</v>
      </c>
      <c r="Y185" s="10" t="str">
        <f aca="false">IF(Q185="Yes",IFERROR(W185/V185,"-"),"")</f>
        <v/>
      </c>
      <c r="Z185" s="10" t="str">
        <f aca="false">IF(Q185="Yes",IFERROR(X185/V185,"-"),"")</f>
        <v/>
      </c>
      <c r="AA185" s="7" t="n">
        <v>0</v>
      </c>
    </row>
    <row r="186" customFormat="false" ht="15" hidden="false" customHeight="false" outlineLevel="0" collapsed="false">
      <c r="A186" s="6" t="s">
        <v>286</v>
      </c>
      <c r="B186" s="22" t="n">
        <v>46251</v>
      </c>
      <c r="C186" s="6" t="str">
        <f aca="false">TEXT(B186,"yyyy-mm")</f>
        <v>2026-08</v>
      </c>
      <c r="D186" s="6" t="s">
        <v>52</v>
      </c>
      <c r="E186" s="6" t="s">
        <v>238</v>
      </c>
      <c r="F186" s="22" t="n">
        <v>46257</v>
      </c>
      <c r="G186" s="7" t="n">
        <f aca="false">Summary!$C$5-B186</f>
        <v>69</v>
      </c>
      <c r="H186" s="7" t="n">
        <v>6103.43</v>
      </c>
      <c r="I186" s="7" t="n">
        <v>14720</v>
      </c>
      <c r="J186" s="7" t="n">
        <v>112</v>
      </c>
      <c r="K186" s="7" t="n">
        <v>1523</v>
      </c>
      <c r="L186" s="10" t="n">
        <f aca="false">IFERROR(J186/I186,"-")</f>
        <v>0.00760869565217391</v>
      </c>
      <c r="M186" s="10" t="n">
        <f aca="false">IFERROR(K186/I186,"-")</f>
        <v>0.103464673913043</v>
      </c>
      <c r="N186" s="7" t="n">
        <f aca="false">IFERROR(H186/I186*1000,"-")</f>
        <v>414.635190217391</v>
      </c>
      <c r="O186" s="7" t="n">
        <v>7</v>
      </c>
      <c r="P186" s="7" t="n">
        <f aca="false">IFERROR(H186/O186,"-")</f>
        <v>871.918571428571</v>
      </c>
      <c r="Q186" s="6" t="s">
        <v>90</v>
      </c>
      <c r="R186" s="22"/>
      <c r="S186" s="7" t="str">
        <f aca="false">IF(Q186="Yes",R186-B186,"")</f>
        <v/>
      </c>
      <c r="T186" s="6"/>
      <c r="U186" s="7" t="n">
        <v>0</v>
      </c>
      <c r="V186" s="7" t="n">
        <v>0</v>
      </c>
      <c r="W186" s="7" t="n">
        <v>0</v>
      </c>
      <c r="X186" s="7" t="n">
        <v>0</v>
      </c>
      <c r="Y186" s="10" t="str">
        <f aca="false">IF(Q186="Yes",IFERROR(W186/V186,"-"),"")</f>
        <v/>
      </c>
      <c r="Z186" s="10" t="str">
        <f aca="false">IF(Q186="Yes",IFERROR(X186/V186,"-"),"")</f>
        <v/>
      </c>
      <c r="AA186" s="7" t="n">
        <v>0</v>
      </c>
    </row>
    <row r="187" customFormat="false" ht="15" hidden="false" customHeight="false" outlineLevel="0" collapsed="false">
      <c r="A187" s="6" t="s">
        <v>287</v>
      </c>
      <c r="B187" s="22" t="n">
        <v>46256</v>
      </c>
      <c r="C187" s="6" t="str">
        <f aca="false">TEXT(B187,"yyyy-mm")</f>
        <v>2026-08</v>
      </c>
      <c r="D187" s="6" t="s">
        <v>52</v>
      </c>
      <c r="E187" s="6" t="s">
        <v>238</v>
      </c>
      <c r="F187" s="22" t="n">
        <v>46263</v>
      </c>
      <c r="G187" s="7" t="n">
        <f aca="false">Summary!$C$5-B187</f>
        <v>64</v>
      </c>
      <c r="H187" s="7" t="n">
        <v>6201.29</v>
      </c>
      <c r="I187" s="7" t="n">
        <v>13817</v>
      </c>
      <c r="J187" s="7" t="n">
        <v>91</v>
      </c>
      <c r="K187" s="7" t="n">
        <v>2272</v>
      </c>
      <c r="L187" s="10" t="n">
        <f aca="false">IFERROR(J187/I187,"-")</f>
        <v>0.0065860895997684</v>
      </c>
      <c r="M187" s="10" t="n">
        <f aca="false">IFERROR(K187/I187,"-")</f>
        <v>0.164435116161251</v>
      </c>
      <c r="N187" s="7" t="n">
        <f aca="false">IFERROR(H187/I187*1000,"-")</f>
        <v>448.815951364261</v>
      </c>
      <c r="O187" s="7" t="n">
        <v>4</v>
      </c>
      <c r="P187" s="7" t="n">
        <f aca="false">IFERROR(H187/O187,"-")</f>
        <v>1550.3225</v>
      </c>
      <c r="Q187" s="6" t="s">
        <v>90</v>
      </c>
      <c r="R187" s="22"/>
      <c r="S187" s="7" t="str">
        <f aca="false">IF(Q187="Yes",R187-B187,"")</f>
        <v/>
      </c>
      <c r="T187" s="6"/>
      <c r="U187" s="7" t="n">
        <v>0</v>
      </c>
      <c r="V187" s="7" t="n">
        <v>0</v>
      </c>
      <c r="W187" s="7" t="n">
        <v>0</v>
      </c>
      <c r="X187" s="7" t="n">
        <v>0</v>
      </c>
      <c r="Y187" s="10" t="str">
        <f aca="false">IF(Q187="Yes",IFERROR(W187/V187,"-"),"")</f>
        <v/>
      </c>
      <c r="Z187" s="10" t="str">
        <f aca="false">IF(Q187="Yes",IFERROR(X187/V187,"-"),"")</f>
        <v/>
      </c>
      <c r="AA187" s="7" t="n">
        <v>0</v>
      </c>
    </row>
    <row r="188" customFormat="false" ht="15" hidden="false" customHeight="false" outlineLevel="0" collapsed="false">
      <c r="A188" s="6" t="s">
        <v>288</v>
      </c>
      <c r="B188" s="22" t="n">
        <v>46256</v>
      </c>
      <c r="C188" s="6" t="str">
        <f aca="false">TEXT(B188,"yyyy-mm")</f>
        <v>2026-08</v>
      </c>
      <c r="D188" s="6" t="s">
        <v>52</v>
      </c>
      <c r="E188" s="6" t="s">
        <v>238</v>
      </c>
      <c r="F188" s="22" t="n">
        <v>46262</v>
      </c>
      <c r="G188" s="7" t="n">
        <f aca="false">Summary!$C$5-B188</f>
        <v>64</v>
      </c>
      <c r="H188" s="7" t="n">
        <v>2495.97</v>
      </c>
      <c r="I188" s="7" t="n">
        <v>4212</v>
      </c>
      <c r="J188" s="7" t="n">
        <v>30</v>
      </c>
      <c r="K188" s="7" t="n">
        <v>595</v>
      </c>
      <c r="L188" s="10" t="n">
        <f aca="false">IFERROR(J188/I188,"-")</f>
        <v>0.00712250712250712</v>
      </c>
      <c r="M188" s="10" t="n">
        <f aca="false">IFERROR(K188/I188,"-")</f>
        <v>0.141263057929725</v>
      </c>
      <c r="N188" s="7" t="n">
        <f aca="false">IFERROR(H188/I188*1000,"-")</f>
        <v>592.58547008547</v>
      </c>
      <c r="O188" s="7" t="n">
        <v>0</v>
      </c>
      <c r="P188" s="7" t="str">
        <f aca="false">IFERROR(H188/O188,"-")</f>
        <v>-</v>
      </c>
      <c r="Q188" s="6" t="s">
        <v>90</v>
      </c>
      <c r="R188" s="22"/>
      <c r="S188" s="7" t="str">
        <f aca="false">IF(Q188="Yes",R188-B188,"")</f>
        <v/>
      </c>
      <c r="T188" s="6"/>
      <c r="U188" s="7" t="n">
        <v>0</v>
      </c>
      <c r="V188" s="7" t="n">
        <v>0</v>
      </c>
      <c r="W188" s="7" t="n">
        <v>0</v>
      </c>
      <c r="X188" s="7" t="n">
        <v>0</v>
      </c>
      <c r="Y188" s="10" t="str">
        <f aca="false">IF(Q188="Yes",IFERROR(W188/V188,"-"),"")</f>
        <v/>
      </c>
      <c r="Z188" s="10" t="str">
        <f aca="false">IF(Q188="Yes",IFERROR(X188/V188,"-"),"")</f>
        <v/>
      </c>
      <c r="AA188" s="7" t="n">
        <v>0</v>
      </c>
    </row>
    <row r="189" customFormat="false" ht="15" hidden="false" customHeight="false" outlineLevel="0" collapsed="false">
      <c r="A189" s="6" t="s">
        <v>289</v>
      </c>
      <c r="B189" s="22" t="n">
        <v>46256</v>
      </c>
      <c r="C189" s="6" t="str">
        <f aca="false">TEXT(B189,"yyyy-mm")</f>
        <v>2026-08</v>
      </c>
      <c r="D189" s="6" t="s">
        <v>52</v>
      </c>
      <c r="E189" s="6" t="s">
        <v>214</v>
      </c>
      <c r="F189" s="22" t="n">
        <v>46258</v>
      </c>
      <c r="G189" s="7" t="n">
        <f aca="false">Summary!$C$5-B189</f>
        <v>64</v>
      </c>
      <c r="H189" s="7" t="n">
        <v>2893.08</v>
      </c>
      <c r="I189" s="7" t="n">
        <v>5786</v>
      </c>
      <c r="J189" s="7" t="n">
        <v>45</v>
      </c>
      <c r="K189" s="7" t="n">
        <v>969</v>
      </c>
      <c r="L189" s="10" t="n">
        <f aca="false">IFERROR(J189/I189,"-")</f>
        <v>0.00777739370895264</v>
      </c>
      <c r="M189" s="10" t="n">
        <f aca="false">IFERROR(K189/I189,"-")</f>
        <v>0.167473211199447</v>
      </c>
      <c r="N189" s="7" t="n">
        <f aca="false">IFERROR(H189/I189*1000,"-")</f>
        <v>500.013826477705</v>
      </c>
      <c r="O189" s="7" t="n">
        <v>2</v>
      </c>
      <c r="P189" s="7" t="n">
        <f aca="false">IFERROR(H189/O189,"-")</f>
        <v>1446.54</v>
      </c>
      <c r="Q189" s="6" t="s">
        <v>90</v>
      </c>
      <c r="R189" s="22"/>
      <c r="S189" s="7" t="str">
        <f aca="false">IF(Q189="Yes",R189-B189,"")</f>
        <v/>
      </c>
      <c r="T189" s="6"/>
      <c r="U189" s="7" t="n">
        <v>0</v>
      </c>
      <c r="V189" s="7" t="n">
        <v>0</v>
      </c>
      <c r="W189" s="7" t="n">
        <v>0</v>
      </c>
      <c r="X189" s="7" t="n">
        <v>0</v>
      </c>
      <c r="Y189" s="10" t="str">
        <f aca="false">IF(Q189="Yes",IFERROR(W189/V189,"-"),"")</f>
        <v/>
      </c>
      <c r="Z189" s="10" t="str">
        <f aca="false">IF(Q189="Yes",IFERROR(X189/V189,"-"),"")</f>
        <v/>
      </c>
      <c r="AA189" s="7" t="n">
        <v>0</v>
      </c>
    </row>
    <row r="190" customFormat="false" ht="15" hidden="false" customHeight="false" outlineLevel="0" collapsed="false">
      <c r="A190" s="6" t="s">
        <v>290</v>
      </c>
      <c r="B190" s="22" t="n">
        <v>46258</v>
      </c>
      <c r="C190" s="6" t="str">
        <f aca="false">TEXT(B190,"yyyy-mm")</f>
        <v>2026-08</v>
      </c>
      <c r="D190" s="6" t="s">
        <v>52</v>
      </c>
      <c r="E190" s="6" t="s">
        <v>214</v>
      </c>
      <c r="F190" s="22" t="n">
        <v>46265</v>
      </c>
      <c r="G190" s="7" t="n">
        <f aca="false">Summary!$C$5-B190</f>
        <v>62</v>
      </c>
      <c r="H190" s="7" t="n">
        <v>9534.64</v>
      </c>
      <c r="I190" s="7" t="n">
        <v>23249</v>
      </c>
      <c r="J190" s="7" t="n">
        <v>221</v>
      </c>
      <c r="K190" s="7" t="n">
        <v>5916</v>
      </c>
      <c r="L190" s="10" t="n">
        <f aca="false">IFERROR(J190/I190,"-")</f>
        <v>0.00950578519506215</v>
      </c>
      <c r="M190" s="10" t="n">
        <f aca="false">IFERROR(K190/I190,"-")</f>
        <v>0.254462557529356</v>
      </c>
      <c r="N190" s="7" t="n">
        <f aca="false">IFERROR(H190/I190*1000,"-")</f>
        <v>410.109682136866</v>
      </c>
      <c r="O190" s="7" t="n">
        <v>2</v>
      </c>
      <c r="P190" s="7" t="n">
        <f aca="false">IFERROR(H190/O190,"-")</f>
        <v>4767.32</v>
      </c>
      <c r="Q190" s="6" t="s">
        <v>90</v>
      </c>
      <c r="R190" s="22"/>
      <c r="S190" s="7" t="str">
        <f aca="false">IF(Q190="Yes",R190-B190,"")</f>
        <v/>
      </c>
      <c r="T190" s="6"/>
      <c r="U190" s="7" t="n">
        <v>0</v>
      </c>
      <c r="V190" s="7" t="n">
        <v>0</v>
      </c>
      <c r="W190" s="7" t="n">
        <v>0</v>
      </c>
      <c r="X190" s="7" t="n">
        <v>0</v>
      </c>
      <c r="Y190" s="10" t="str">
        <f aca="false">IF(Q190="Yes",IFERROR(W190/V190,"-"),"")</f>
        <v/>
      </c>
      <c r="Z190" s="10" t="str">
        <f aca="false">IF(Q190="Yes",IFERROR(X190/V190,"-"),"")</f>
        <v/>
      </c>
      <c r="AA190" s="7" t="n">
        <v>0</v>
      </c>
    </row>
    <row r="191" customFormat="false" ht="15" hidden="false" customHeight="false" outlineLevel="0" collapsed="false">
      <c r="A191" s="6" t="s">
        <v>291</v>
      </c>
      <c r="B191" s="22" t="n">
        <v>46258</v>
      </c>
      <c r="C191" s="6" t="str">
        <f aca="false">TEXT(B191,"yyyy-mm")</f>
        <v>2026-08</v>
      </c>
      <c r="D191" s="6" t="s">
        <v>52</v>
      </c>
      <c r="E191" s="6" t="s">
        <v>214</v>
      </c>
      <c r="F191" s="22" t="n">
        <v>46280</v>
      </c>
      <c r="G191" s="7" t="n">
        <f aca="false">Summary!$C$5-B191</f>
        <v>62</v>
      </c>
      <c r="H191" s="7" t="n">
        <v>4546.55</v>
      </c>
      <c r="I191" s="7" t="n">
        <v>5864</v>
      </c>
      <c r="J191" s="7" t="n">
        <v>52</v>
      </c>
      <c r="K191" s="7" t="n">
        <v>901</v>
      </c>
      <c r="L191" s="10" t="n">
        <f aca="false">IFERROR(J191/I191,"-")</f>
        <v>0.00886766712141883</v>
      </c>
      <c r="M191" s="10" t="n">
        <f aca="false">IFERROR(K191/I191,"-")</f>
        <v>0.153649386084584</v>
      </c>
      <c r="N191" s="7" t="n">
        <f aca="false">IFERROR(H191/I191*1000,"-")</f>
        <v>775.332537517053</v>
      </c>
      <c r="O191" s="7" t="n">
        <v>1</v>
      </c>
      <c r="P191" s="7" t="n">
        <f aca="false">IFERROR(H191/O191,"-")</f>
        <v>4546.55</v>
      </c>
      <c r="Q191" s="6" t="s">
        <v>90</v>
      </c>
      <c r="R191" s="22"/>
      <c r="S191" s="7" t="str">
        <f aca="false">IF(Q191="Yes",R191-B191,"")</f>
        <v/>
      </c>
      <c r="T191" s="6"/>
      <c r="U191" s="7" t="n">
        <v>0</v>
      </c>
      <c r="V191" s="7" t="n">
        <v>0</v>
      </c>
      <c r="W191" s="7" t="n">
        <v>0</v>
      </c>
      <c r="X191" s="7" t="n">
        <v>0</v>
      </c>
      <c r="Y191" s="10" t="str">
        <f aca="false">IF(Q191="Yes",IFERROR(W191/V191,"-"),"")</f>
        <v/>
      </c>
      <c r="Z191" s="10" t="str">
        <f aca="false">IF(Q191="Yes",IFERROR(X191/V191,"-"),"")</f>
        <v/>
      </c>
      <c r="AA191" s="7" t="n">
        <v>0</v>
      </c>
    </row>
    <row r="192" customFormat="false" ht="15" hidden="false" customHeight="false" outlineLevel="0" collapsed="false">
      <c r="A192" s="6" t="s">
        <v>292</v>
      </c>
      <c r="B192" s="22" t="n">
        <v>46265</v>
      </c>
      <c r="C192" s="6" t="str">
        <f aca="false">TEXT(B192,"yyyy-mm")</f>
        <v>2026-08</v>
      </c>
      <c r="D192" s="6" t="s">
        <v>52</v>
      </c>
      <c r="E192" s="6" t="s">
        <v>238</v>
      </c>
      <c r="F192" s="22" t="n">
        <v>46272</v>
      </c>
      <c r="G192" s="7" t="n">
        <f aca="false">Summary!$C$5-B192</f>
        <v>55</v>
      </c>
      <c r="H192" s="7" t="n">
        <v>1843.8</v>
      </c>
      <c r="I192" s="7" t="n">
        <v>2705</v>
      </c>
      <c r="J192" s="7" t="n">
        <v>45</v>
      </c>
      <c r="K192" s="7" t="n">
        <v>560</v>
      </c>
      <c r="L192" s="10" t="n">
        <f aca="false">IFERROR(J192/I192,"-")</f>
        <v>0.0166358595194085</v>
      </c>
      <c r="M192" s="10" t="n">
        <f aca="false">IFERROR(K192/I192,"-")</f>
        <v>0.207024029574861</v>
      </c>
      <c r="N192" s="7" t="n">
        <f aca="false">IFERROR(H192/I192*1000,"-")</f>
        <v>681.626617375231</v>
      </c>
      <c r="O192" s="7" t="n">
        <v>0</v>
      </c>
      <c r="P192" s="7" t="str">
        <f aca="false">IFERROR(H192/O192,"-")</f>
        <v>-</v>
      </c>
      <c r="Q192" s="6" t="s">
        <v>100</v>
      </c>
      <c r="R192" s="22" t="n">
        <v>46272</v>
      </c>
      <c r="S192" s="7" t="n">
        <f aca="false">IF(Q192="Yes",R192-B192,"")</f>
        <v>7</v>
      </c>
      <c r="T192" s="6" t="s">
        <v>101</v>
      </c>
      <c r="U192" s="7" t="n">
        <v>100857.87</v>
      </c>
      <c r="V192" s="7" t="n">
        <v>134065</v>
      </c>
      <c r="W192" s="7" t="n">
        <v>944</v>
      </c>
      <c r="X192" s="7" t="n">
        <v>19885</v>
      </c>
      <c r="Y192" s="10" t="n">
        <f aca="false">IF(Q192="Yes",IFERROR(W192/V192,"-"),"")</f>
        <v>0.0070413605340693</v>
      </c>
      <c r="Z192" s="10" t="n">
        <f aca="false">IF(Q192="Yes",IFERROR(X192/V192,"-"),"")</f>
        <v>0.148323574385559</v>
      </c>
      <c r="AA192" s="7" t="n">
        <v>16</v>
      </c>
    </row>
    <row r="193" customFormat="false" ht="15" hidden="false" customHeight="false" outlineLevel="0" collapsed="false">
      <c r="A193" s="6" t="s">
        <v>293</v>
      </c>
      <c r="B193" s="22" t="n">
        <v>46265</v>
      </c>
      <c r="C193" s="6" t="str">
        <f aca="false">TEXT(B193,"yyyy-mm")</f>
        <v>2026-08</v>
      </c>
      <c r="D193" s="6" t="s">
        <v>52</v>
      </c>
      <c r="E193" s="6" t="s">
        <v>238</v>
      </c>
      <c r="F193" s="22" t="n">
        <v>46280</v>
      </c>
      <c r="G193" s="7" t="n">
        <f aca="false">Summary!$C$5-B193</f>
        <v>55</v>
      </c>
      <c r="H193" s="7" t="n">
        <v>5248.39</v>
      </c>
      <c r="I193" s="7" t="n">
        <v>8928</v>
      </c>
      <c r="J193" s="7" t="n">
        <v>67</v>
      </c>
      <c r="K193" s="7" t="n">
        <v>1283</v>
      </c>
      <c r="L193" s="10" t="n">
        <f aca="false">IFERROR(J193/I193,"-")</f>
        <v>0.00750448028673835</v>
      </c>
      <c r="M193" s="10" t="n">
        <f aca="false">IFERROR(K193/I193,"-")</f>
        <v>0.143705197132616</v>
      </c>
      <c r="N193" s="7" t="n">
        <f aca="false">IFERROR(H193/I193*1000,"-")</f>
        <v>587.857302867384</v>
      </c>
      <c r="O193" s="7" t="n">
        <v>0</v>
      </c>
      <c r="P193" s="7" t="str">
        <f aca="false">IFERROR(H193/O193,"-")</f>
        <v>-</v>
      </c>
      <c r="Q193" s="6" t="s">
        <v>90</v>
      </c>
      <c r="R193" s="22"/>
      <c r="S193" s="7" t="str">
        <f aca="false">IF(Q193="Yes",R193-B193,"")</f>
        <v/>
      </c>
      <c r="T193" s="6"/>
      <c r="U193" s="7" t="n">
        <v>0</v>
      </c>
      <c r="V193" s="7" t="n">
        <v>0</v>
      </c>
      <c r="W193" s="7" t="n">
        <v>0</v>
      </c>
      <c r="X193" s="7" t="n">
        <v>0</v>
      </c>
      <c r="Y193" s="10" t="str">
        <f aca="false">IF(Q193="Yes",IFERROR(W193/V193,"-"),"")</f>
        <v/>
      </c>
      <c r="Z193" s="10" t="str">
        <f aca="false">IF(Q193="Yes",IFERROR(X193/V193,"-"),"")</f>
        <v/>
      </c>
      <c r="AA193" s="7" t="n">
        <v>0</v>
      </c>
    </row>
    <row r="194" customFormat="false" ht="15" hidden="false" customHeight="false" outlineLevel="0" collapsed="false">
      <c r="A194" s="6" t="s">
        <v>294</v>
      </c>
      <c r="B194" s="22" t="n">
        <v>46265</v>
      </c>
      <c r="C194" s="6" t="str">
        <f aca="false">TEXT(B194,"yyyy-mm")</f>
        <v>2026-08</v>
      </c>
      <c r="D194" s="6" t="s">
        <v>52</v>
      </c>
      <c r="E194" s="6" t="s">
        <v>238</v>
      </c>
      <c r="F194" s="22" t="n">
        <v>46272</v>
      </c>
      <c r="G194" s="7" t="n">
        <f aca="false">Summary!$C$5-B194</f>
        <v>55</v>
      </c>
      <c r="H194" s="7" t="n">
        <v>4686.15</v>
      </c>
      <c r="I194" s="7" t="n">
        <v>10696</v>
      </c>
      <c r="J194" s="7" t="n">
        <v>199</v>
      </c>
      <c r="K194" s="7" t="n">
        <v>2874</v>
      </c>
      <c r="L194" s="10" t="n">
        <f aca="false">IFERROR(J194/I194,"-")</f>
        <v>0.018605086013463</v>
      </c>
      <c r="M194" s="10" t="n">
        <f aca="false">IFERROR(K194/I194,"-")</f>
        <v>0.268698578908003</v>
      </c>
      <c r="N194" s="7" t="n">
        <f aca="false">IFERROR(H194/I194*1000,"-")</f>
        <v>438.121727748691</v>
      </c>
      <c r="O194" s="7" t="n">
        <v>2</v>
      </c>
      <c r="P194" s="7" t="n">
        <f aca="false">IFERROR(H194/O194,"-")</f>
        <v>2343.075</v>
      </c>
      <c r="Q194" s="6" t="s">
        <v>100</v>
      </c>
      <c r="R194" s="22" t="n">
        <v>46272</v>
      </c>
      <c r="S194" s="7" t="n">
        <f aca="false">IF(Q194="Yes",R194-B194,"")</f>
        <v>7</v>
      </c>
      <c r="T194" s="6" t="s">
        <v>101</v>
      </c>
      <c r="U194" s="7" t="n">
        <v>281477.36</v>
      </c>
      <c r="V194" s="7" t="n">
        <v>776335</v>
      </c>
      <c r="W194" s="7" t="n">
        <v>6164</v>
      </c>
      <c r="X194" s="7" t="n">
        <v>142973</v>
      </c>
      <c r="Y194" s="10" t="n">
        <f aca="false">IF(Q194="Yes",IFERROR(W194/V194,"-"),"")</f>
        <v>0.00793987131843856</v>
      </c>
      <c r="Z194" s="10" t="n">
        <f aca="false">IF(Q194="Yes",IFERROR(X194/V194,"-"),"")</f>
        <v>0.184164052889539</v>
      </c>
      <c r="AA194" s="7" t="n">
        <v>35</v>
      </c>
    </row>
    <row r="195" customFormat="false" ht="15" hidden="false" customHeight="false" outlineLevel="0" collapsed="false">
      <c r="A195" s="6" t="s">
        <v>295</v>
      </c>
      <c r="B195" s="22" t="n">
        <v>46265</v>
      </c>
      <c r="C195" s="6" t="str">
        <f aca="false">TEXT(B195,"yyyy-mm")</f>
        <v>2026-08</v>
      </c>
      <c r="D195" s="6" t="s">
        <v>52</v>
      </c>
      <c r="E195" s="6" t="s">
        <v>238</v>
      </c>
      <c r="F195" s="22" t="n">
        <v>46280</v>
      </c>
      <c r="G195" s="7" t="n">
        <f aca="false">Summary!$C$5-B195</f>
        <v>55</v>
      </c>
      <c r="H195" s="7" t="n">
        <v>3843.28</v>
      </c>
      <c r="I195" s="7" t="n">
        <v>7249</v>
      </c>
      <c r="J195" s="7" t="n">
        <v>53</v>
      </c>
      <c r="K195" s="7" t="n">
        <v>1820</v>
      </c>
      <c r="L195" s="10" t="n">
        <f aca="false">IFERROR(J195/I195,"-")</f>
        <v>0.00731135329010898</v>
      </c>
      <c r="M195" s="10" t="n">
        <f aca="false">IFERROR(K195/I195,"-")</f>
        <v>0.251069112981101</v>
      </c>
      <c r="N195" s="7" t="n">
        <f aca="false">IFERROR(H195/I195*1000,"-")</f>
        <v>530.180714581322</v>
      </c>
      <c r="O195" s="7" t="n">
        <v>3</v>
      </c>
      <c r="P195" s="7" t="n">
        <f aca="false">IFERROR(H195/O195,"-")</f>
        <v>1281.09333333333</v>
      </c>
      <c r="Q195" s="6" t="s">
        <v>90</v>
      </c>
      <c r="R195" s="22"/>
      <c r="S195" s="7" t="str">
        <f aca="false">IF(Q195="Yes",R195-B195,"")</f>
        <v/>
      </c>
      <c r="T195" s="6"/>
      <c r="U195" s="7" t="n">
        <v>0</v>
      </c>
      <c r="V195" s="7" t="n">
        <v>0</v>
      </c>
      <c r="W195" s="7" t="n">
        <v>0</v>
      </c>
      <c r="X195" s="7" t="n">
        <v>0</v>
      </c>
      <c r="Y195" s="10" t="str">
        <f aca="false">IF(Q195="Yes",IFERROR(W195/V195,"-"),"")</f>
        <v/>
      </c>
      <c r="Z195" s="10" t="str">
        <f aca="false">IF(Q195="Yes",IFERROR(X195/V195,"-"),"")</f>
        <v/>
      </c>
      <c r="AA195" s="7" t="n">
        <v>0</v>
      </c>
    </row>
    <row r="196" customFormat="false" ht="15" hidden="false" customHeight="false" outlineLevel="0" collapsed="false">
      <c r="A196" s="6" t="s">
        <v>296</v>
      </c>
      <c r="B196" s="22" t="n">
        <v>46265</v>
      </c>
      <c r="C196" s="6" t="str">
        <f aca="false">TEXT(B196,"yyyy-mm")</f>
        <v>2026-08</v>
      </c>
      <c r="D196" s="6" t="s">
        <v>52</v>
      </c>
      <c r="E196" s="6" t="s">
        <v>214</v>
      </c>
      <c r="F196" s="22" t="n">
        <v>46272</v>
      </c>
      <c r="G196" s="7" t="n">
        <f aca="false">Summary!$C$5-B196</f>
        <v>55</v>
      </c>
      <c r="H196" s="7" t="n">
        <v>2350.36</v>
      </c>
      <c r="I196" s="7" t="n">
        <v>4776</v>
      </c>
      <c r="J196" s="7" t="n">
        <v>27</v>
      </c>
      <c r="K196" s="7" t="n">
        <v>746</v>
      </c>
      <c r="L196" s="10" t="n">
        <f aca="false">IFERROR(J196/I196,"-")</f>
        <v>0.00565326633165829</v>
      </c>
      <c r="M196" s="10" t="n">
        <f aca="false">IFERROR(K196/I196,"-")</f>
        <v>0.156197654941374</v>
      </c>
      <c r="N196" s="7" t="n">
        <f aca="false">IFERROR(H196/I196*1000,"-")</f>
        <v>492.118927973199</v>
      </c>
      <c r="O196" s="7" t="n">
        <v>0</v>
      </c>
      <c r="P196" s="7" t="str">
        <f aca="false">IFERROR(H196/O196,"-")</f>
        <v>-</v>
      </c>
      <c r="Q196" s="6" t="s">
        <v>90</v>
      </c>
      <c r="R196" s="22"/>
      <c r="S196" s="7" t="str">
        <f aca="false">IF(Q196="Yes",R196-B196,"")</f>
        <v/>
      </c>
      <c r="T196" s="6"/>
      <c r="U196" s="7" t="n">
        <v>0</v>
      </c>
      <c r="V196" s="7" t="n">
        <v>0</v>
      </c>
      <c r="W196" s="7" t="n">
        <v>0</v>
      </c>
      <c r="X196" s="7" t="n">
        <v>0</v>
      </c>
      <c r="Y196" s="10" t="str">
        <f aca="false">IF(Q196="Yes",IFERROR(W196/V196,"-"),"")</f>
        <v/>
      </c>
      <c r="Z196" s="10" t="str">
        <f aca="false">IF(Q196="Yes",IFERROR(X196/V196,"-"),"")</f>
        <v/>
      </c>
      <c r="AA196" s="7" t="n">
        <v>0</v>
      </c>
    </row>
    <row r="197" customFormat="false" ht="15" hidden="false" customHeight="false" outlineLevel="0" collapsed="false">
      <c r="A197" s="6" t="s">
        <v>297</v>
      </c>
      <c r="B197" s="22" t="n">
        <v>46265</v>
      </c>
      <c r="C197" s="6" t="str">
        <f aca="false">TEXT(B197,"yyyy-mm")</f>
        <v>2026-08</v>
      </c>
      <c r="D197" s="6" t="s">
        <v>52</v>
      </c>
      <c r="E197" s="6" t="s">
        <v>214</v>
      </c>
      <c r="F197" s="22" t="n">
        <v>46280</v>
      </c>
      <c r="G197" s="7" t="n">
        <f aca="false">Summary!$C$5-B197</f>
        <v>55</v>
      </c>
      <c r="H197" s="7" t="n">
        <v>9829.29</v>
      </c>
      <c r="I197" s="7" t="n">
        <v>24427</v>
      </c>
      <c r="J197" s="7" t="n">
        <v>258</v>
      </c>
      <c r="K197" s="7" t="n">
        <v>9569</v>
      </c>
      <c r="L197" s="10" t="n">
        <f aca="false">IFERROR(J197/I197,"-")</f>
        <v>0.0105620829410079</v>
      </c>
      <c r="M197" s="10" t="n">
        <f aca="false">IFERROR(K197/I197,"-")</f>
        <v>0.391738649854669</v>
      </c>
      <c r="N197" s="7" t="n">
        <f aca="false">IFERROR(H197/I197*1000,"-")</f>
        <v>402.394481516355</v>
      </c>
      <c r="O197" s="7" t="n">
        <v>5</v>
      </c>
      <c r="P197" s="7" t="n">
        <f aca="false">IFERROR(H197/O197,"-")</f>
        <v>1965.858</v>
      </c>
      <c r="Q197" s="6" t="s">
        <v>100</v>
      </c>
      <c r="R197" s="22" t="n">
        <v>46280</v>
      </c>
      <c r="S197" s="7" t="n">
        <f aca="false">IF(Q197="Yes",R197-B197,"")</f>
        <v>15</v>
      </c>
      <c r="T197" s="6" t="s">
        <v>53</v>
      </c>
      <c r="U197" s="7" t="n">
        <v>65788.68</v>
      </c>
      <c r="V197" s="7" t="n">
        <v>382685</v>
      </c>
      <c r="W197" s="7" t="n">
        <v>1724</v>
      </c>
      <c r="X197" s="7" t="n">
        <v>117578</v>
      </c>
      <c r="Y197" s="10" t="n">
        <f aca="false">IF(Q197="Yes",IFERROR(W197/V197,"-"),"")</f>
        <v>0.00450501064844454</v>
      </c>
      <c r="Z197" s="10" t="n">
        <f aca="false">IF(Q197="Yes",IFERROR(X197/V197,"-"),"")</f>
        <v>0.307244861962188</v>
      </c>
      <c r="AA197" s="7" t="n">
        <v>3</v>
      </c>
    </row>
    <row r="198" customFormat="false" ht="15" hidden="false" customHeight="false" outlineLevel="0" collapsed="false">
      <c r="A198" s="6" t="s">
        <v>298</v>
      </c>
      <c r="B198" s="22" t="n">
        <v>46265</v>
      </c>
      <c r="C198" s="6" t="str">
        <f aca="false">TEXT(B198,"yyyy-mm")</f>
        <v>2026-08</v>
      </c>
      <c r="D198" s="6" t="s">
        <v>52</v>
      </c>
      <c r="E198" s="6" t="s">
        <v>214</v>
      </c>
      <c r="F198" s="22" t="n">
        <v>46280</v>
      </c>
      <c r="G198" s="7" t="n">
        <f aca="false">Summary!$C$5-B198</f>
        <v>55</v>
      </c>
      <c r="H198" s="7" t="n">
        <v>5248.45</v>
      </c>
      <c r="I198" s="7" t="n">
        <v>10589</v>
      </c>
      <c r="J198" s="7" t="n">
        <v>88</v>
      </c>
      <c r="K198" s="7" t="n">
        <v>2527</v>
      </c>
      <c r="L198" s="10" t="n">
        <f aca="false">IFERROR(J198/I198,"-")</f>
        <v>0.00831051090754557</v>
      </c>
      <c r="M198" s="10" t="n">
        <f aca="false">IFERROR(K198/I198,"-")</f>
        <v>0.238643875720087</v>
      </c>
      <c r="N198" s="7" t="n">
        <f aca="false">IFERROR(H198/I198*1000,"-")</f>
        <v>495.651147417131</v>
      </c>
      <c r="O198" s="7" t="n">
        <v>1</v>
      </c>
      <c r="P198" s="7" t="n">
        <f aca="false">IFERROR(H198/O198,"-")</f>
        <v>5248.45</v>
      </c>
      <c r="Q198" s="6" t="s">
        <v>90</v>
      </c>
      <c r="R198" s="22"/>
      <c r="S198" s="7" t="str">
        <f aca="false">IF(Q198="Yes",R198-B198,"")</f>
        <v/>
      </c>
      <c r="T198" s="6"/>
      <c r="U198" s="7" t="n">
        <v>0</v>
      </c>
      <c r="V198" s="7" t="n">
        <v>0</v>
      </c>
      <c r="W198" s="7" t="n">
        <v>0</v>
      </c>
      <c r="X198" s="7" t="n">
        <v>0</v>
      </c>
      <c r="Y198" s="10" t="str">
        <f aca="false">IF(Q198="Yes",IFERROR(W198/V198,"-"),"")</f>
        <v/>
      </c>
      <c r="Z198" s="10" t="str">
        <f aca="false">IF(Q198="Yes",IFERROR(X198/V198,"-"),"")</f>
        <v/>
      </c>
      <c r="AA198" s="7" t="n">
        <v>0</v>
      </c>
    </row>
    <row r="199" customFormat="false" ht="15" hidden="false" customHeight="false" outlineLevel="0" collapsed="false">
      <c r="A199" s="6" t="s">
        <v>299</v>
      </c>
      <c r="B199" s="22" t="n">
        <v>46272</v>
      </c>
      <c r="C199" s="6" t="str">
        <f aca="false">TEXT(B199,"yyyy-mm")</f>
        <v>2026-09</v>
      </c>
      <c r="D199" s="6" t="s">
        <v>52</v>
      </c>
      <c r="E199" s="6" t="s">
        <v>238</v>
      </c>
      <c r="F199" s="22" t="n">
        <v>46280</v>
      </c>
      <c r="G199" s="7" t="n">
        <f aca="false">Summary!$C$5-B199</f>
        <v>48</v>
      </c>
      <c r="H199" s="7" t="n">
        <v>3052.61</v>
      </c>
      <c r="I199" s="7" t="n">
        <v>4710</v>
      </c>
      <c r="J199" s="7" t="n">
        <v>45</v>
      </c>
      <c r="K199" s="7" t="n">
        <v>1086</v>
      </c>
      <c r="L199" s="10" t="n">
        <f aca="false">IFERROR(J199/I199,"-")</f>
        <v>0.00955414012738854</v>
      </c>
      <c r="M199" s="10" t="n">
        <f aca="false">IFERROR(K199/I199,"-")</f>
        <v>0.230573248407643</v>
      </c>
      <c r="N199" s="7" t="n">
        <f aca="false">IFERROR(H199/I199*1000,"-")</f>
        <v>648.112526539278</v>
      </c>
      <c r="O199" s="7" t="n">
        <v>1</v>
      </c>
      <c r="P199" s="7" t="n">
        <f aca="false">IFERROR(H199/O199,"-")</f>
        <v>3052.61</v>
      </c>
      <c r="Q199" s="6" t="s">
        <v>90</v>
      </c>
      <c r="R199" s="22"/>
      <c r="S199" s="7" t="str">
        <f aca="false">IF(Q199="Yes",R199-B199,"")</f>
        <v/>
      </c>
      <c r="T199" s="6"/>
      <c r="U199" s="7" t="n">
        <v>0</v>
      </c>
      <c r="V199" s="7" t="n">
        <v>0</v>
      </c>
      <c r="W199" s="7" t="n">
        <v>0</v>
      </c>
      <c r="X199" s="7" t="n">
        <v>0</v>
      </c>
      <c r="Y199" s="10" t="str">
        <f aca="false">IF(Q199="Yes",IFERROR(W199/V199,"-"),"")</f>
        <v/>
      </c>
      <c r="Z199" s="10" t="str">
        <f aca="false">IF(Q199="Yes",IFERROR(X199/V199,"-"),"")</f>
        <v/>
      </c>
      <c r="AA199" s="7" t="n">
        <v>0</v>
      </c>
    </row>
    <row r="200" customFormat="false" ht="15" hidden="false" customHeight="false" outlineLevel="0" collapsed="false">
      <c r="A200" s="6" t="s">
        <v>300</v>
      </c>
      <c r="B200" s="22" t="n">
        <v>46272</v>
      </c>
      <c r="C200" s="6" t="str">
        <f aca="false">TEXT(B200,"yyyy-mm")</f>
        <v>2026-09</v>
      </c>
      <c r="D200" s="6" t="s">
        <v>52</v>
      </c>
      <c r="E200" s="6" t="s">
        <v>238</v>
      </c>
      <c r="F200" s="22" t="n">
        <v>46280</v>
      </c>
      <c r="G200" s="7" t="n">
        <f aca="false">Summary!$C$5-B200</f>
        <v>48</v>
      </c>
      <c r="H200" s="7" t="n">
        <v>4106.25</v>
      </c>
      <c r="I200" s="7" t="n">
        <v>5998</v>
      </c>
      <c r="J200" s="7" t="n">
        <v>74</v>
      </c>
      <c r="K200" s="7" t="n">
        <v>1006</v>
      </c>
      <c r="L200" s="10" t="n">
        <f aca="false">IFERROR(J200/I200,"-")</f>
        <v>0.0123374458152718</v>
      </c>
      <c r="M200" s="10" t="n">
        <f aca="false">IFERROR(K200/I200,"-")</f>
        <v>0.167722574191397</v>
      </c>
      <c r="N200" s="7" t="n">
        <f aca="false">IFERROR(H200/I200*1000,"-")</f>
        <v>684.603201067022</v>
      </c>
      <c r="O200" s="7" t="n">
        <v>0</v>
      </c>
      <c r="P200" s="7" t="str">
        <f aca="false">IFERROR(H200/O200,"-")</f>
        <v>-</v>
      </c>
      <c r="Q200" s="6" t="s">
        <v>100</v>
      </c>
      <c r="R200" s="22" t="n">
        <v>46280</v>
      </c>
      <c r="S200" s="7" t="n">
        <f aca="false">IF(Q200="Yes",R200-B200,"")</f>
        <v>8</v>
      </c>
      <c r="T200" s="6" t="s">
        <v>101</v>
      </c>
      <c r="U200" s="7" t="n">
        <v>73764.18</v>
      </c>
      <c r="V200" s="7" t="n">
        <v>109442</v>
      </c>
      <c r="W200" s="7" t="n">
        <v>703</v>
      </c>
      <c r="X200" s="7" t="n">
        <v>14699</v>
      </c>
      <c r="Y200" s="10" t="n">
        <f aca="false">IF(Q200="Yes",IFERROR(W200/V200,"-"),"")</f>
        <v>0.00642349372270244</v>
      </c>
      <c r="Z200" s="10" t="n">
        <f aca="false">IF(Q200="Yes",IFERROR(X200/V200,"-"),"")</f>
        <v>0.134308583541967</v>
      </c>
      <c r="AA200" s="7" t="n">
        <v>12</v>
      </c>
    </row>
    <row r="201" customFormat="false" ht="15" hidden="false" customHeight="false" outlineLevel="0" collapsed="false">
      <c r="A201" s="6" t="s">
        <v>301</v>
      </c>
      <c r="B201" s="22" t="n">
        <v>46272</v>
      </c>
      <c r="C201" s="6" t="str">
        <f aca="false">TEXT(B201,"yyyy-mm")</f>
        <v>2026-09</v>
      </c>
      <c r="D201" s="6" t="s">
        <v>52</v>
      </c>
      <c r="E201" s="6" t="s">
        <v>238</v>
      </c>
      <c r="F201" s="22" t="n">
        <v>46280</v>
      </c>
      <c r="G201" s="7" t="n">
        <f aca="false">Summary!$C$5-B201</f>
        <v>48</v>
      </c>
      <c r="H201" s="7" t="n">
        <v>4301.75</v>
      </c>
      <c r="I201" s="7" t="n">
        <v>9740</v>
      </c>
      <c r="J201" s="7" t="n">
        <v>104</v>
      </c>
      <c r="K201" s="7" t="n">
        <v>2737</v>
      </c>
      <c r="L201" s="10" t="n">
        <f aca="false">IFERROR(J201/I201,"-")</f>
        <v>0.0106776180698152</v>
      </c>
      <c r="M201" s="10" t="n">
        <f aca="false">IFERROR(K201/I201,"-")</f>
        <v>0.281006160164271</v>
      </c>
      <c r="N201" s="7" t="n">
        <f aca="false">IFERROR(H201/I201*1000,"-")</f>
        <v>441.658110882957</v>
      </c>
      <c r="O201" s="7" t="n">
        <v>0</v>
      </c>
      <c r="P201" s="7" t="str">
        <f aca="false">IFERROR(H201/O201,"-")</f>
        <v>-</v>
      </c>
      <c r="Q201" s="6" t="s">
        <v>90</v>
      </c>
      <c r="R201" s="22"/>
      <c r="S201" s="7" t="str">
        <f aca="false">IF(Q201="Yes",R201-B201,"")</f>
        <v/>
      </c>
      <c r="T201" s="6"/>
      <c r="U201" s="7" t="n">
        <v>0</v>
      </c>
      <c r="V201" s="7" t="n">
        <v>0</v>
      </c>
      <c r="W201" s="7" t="n">
        <v>0</v>
      </c>
      <c r="X201" s="7" t="n">
        <v>0</v>
      </c>
      <c r="Y201" s="10" t="str">
        <f aca="false">IF(Q201="Yes",IFERROR(W201/V201,"-"),"")</f>
        <v/>
      </c>
      <c r="Z201" s="10" t="str">
        <f aca="false">IF(Q201="Yes",IFERROR(X201/V201,"-"),"")</f>
        <v/>
      </c>
      <c r="AA201" s="7" t="n">
        <v>0</v>
      </c>
    </row>
    <row r="202" customFormat="false" ht="15" hidden="false" customHeight="false" outlineLevel="0" collapsed="false">
      <c r="A202" s="6" t="s">
        <v>302</v>
      </c>
      <c r="B202" s="22" t="n">
        <v>46272</v>
      </c>
      <c r="C202" s="6" t="str">
        <f aca="false">TEXT(B202,"yyyy-mm")</f>
        <v>2026-09</v>
      </c>
      <c r="D202" s="6" t="s">
        <v>52</v>
      </c>
      <c r="E202" s="6" t="s">
        <v>214</v>
      </c>
      <c r="F202" s="22" t="n">
        <v>46280</v>
      </c>
      <c r="G202" s="7" t="n">
        <f aca="false">Summary!$C$5-B202</f>
        <v>48</v>
      </c>
      <c r="H202" s="7" t="n">
        <v>3413.95</v>
      </c>
      <c r="I202" s="7" t="n">
        <v>4484</v>
      </c>
      <c r="J202" s="7" t="n">
        <v>42</v>
      </c>
      <c r="K202" s="7" t="n">
        <v>715</v>
      </c>
      <c r="L202" s="10" t="n">
        <f aca="false">IFERROR(J202/I202,"-")</f>
        <v>0.00936663693131133</v>
      </c>
      <c r="M202" s="10" t="n">
        <f aca="false">IFERROR(K202/I202,"-")</f>
        <v>0.159455842997324</v>
      </c>
      <c r="N202" s="7" t="n">
        <f aca="false">IFERROR(H202/I202*1000,"-")</f>
        <v>761.362622658341</v>
      </c>
      <c r="O202" s="7" t="n">
        <v>0</v>
      </c>
      <c r="P202" s="7" t="str">
        <f aca="false">IFERROR(H202/O202,"-")</f>
        <v>-</v>
      </c>
      <c r="Q202" s="6" t="s">
        <v>90</v>
      </c>
      <c r="R202" s="22"/>
      <c r="S202" s="7" t="str">
        <f aca="false">IF(Q202="Yes",R202-B202,"")</f>
        <v/>
      </c>
      <c r="T202" s="6"/>
      <c r="U202" s="7" t="n">
        <v>0</v>
      </c>
      <c r="V202" s="7" t="n">
        <v>0</v>
      </c>
      <c r="W202" s="7" t="n">
        <v>0</v>
      </c>
      <c r="X202" s="7" t="n">
        <v>0</v>
      </c>
      <c r="Y202" s="10" t="str">
        <f aca="false">IF(Q202="Yes",IFERROR(W202/V202,"-"),"")</f>
        <v/>
      </c>
      <c r="Z202" s="10" t="str">
        <f aca="false">IF(Q202="Yes",IFERROR(X202/V202,"-"),"")</f>
        <v/>
      </c>
      <c r="AA202" s="7" t="n">
        <v>0</v>
      </c>
    </row>
    <row r="203" customFormat="false" ht="15" hidden="false" customHeight="false" outlineLevel="0" collapsed="false">
      <c r="A203" s="6" t="s">
        <v>303</v>
      </c>
      <c r="B203" s="22" t="n">
        <v>46280</v>
      </c>
      <c r="C203" s="6" t="str">
        <f aca="false">TEXT(B203,"yyyy-mm")</f>
        <v>2026-09</v>
      </c>
      <c r="D203" s="6" t="s">
        <v>52</v>
      </c>
      <c r="E203" s="6" t="s">
        <v>238</v>
      </c>
      <c r="F203" s="22" t="n">
        <v>46293</v>
      </c>
      <c r="G203" s="7" t="n">
        <f aca="false">Summary!$C$5-B203</f>
        <v>40</v>
      </c>
      <c r="H203" s="7" t="n">
        <v>7646.87</v>
      </c>
      <c r="I203" s="7" t="n">
        <v>13531</v>
      </c>
      <c r="J203" s="7" t="n">
        <v>141</v>
      </c>
      <c r="K203" s="7" t="n">
        <v>2076</v>
      </c>
      <c r="L203" s="10" t="n">
        <f aca="false">IFERROR(J203/I203,"-")</f>
        <v>0.0104205158524869</v>
      </c>
      <c r="M203" s="10" t="n">
        <f aca="false">IFERROR(K203/I203,"-")</f>
        <v>0.153425467445126</v>
      </c>
      <c r="N203" s="7" t="n">
        <f aca="false">IFERROR(H203/I203*1000,"-")</f>
        <v>565.137092602173</v>
      </c>
      <c r="O203" s="7" t="n">
        <v>2</v>
      </c>
      <c r="P203" s="7" t="n">
        <f aca="false">IFERROR(H203/O203,"-")</f>
        <v>3823.435</v>
      </c>
      <c r="Q203" s="6" t="s">
        <v>90</v>
      </c>
      <c r="R203" s="22"/>
      <c r="S203" s="7" t="str">
        <f aca="false">IF(Q203="Yes",R203-B203,"")</f>
        <v/>
      </c>
      <c r="T203" s="6"/>
      <c r="U203" s="7" t="n">
        <v>0</v>
      </c>
      <c r="V203" s="7" t="n">
        <v>0</v>
      </c>
      <c r="W203" s="7" t="n">
        <v>0</v>
      </c>
      <c r="X203" s="7" t="n">
        <v>0</v>
      </c>
      <c r="Y203" s="10" t="str">
        <f aca="false">IF(Q203="Yes",IFERROR(W203/V203,"-"),"")</f>
        <v/>
      </c>
      <c r="Z203" s="10" t="str">
        <f aca="false">IF(Q203="Yes",IFERROR(X203/V203,"-"),"")</f>
        <v/>
      </c>
      <c r="AA203" s="7" t="n">
        <v>0</v>
      </c>
    </row>
    <row r="204" customFormat="false" ht="15" hidden="false" customHeight="false" outlineLevel="0" collapsed="false">
      <c r="A204" s="6" t="s">
        <v>304</v>
      </c>
      <c r="B204" s="22" t="n">
        <v>46280</v>
      </c>
      <c r="C204" s="6" t="str">
        <f aca="false">TEXT(B204,"yyyy-mm")</f>
        <v>2026-09</v>
      </c>
      <c r="D204" s="6" t="s">
        <v>52</v>
      </c>
      <c r="E204" s="6" t="s">
        <v>238</v>
      </c>
      <c r="F204" s="22" t="n">
        <v>46288</v>
      </c>
      <c r="G204" s="7" t="n">
        <f aca="false">Summary!$C$5-B204</f>
        <v>40</v>
      </c>
      <c r="H204" s="7" t="n">
        <v>4821.22</v>
      </c>
      <c r="I204" s="7" t="n">
        <v>8408</v>
      </c>
      <c r="J204" s="7" t="n">
        <v>77</v>
      </c>
      <c r="K204" s="7" t="n">
        <v>911</v>
      </c>
      <c r="L204" s="10" t="n">
        <f aca="false">IFERROR(J204/I204,"-")</f>
        <v>0.00915794481446242</v>
      </c>
      <c r="M204" s="10" t="n">
        <f aca="false">IFERROR(K204/I204,"-")</f>
        <v>0.108349191246432</v>
      </c>
      <c r="N204" s="7" t="n">
        <f aca="false">IFERROR(H204/I204*1000,"-")</f>
        <v>573.408658420552</v>
      </c>
      <c r="O204" s="7" t="n">
        <v>3</v>
      </c>
      <c r="P204" s="7" t="n">
        <f aca="false">IFERROR(H204/O204,"-")</f>
        <v>1607.07333333333</v>
      </c>
      <c r="Q204" s="6" t="s">
        <v>90</v>
      </c>
      <c r="R204" s="22"/>
      <c r="S204" s="7" t="str">
        <f aca="false">IF(Q204="Yes",R204-B204,"")</f>
        <v/>
      </c>
      <c r="T204" s="6"/>
      <c r="U204" s="7" t="n">
        <v>0</v>
      </c>
      <c r="V204" s="7" t="n">
        <v>0</v>
      </c>
      <c r="W204" s="7" t="n">
        <v>0</v>
      </c>
      <c r="X204" s="7" t="n">
        <v>0</v>
      </c>
      <c r="Y204" s="10" t="str">
        <f aca="false">IF(Q204="Yes",IFERROR(W204/V204,"-"),"")</f>
        <v/>
      </c>
      <c r="Z204" s="10" t="str">
        <f aca="false">IF(Q204="Yes",IFERROR(X204/V204,"-"),"")</f>
        <v/>
      </c>
      <c r="AA204" s="7" t="n">
        <v>0</v>
      </c>
    </row>
    <row r="205" customFormat="false" ht="15" hidden="false" customHeight="false" outlineLevel="0" collapsed="false">
      <c r="A205" s="6" t="s">
        <v>305</v>
      </c>
      <c r="B205" s="22" t="n">
        <v>46280</v>
      </c>
      <c r="C205" s="6" t="str">
        <f aca="false">TEXT(B205,"yyyy-mm")</f>
        <v>2026-09</v>
      </c>
      <c r="D205" s="6" t="s">
        <v>52</v>
      </c>
      <c r="E205" s="6" t="s">
        <v>238</v>
      </c>
      <c r="F205" s="22" t="n">
        <v>46290</v>
      </c>
      <c r="G205" s="7" t="n">
        <f aca="false">Summary!$C$5-B205</f>
        <v>40</v>
      </c>
      <c r="H205" s="7" t="n">
        <v>7849.46</v>
      </c>
      <c r="I205" s="7" t="n">
        <v>14728</v>
      </c>
      <c r="J205" s="7" t="n">
        <v>84</v>
      </c>
      <c r="K205" s="7" t="n">
        <v>1771</v>
      </c>
      <c r="L205" s="10" t="n">
        <f aca="false">IFERROR(J205/I205,"-")</f>
        <v>0.00570342205323194</v>
      </c>
      <c r="M205" s="10" t="n">
        <f aca="false">IFERROR(K205/I205,"-")</f>
        <v>0.120247148288973</v>
      </c>
      <c r="N205" s="7" t="n">
        <f aca="false">IFERROR(H205/I205*1000,"-")</f>
        <v>532.961705594785</v>
      </c>
      <c r="O205" s="7" t="n">
        <v>3</v>
      </c>
      <c r="P205" s="7" t="n">
        <f aca="false">IFERROR(H205/O205,"-")</f>
        <v>2616.48666666667</v>
      </c>
      <c r="Q205" s="6" t="s">
        <v>90</v>
      </c>
      <c r="R205" s="22"/>
      <c r="S205" s="7" t="str">
        <f aca="false">IF(Q205="Yes",R205-B205,"")</f>
        <v/>
      </c>
      <c r="T205" s="6"/>
      <c r="U205" s="7" t="n">
        <v>0</v>
      </c>
      <c r="V205" s="7" t="n">
        <v>0</v>
      </c>
      <c r="W205" s="7" t="n">
        <v>0</v>
      </c>
      <c r="X205" s="7" t="n">
        <v>0</v>
      </c>
      <c r="Y205" s="10" t="str">
        <f aca="false">IF(Q205="Yes",IFERROR(W205/V205,"-"),"")</f>
        <v/>
      </c>
      <c r="Z205" s="10" t="str">
        <f aca="false">IF(Q205="Yes",IFERROR(X205/V205,"-"),"")</f>
        <v/>
      </c>
      <c r="AA205" s="7" t="n">
        <v>0</v>
      </c>
    </row>
    <row r="206" customFormat="false" ht="15" hidden="false" customHeight="false" outlineLevel="0" collapsed="false">
      <c r="A206" s="6" t="s">
        <v>306</v>
      </c>
      <c r="B206" s="22" t="n">
        <v>46280</v>
      </c>
      <c r="C206" s="6" t="str">
        <f aca="false">TEXT(B206,"yyyy-mm")</f>
        <v>2026-09</v>
      </c>
      <c r="D206" s="6" t="s">
        <v>52</v>
      </c>
      <c r="E206" s="6" t="s">
        <v>238</v>
      </c>
      <c r="F206" s="22" t="n">
        <v>46293</v>
      </c>
      <c r="G206" s="7" t="n">
        <f aca="false">Summary!$C$5-B206</f>
        <v>40</v>
      </c>
      <c r="H206" s="7" t="n">
        <v>5923.32</v>
      </c>
      <c r="I206" s="7" t="n">
        <v>7833</v>
      </c>
      <c r="J206" s="7" t="n">
        <v>63</v>
      </c>
      <c r="K206" s="7" t="n">
        <v>852</v>
      </c>
      <c r="L206" s="10" t="n">
        <f aca="false">IFERROR(J206/I206,"-")</f>
        <v>0.00804289544235925</v>
      </c>
      <c r="M206" s="10" t="n">
        <f aca="false">IFERROR(K206/I206,"-")</f>
        <v>0.108770585982382</v>
      </c>
      <c r="N206" s="7" t="n">
        <f aca="false">IFERROR(H206/I206*1000,"-")</f>
        <v>756.200689391038</v>
      </c>
      <c r="O206" s="7" t="n">
        <v>1</v>
      </c>
      <c r="P206" s="7" t="n">
        <f aca="false">IFERROR(H206/O206,"-")</f>
        <v>5923.32</v>
      </c>
      <c r="Q206" s="6" t="s">
        <v>90</v>
      </c>
      <c r="R206" s="22"/>
      <c r="S206" s="7" t="str">
        <f aca="false">IF(Q206="Yes",R206-B206,"")</f>
        <v/>
      </c>
      <c r="T206" s="6"/>
      <c r="U206" s="7" t="n">
        <v>0</v>
      </c>
      <c r="V206" s="7" t="n">
        <v>0</v>
      </c>
      <c r="W206" s="7" t="n">
        <v>0</v>
      </c>
      <c r="X206" s="7" t="n">
        <v>0</v>
      </c>
      <c r="Y206" s="10" t="str">
        <f aca="false">IF(Q206="Yes",IFERROR(W206/V206,"-"),"")</f>
        <v/>
      </c>
      <c r="Z206" s="10" t="str">
        <f aca="false">IF(Q206="Yes",IFERROR(X206/V206,"-"),"")</f>
        <v/>
      </c>
      <c r="AA206" s="7" t="n">
        <v>0</v>
      </c>
    </row>
    <row r="207" customFormat="false" ht="15" hidden="false" customHeight="false" outlineLevel="0" collapsed="false">
      <c r="A207" s="6" t="s">
        <v>307</v>
      </c>
      <c r="B207" s="22" t="n">
        <v>46280</v>
      </c>
      <c r="C207" s="6" t="str">
        <f aca="false">TEXT(B207,"yyyy-mm")</f>
        <v>2026-09</v>
      </c>
      <c r="D207" s="6" t="s">
        <v>52</v>
      </c>
      <c r="E207" s="6" t="s">
        <v>238</v>
      </c>
      <c r="F207" s="22" t="n">
        <v>46293</v>
      </c>
      <c r="G207" s="7" t="n">
        <f aca="false">Summary!$C$5-B207</f>
        <v>40</v>
      </c>
      <c r="H207" s="7" t="n">
        <v>6222.32</v>
      </c>
      <c r="I207" s="7" t="n">
        <v>10129</v>
      </c>
      <c r="J207" s="7" t="n">
        <v>77</v>
      </c>
      <c r="K207" s="7" t="n">
        <v>1209</v>
      </c>
      <c r="L207" s="10" t="n">
        <f aca="false">IFERROR(J207/I207,"-")</f>
        <v>0.00760193503800968</v>
      </c>
      <c r="M207" s="10" t="n">
        <f aca="false">IFERROR(K207/I207,"-")</f>
        <v>0.119360252739658</v>
      </c>
      <c r="N207" s="7" t="n">
        <f aca="false">IFERROR(H207/I207*1000,"-")</f>
        <v>614.307434100109</v>
      </c>
      <c r="O207" s="7" t="n">
        <v>3</v>
      </c>
      <c r="P207" s="7" t="n">
        <f aca="false">IFERROR(H207/O207,"-")</f>
        <v>2074.10666666667</v>
      </c>
      <c r="Q207" s="6" t="s">
        <v>90</v>
      </c>
      <c r="R207" s="22"/>
      <c r="S207" s="7" t="str">
        <f aca="false">IF(Q207="Yes",R207-B207,"")</f>
        <v/>
      </c>
      <c r="T207" s="6"/>
      <c r="U207" s="7" t="n">
        <v>0</v>
      </c>
      <c r="V207" s="7" t="n">
        <v>0</v>
      </c>
      <c r="W207" s="7" t="n">
        <v>0</v>
      </c>
      <c r="X207" s="7" t="n">
        <v>0</v>
      </c>
      <c r="Y207" s="10" t="str">
        <f aca="false">IF(Q207="Yes",IFERROR(W207/V207,"-"),"")</f>
        <v/>
      </c>
      <c r="Z207" s="10" t="str">
        <f aca="false">IF(Q207="Yes",IFERROR(X207/V207,"-"),"")</f>
        <v/>
      </c>
      <c r="AA207" s="7" t="n">
        <v>0</v>
      </c>
    </row>
    <row r="208" customFormat="false" ht="15" hidden="false" customHeight="false" outlineLevel="0" collapsed="false">
      <c r="A208" s="6" t="s">
        <v>308</v>
      </c>
      <c r="B208" s="22" t="n">
        <v>46280</v>
      </c>
      <c r="C208" s="6" t="str">
        <f aca="false">TEXT(B208,"yyyy-mm")</f>
        <v>2026-09</v>
      </c>
      <c r="D208" s="6" t="s">
        <v>52</v>
      </c>
      <c r="E208" s="6" t="s">
        <v>214</v>
      </c>
      <c r="F208" s="22" t="n">
        <v>46286</v>
      </c>
      <c r="G208" s="7" t="n">
        <f aca="false">Summary!$C$5-B208</f>
        <v>40</v>
      </c>
      <c r="H208" s="7" t="n">
        <v>3218.38</v>
      </c>
      <c r="I208" s="7" t="n">
        <v>6393</v>
      </c>
      <c r="J208" s="7" t="n">
        <v>95</v>
      </c>
      <c r="K208" s="7" t="n">
        <v>1367</v>
      </c>
      <c r="L208" s="10" t="n">
        <f aca="false">IFERROR(J208/I208,"-")</f>
        <v>0.0148600031284217</v>
      </c>
      <c r="M208" s="10" t="n">
        <f aca="false">IFERROR(K208/I208,"-")</f>
        <v>0.21382762396371</v>
      </c>
      <c r="N208" s="7" t="n">
        <f aca="false">IFERROR(H208/I208*1000,"-")</f>
        <v>503.422493352104</v>
      </c>
      <c r="O208" s="7" t="n">
        <v>0</v>
      </c>
      <c r="P208" s="7" t="str">
        <f aca="false">IFERROR(H208/O208,"-")</f>
        <v>-</v>
      </c>
      <c r="Q208" s="6" t="s">
        <v>100</v>
      </c>
      <c r="R208" s="22" t="n">
        <v>46286</v>
      </c>
      <c r="S208" s="7" t="n">
        <f aca="false">IF(Q208="Yes",R208-B208,"")</f>
        <v>6</v>
      </c>
      <c r="T208" s="6" t="s">
        <v>53</v>
      </c>
      <c r="U208" s="7" t="n">
        <v>53366.64</v>
      </c>
      <c r="V208" s="7" t="n">
        <v>146765</v>
      </c>
      <c r="W208" s="7" t="n">
        <v>721</v>
      </c>
      <c r="X208" s="7" t="n">
        <v>17896</v>
      </c>
      <c r="Y208" s="10" t="n">
        <f aca="false">IF(Q208="Yes",IFERROR(W208/V208,"-"),"")</f>
        <v>0.00491261540558035</v>
      </c>
      <c r="Z208" s="10" t="n">
        <f aca="false">IF(Q208="Yes",IFERROR(X208/V208,"-"),"")</f>
        <v>0.121936428985112</v>
      </c>
      <c r="AA208" s="7" t="n">
        <v>6</v>
      </c>
    </row>
    <row r="209" customFormat="false" ht="15" hidden="false" customHeight="false" outlineLevel="0" collapsed="false">
      <c r="A209" s="6" t="s">
        <v>309</v>
      </c>
      <c r="B209" s="22" t="n">
        <v>46281</v>
      </c>
      <c r="C209" s="6" t="str">
        <f aca="false">TEXT(B209,"yyyy-mm")</f>
        <v>2026-09</v>
      </c>
      <c r="D209" s="6" t="s">
        <v>52</v>
      </c>
      <c r="E209" s="6" t="s">
        <v>214</v>
      </c>
      <c r="F209" s="22" t="n">
        <v>46285</v>
      </c>
      <c r="G209" s="7" t="n">
        <f aca="false">Summary!$C$5-B209</f>
        <v>39</v>
      </c>
      <c r="H209" s="7" t="n">
        <v>4657.76</v>
      </c>
      <c r="I209" s="7" t="n">
        <v>12775</v>
      </c>
      <c r="J209" s="7" t="n">
        <v>118</v>
      </c>
      <c r="K209" s="7" t="n">
        <v>2565</v>
      </c>
      <c r="L209" s="10" t="n">
        <f aca="false">IFERROR(J209/I209,"-")</f>
        <v>0.00923679060665362</v>
      </c>
      <c r="M209" s="10" t="n">
        <f aca="false">IFERROR(K209/I209,"-")</f>
        <v>0.200782778864971</v>
      </c>
      <c r="N209" s="7" t="n">
        <f aca="false">IFERROR(H209/I209*1000,"-")</f>
        <v>364.599608610568</v>
      </c>
      <c r="O209" s="7" t="n">
        <v>6</v>
      </c>
      <c r="P209" s="7" t="n">
        <f aca="false">IFERROR(H209/O209,"-")</f>
        <v>776.293333333333</v>
      </c>
      <c r="Q209" s="6" t="s">
        <v>90</v>
      </c>
      <c r="R209" s="22"/>
      <c r="S209" s="7" t="str">
        <f aca="false">IF(Q209="Yes",R209-B209,"")</f>
        <v/>
      </c>
      <c r="T209" s="6"/>
      <c r="U209" s="7" t="n">
        <v>0</v>
      </c>
      <c r="V209" s="7" t="n">
        <v>0</v>
      </c>
      <c r="W209" s="7" t="n">
        <v>0</v>
      </c>
      <c r="X209" s="7" t="n">
        <v>0</v>
      </c>
      <c r="Y209" s="10" t="str">
        <f aca="false">IF(Q209="Yes",IFERROR(W209/V209,"-"),"")</f>
        <v/>
      </c>
      <c r="Z209" s="10" t="str">
        <f aca="false">IF(Q209="Yes",IFERROR(X209/V209,"-"),"")</f>
        <v/>
      </c>
      <c r="AA209" s="7" t="n">
        <v>0</v>
      </c>
    </row>
    <row r="210" customFormat="false" ht="15" hidden="false" customHeight="false" outlineLevel="0" collapsed="false">
      <c r="A210" s="6" t="s">
        <v>310</v>
      </c>
      <c r="B210" s="22" t="n">
        <v>46281</v>
      </c>
      <c r="C210" s="6" t="str">
        <f aca="false">TEXT(B210,"yyyy-mm")</f>
        <v>2026-09</v>
      </c>
      <c r="D210" s="6" t="s">
        <v>52</v>
      </c>
      <c r="E210" s="6" t="s">
        <v>214</v>
      </c>
      <c r="F210" s="22" t="n">
        <v>46293</v>
      </c>
      <c r="G210" s="7" t="n">
        <f aca="false">Summary!$C$5-B210</f>
        <v>39</v>
      </c>
      <c r="H210" s="7" t="n">
        <v>5249.16</v>
      </c>
      <c r="I210" s="7" t="n">
        <v>9625</v>
      </c>
      <c r="J210" s="7" t="n">
        <v>88</v>
      </c>
      <c r="K210" s="7" t="n">
        <v>2139</v>
      </c>
      <c r="L210" s="10" t="n">
        <f aca="false">IFERROR(J210/I210,"-")</f>
        <v>0.00914285714285714</v>
      </c>
      <c r="M210" s="10" t="n">
        <f aca="false">IFERROR(K210/I210,"-")</f>
        <v>0.222233766233766</v>
      </c>
      <c r="N210" s="7" t="n">
        <f aca="false">IFERROR(H210/I210*1000,"-")</f>
        <v>545.367272727273</v>
      </c>
      <c r="O210" s="7" t="n">
        <v>1</v>
      </c>
      <c r="P210" s="7" t="n">
        <f aca="false">IFERROR(H210/O210,"-")</f>
        <v>5249.16</v>
      </c>
      <c r="Q210" s="6" t="s">
        <v>90</v>
      </c>
      <c r="R210" s="22"/>
      <c r="S210" s="7" t="str">
        <f aca="false">IF(Q210="Yes",R210-B210,"")</f>
        <v/>
      </c>
      <c r="T210" s="6"/>
      <c r="U210" s="7" t="n">
        <v>0</v>
      </c>
      <c r="V210" s="7" t="n">
        <v>0</v>
      </c>
      <c r="W210" s="7" t="n">
        <v>0</v>
      </c>
      <c r="X210" s="7" t="n">
        <v>0</v>
      </c>
      <c r="Y210" s="10" t="str">
        <f aca="false">IF(Q210="Yes",IFERROR(W210/V210,"-"),"")</f>
        <v/>
      </c>
      <c r="Z210" s="10" t="str">
        <f aca="false">IF(Q210="Yes",IFERROR(X210/V210,"-"),"")</f>
        <v/>
      </c>
      <c r="AA210" s="7" t="n">
        <v>0</v>
      </c>
    </row>
    <row r="211" customFormat="false" ht="15" hidden="false" customHeight="false" outlineLevel="0" collapsed="false">
      <c r="A211" s="6" t="s">
        <v>311</v>
      </c>
      <c r="B211" s="22" t="n">
        <v>46281</v>
      </c>
      <c r="C211" s="6" t="str">
        <f aca="false">TEXT(B211,"yyyy-mm")</f>
        <v>2026-09</v>
      </c>
      <c r="D211" s="6" t="s">
        <v>52</v>
      </c>
      <c r="E211" s="6" t="s">
        <v>214</v>
      </c>
      <c r="F211" s="22" t="n">
        <v>46293</v>
      </c>
      <c r="G211" s="7" t="n">
        <f aca="false">Summary!$C$5-B211</f>
        <v>39</v>
      </c>
      <c r="H211" s="7" t="n">
        <v>5610.55</v>
      </c>
      <c r="I211" s="7" t="n">
        <v>7597</v>
      </c>
      <c r="J211" s="7" t="n">
        <v>95</v>
      </c>
      <c r="K211" s="7" t="n">
        <v>2815</v>
      </c>
      <c r="L211" s="10" t="n">
        <f aca="false">IFERROR(J211/I211,"-")</f>
        <v>0.0125049361590101</v>
      </c>
      <c r="M211" s="10" t="n">
        <f aca="false">IFERROR(K211/I211,"-")</f>
        <v>0.370541003027511</v>
      </c>
      <c r="N211" s="7" t="n">
        <f aca="false">IFERROR(H211/I211*1000,"-")</f>
        <v>738.521784915098</v>
      </c>
      <c r="O211" s="7" t="n">
        <v>1</v>
      </c>
      <c r="P211" s="7" t="n">
        <f aca="false">IFERROR(H211/O211,"-")</f>
        <v>5610.55</v>
      </c>
      <c r="Q211" s="6" t="s">
        <v>100</v>
      </c>
      <c r="R211" s="22" t="n">
        <v>46293</v>
      </c>
      <c r="S211" s="7" t="n">
        <f aca="false">IF(Q211="Yes",R211-B211,"")</f>
        <v>12</v>
      </c>
      <c r="T211" s="6" t="s">
        <v>53</v>
      </c>
      <c r="U211" s="7" t="n">
        <v>79973.25</v>
      </c>
      <c r="V211" s="7" t="n">
        <v>601027</v>
      </c>
      <c r="W211" s="7" t="n">
        <v>6841</v>
      </c>
      <c r="X211" s="7" t="n">
        <v>159372</v>
      </c>
      <c r="Y211" s="10" t="n">
        <f aca="false">IF(Q211="Yes",IFERROR(W211/V211,"-"),"")</f>
        <v>0.0113821841614437</v>
      </c>
      <c r="Z211" s="10" t="n">
        <f aca="false">IF(Q211="Yes",IFERROR(X211/V211,"-"),"")</f>
        <v>0.265166123984447</v>
      </c>
      <c r="AA211" s="7" t="n">
        <v>8</v>
      </c>
    </row>
    <row r="212" customFormat="false" ht="15" hidden="false" customHeight="false" outlineLevel="0" collapsed="false">
      <c r="A212" s="6" t="s">
        <v>312</v>
      </c>
      <c r="B212" s="22" t="n">
        <v>46281</v>
      </c>
      <c r="C212" s="6" t="str">
        <f aca="false">TEXT(B212,"yyyy-mm")</f>
        <v>2026-09</v>
      </c>
      <c r="D212" s="6" t="s">
        <v>52</v>
      </c>
      <c r="E212" s="6" t="s">
        <v>214</v>
      </c>
      <c r="F212" s="22" t="n">
        <v>46286</v>
      </c>
      <c r="G212" s="7" t="n">
        <f aca="false">Summary!$C$5-B212</f>
        <v>39</v>
      </c>
      <c r="H212" s="7" t="n">
        <v>4057.13</v>
      </c>
      <c r="I212" s="7" t="n">
        <v>6976</v>
      </c>
      <c r="J212" s="7" t="n">
        <v>95</v>
      </c>
      <c r="K212" s="7" t="n">
        <v>1872</v>
      </c>
      <c r="L212" s="10" t="n">
        <f aca="false">IFERROR(J212/I212,"-")</f>
        <v>0.013618119266055</v>
      </c>
      <c r="M212" s="10" t="n">
        <f aca="false">IFERROR(K212/I212,"-")</f>
        <v>0.268348623853211</v>
      </c>
      <c r="N212" s="7" t="n">
        <f aca="false">IFERROR(H212/I212*1000,"-")</f>
        <v>581.584002293578</v>
      </c>
      <c r="O212" s="7" t="n">
        <v>0</v>
      </c>
      <c r="P212" s="7" t="str">
        <f aca="false">IFERROR(H212/O212,"-")</f>
        <v>-</v>
      </c>
      <c r="Q212" s="6" t="s">
        <v>100</v>
      </c>
      <c r="R212" s="22" t="n">
        <v>46286</v>
      </c>
      <c r="S212" s="7" t="n">
        <f aca="false">IF(Q212="Yes",R212-B212,"")</f>
        <v>5</v>
      </c>
      <c r="T212" s="6" t="s">
        <v>53</v>
      </c>
      <c r="U212" s="7" t="n">
        <v>242324.74</v>
      </c>
      <c r="V212" s="7" t="n">
        <v>924052</v>
      </c>
      <c r="W212" s="7" t="n">
        <v>11209</v>
      </c>
      <c r="X212" s="7" t="n">
        <v>175997</v>
      </c>
      <c r="Y212" s="10" t="n">
        <f aca="false">IF(Q212="Yes",IFERROR(W212/V212,"-"),"")</f>
        <v>0.0121302697250804</v>
      </c>
      <c r="Z212" s="10" t="n">
        <f aca="false">IF(Q212="Yes",IFERROR(X212/V212,"-"),"")</f>
        <v>0.190462225069585</v>
      </c>
      <c r="AA212" s="7" t="n">
        <v>24</v>
      </c>
    </row>
    <row r="213" customFormat="false" ht="15" hidden="false" customHeight="false" outlineLevel="0" collapsed="false">
      <c r="A213" s="6" t="s">
        <v>313</v>
      </c>
      <c r="B213" s="22" t="n">
        <v>46281</v>
      </c>
      <c r="C213" s="6" t="str">
        <f aca="false">TEXT(B213,"yyyy-mm")</f>
        <v>2026-09</v>
      </c>
      <c r="D213" s="6" t="s">
        <v>52</v>
      </c>
      <c r="E213" s="6" t="s">
        <v>214</v>
      </c>
      <c r="F213" s="22" t="n">
        <v>46285</v>
      </c>
      <c r="G213" s="7" t="n">
        <f aca="false">Summary!$C$5-B213</f>
        <v>39</v>
      </c>
      <c r="H213" s="7" t="n">
        <v>2042.09</v>
      </c>
      <c r="I213" s="7" t="n">
        <v>7469</v>
      </c>
      <c r="J213" s="7" t="n">
        <v>65</v>
      </c>
      <c r="K213" s="7" t="n">
        <v>2098</v>
      </c>
      <c r="L213" s="10" t="n">
        <f aca="false">IFERROR(J213/I213,"-")</f>
        <v>0.00870263756861695</v>
      </c>
      <c r="M213" s="10" t="n">
        <f aca="false">IFERROR(K213/I213,"-")</f>
        <v>0.28089436336859</v>
      </c>
      <c r="N213" s="7" t="n">
        <f aca="false">IFERROR(H213/I213*1000,"-")</f>
        <v>273.408756192261</v>
      </c>
      <c r="O213" s="7" t="n">
        <v>1</v>
      </c>
      <c r="P213" s="7" t="n">
        <f aca="false">IFERROR(H213/O213,"-")</f>
        <v>2042.09</v>
      </c>
      <c r="Q213" s="6" t="s">
        <v>90</v>
      </c>
      <c r="R213" s="22"/>
      <c r="S213" s="7" t="str">
        <f aca="false">IF(Q213="Yes",R213-B213,"")</f>
        <v/>
      </c>
      <c r="T213" s="6"/>
      <c r="U213" s="7" t="n">
        <v>0</v>
      </c>
      <c r="V213" s="7" t="n">
        <v>0</v>
      </c>
      <c r="W213" s="7" t="n">
        <v>0</v>
      </c>
      <c r="X213" s="7" t="n">
        <v>0</v>
      </c>
      <c r="Y213" s="10" t="str">
        <f aca="false">IF(Q213="Yes",IFERROR(W213/V213,"-"),"")</f>
        <v/>
      </c>
      <c r="Z213" s="10" t="str">
        <f aca="false">IF(Q213="Yes",IFERROR(X213/V213,"-"),"")</f>
        <v/>
      </c>
      <c r="AA213" s="7" t="n">
        <v>0</v>
      </c>
    </row>
    <row r="214" customFormat="false" ht="15" hidden="false" customHeight="false" outlineLevel="0" collapsed="false">
      <c r="A214" s="6" t="s">
        <v>314</v>
      </c>
      <c r="B214" s="22" t="n">
        <v>46281</v>
      </c>
      <c r="C214" s="6" t="str">
        <f aca="false">TEXT(B214,"yyyy-mm")</f>
        <v>2026-09</v>
      </c>
      <c r="D214" s="6" t="s">
        <v>52</v>
      </c>
      <c r="E214" s="6" t="s">
        <v>214</v>
      </c>
      <c r="F214" s="22" t="n">
        <v>46283</v>
      </c>
      <c r="G214" s="7" t="n">
        <f aca="false">Summary!$C$5-B214</f>
        <v>39</v>
      </c>
      <c r="H214" s="7" t="n">
        <v>556.62</v>
      </c>
      <c r="I214" s="7" t="n">
        <v>1195</v>
      </c>
      <c r="J214" s="7" t="n">
        <v>2</v>
      </c>
      <c r="K214" s="7" t="n">
        <v>184</v>
      </c>
      <c r="L214" s="10" t="n">
        <f aca="false">IFERROR(J214/I214,"-")</f>
        <v>0.00167364016736402</v>
      </c>
      <c r="M214" s="10" t="n">
        <f aca="false">IFERROR(K214/I214,"-")</f>
        <v>0.15397489539749</v>
      </c>
      <c r="N214" s="7" t="n">
        <f aca="false">IFERROR(H214/I214*1000,"-")</f>
        <v>465.790794979079</v>
      </c>
      <c r="O214" s="7" t="n">
        <v>0</v>
      </c>
      <c r="P214" s="7" t="str">
        <f aca="false">IFERROR(H214/O214,"-")</f>
        <v>-</v>
      </c>
      <c r="Q214" s="6" t="s">
        <v>90</v>
      </c>
      <c r="R214" s="22"/>
      <c r="S214" s="7" t="str">
        <f aca="false">IF(Q214="Yes",R214-B214,"")</f>
        <v/>
      </c>
      <c r="T214" s="6"/>
      <c r="U214" s="7" t="n">
        <v>0</v>
      </c>
      <c r="V214" s="7" t="n">
        <v>0</v>
      </c>
      <c r="W214" s="7" t="n">
        <v>0</v>
      </c>
      <c r="X214" s="7" t="n">
        <v>0</v>
      </c>
      <c r="Y214" s="10" t="str">
        <f aca="false">IF(Q214="Yes",IFERROR(W214/V214,"-"),"")</f>
        <v/>
      </c>
      <c r="Z214" s="10" t="str">
        <f aca="false">IF(Q214="Yes",IFERROR(X214/V214,"-"),"")</f>
        <v/>
      </c>
      <c r="AA214" s="7" t="n">
        <v>0</v>
      </c>
    </row>
    <row r="215" customFormat="false" ht="15" hidden="false" customHeight="false" outlineLevel="0" collapsed="false">
      <c r="A215" s="6" t="s">
        <v>315</v>
      </c>
      <c r="B215" s="22" t="n">
        <v>46286</v>
      </c>
      <c r="C215" s="6" t="str">
        <f aca="false">TEXT(B215,"yyyy-mm")</f>
        <v>2026-09</v>
      </c>
      <c r="D215" s="6" t="s">
        <v>52</v>
      </c>
      <c r="E215" s="6" t="s">
        <v>214</v>
      </c>
      <c r="F215" s="22" t="n">
        <v>46300</v>
      </c>
      <c r="G215" s="7" t="n">
        <f aca="false">Summary!$C$5-B215</f>
        <v>34</v>
      </c>
      <c r="H215" s="7" t="n">
        <v>8782.94</v>
      </c>
      <c r="I215" s="7" t="n">
        <v>16506</v>
      </c>
      <c r="J215" s="7" t="n">
        <v>184</v>
      </c>
      <c r="K215" s="7" t="n">
        <v>6735</v>
      </c>
      <c r="L215" s="10" t="n">
        <f aca="false">IFERROR(J215/I215,"-")</f>
        <v>0.0111474615291409</v>
      </c>
      <c r="M215" s="10" t="n">
        <f aca="false">IFERROR(K215/I215,"-")</f>
        <v>0.408033442384587</v>
      </c>
      <c r="N215" s="7" t="n">
        <f aca="false">IFERROR(H215/I215*1000,"-")</f>
        <v>532.105900884527</v>
      </c>
      <c r="O215" s="7" t="n">
        <v>2</v>
      </c>
      <c r="P215" s="7" t="n">
        <f aca="false">IFERROR(H215/O215,"-")</f>
        <v>4391.47</v>
      </c>
      <c r="Q215" s="6" t="s">
        <v>100</v>
      </c>
      <c r="R215" s="22" t="n">
        <v>46300</v>
      </c>
      <c r="S215" s="7" t="n">
        <f aca="false">IF(Q215="Yes",R215-B215,"")</f>
        <v>14</v>
      </c>
      <c r="T215" s="6" t="s">
        <v>53</v>
      </c>
      <c r="U215" s="7" t="n">
        <v>53706.06</v>
      </c>
      <c r="V215" s="7" t="n">
        <v>202402</v>
      </c>
      <c r="W215" s="7" t="n">
        <v>1438</v>
      </c>
      <c r="X215" s="7" t="n">
        <v>73050</v>
      </c>
      <c r="Y215" s="10" t="n">
        <f aca="false">IF(Q215="Yes",IFERROR(W215/V215,"-"),"")</f>
        <v>0.0071046728787265</v>
      </c>
      <c r="Z215" s="10" t="n">
        <f aca="false">IF(Q215="Yes",IFERROR(X215/V215,"-"),"")</f>
        <v>0.360915405974249</v>
      </c>
      <c r="AA215" s="7" t="n">
        <v>6</v>
      </c>
    </row>
    <row r="216" customFormat="false" ht="15" hidden="false" customHeight="false" outlineLevel="0" collapsed="false">
      <c r="A216" s="6" t="s">
        <v>316</v>
      </c>
      <c r="B216" s="22" t="n">
        <v>46286</v>
      </c>
      <c r="C216" s="6" t="str">
        <f aca="false">TEXT(B216,"yyyy-mm")</f>
        <v>2026-09</v>
      </c>
      <c r="D216" s="6" t="s">
        <v>52</v>
      </c>
      <c r="E216" s="6" t="s">
        <v>214</v>
      </c>
      <c r="F216" s="22" t="n">
        <v>46293</v>
      </c>
      <c r="G216" s="7" t="n">
        <f aca="false">Summary!$C$5-B216</f>
        <v>34</v>
      </c>
      <c r="H216" s="7" t="n">
        <v>3839.6</v>
      </c>
      <c r="I216" s="7" t="n">
        <v>10997</v>
      </c>
      <c r="J216" s="7" t="n">
        <v>121</v>
      </c>
      <c r="K216" s="7" t="n">
        <v>4478</v>
      </c>
      <c r="L216" s="10" t="n">
        <f aca="false">IFERROR(J216/I216,"-")</f>
        <v>0.011003000818405</v>
      </c>
      <c r="M216" s="10" t="n">
        <f aca="false">IFERROR(K216/I216,"-")</f>
        <v>0.407201964172047</v>
      </c>
      <c r="N216" s="7" t="n">
        <f aca="false">IFERROR(H216/I216*1000,"-")</f>
        <v>349.149768118578</v>
      </c>
      <c r="O216" s="7" t="n">
        <v>1</v>
      </c>
      <c r="P216" s="7" t="n">
        <f aca="false">IFERROR(H216/O216,"-")</f>
        <v>3839.6</v>
      </c>
      <c r="Q216" s="6" t="s">
        <v>90</v>
      </c>
      <c r="R216" s="22"/>
      <c r="S216" s="7" t="str">
        <f aca="false">IF(Q216="Yes",R216-B216,"")</f>
        <v/>
      </c>
      <c r="T216" s="6"/>
      <c r="U216" s="7" t="n">
        <v>0</v>
      </c>
      <c r="V216" s="7" t="n">
        <v>0</v>
      </c>
      <c r="W216" s="7" t="n">
        <v>0</v>
      </c>
      <c r="X216" s="7" t="n">
        <v>0</v>
      </c>
      <c r="Y216" s="10" t="str">
        <f aca="false">IF(Q216="Yes",IFERROR(W216/V216,"-"),"")</f>
        <v/>
      </c>
      <c r="Z216" s="10" t="str">
        <f aca="false">IF(Q216="Yes",IFERROR(X216/V216,"-"),"")</f>
        <v/>
      </c>
      <c r="AA216" s="7" t="n">
        <v>0</v>
      </c>
    </row>
    <row r="217" customFormat="false" ht="15" hidden="false" customHeight="false" outlineLevel="0" collapsed="false">
      <c r="A217" s="6" t="s">
        <v>317</v>
      </c>
      <c r="B217" s="22" t="n">
        <v>46286</v>
      </c>
      <c r="C217" s="6" t="str">
        <f aca="false">TEXT(B217,"yyyy-mm")</f>
        <v>2026-09</v>
      </c>
      <c r="D217" s="6" t="s">
        <v>52</v>
      </c>
      <c r="E217" s="6" t="s">
        <v>214</v>
      </c>
      <c r="F217" s="22" t="n">
        <v>46293</v>
      </c>
      <c r="G217" s="7" t="n">
        <f aca="false">Summary!$C$5-B217</f>
        <v>34</v>
      </c>
      <c r="H217" s="7" t="n">
        <v>3679.12</v>
      </c>
      <c r="I217" s="7" t="n">
        <v>7591</v>
      </c>
      <c r="J217" s="7" t="n">
        <v>94</v>
      </c>
      <c r="K217" s="7" t="n">
        <v>1544</v>
      </c>
      <c r="L217" s="10" t="n">
        <f aca="false">IFERROR(J217/I217,"-")</f>
        <v>0.0123830852325122</v>
      </c>
      <c r="M217" s="10" t="n">
        <f aca="false">IFERROR(K217/I217,"-")</f>
        <v>0.203398761691477</v>
      </c>
      <c r="N217" s="7" t="n">
        <f aca="false">IFERROR(H217/I217*1000,"-")</f>
        <v>484.668686602556</v>
      </c>
      <c r="O217" s="7" t="n">
        <v>5</v>
      </c>
      <c r="P217" s="7" t="n">
        <f aca="false">IFERROR(H217/O217,"-")</f>
        <v>735.824</v>
      </c>
      <c r="Q217" s="6" t="s">
        <v>100</v>
      </c>
      <c r="R217" s="22" t="n">
        <v>46293</v>
      </c>
      <c r="S217" s="7" t="n">
        <f aca="false">IF(Q217="Yes",R217-B217,"")</f>
        <v>7</v>
      </c>
      <c r="T217" s="6" t="s">
        <v>53</v>
      </c>
      <c r="U217" s="7" t="n">
        <v>38906.1</v>
      </c>
      <c r="V217" s="7" t="n">
        <v>127183</v>
      </c>
      <c r="W217" s="7" t="n">
        <v>459</v>
      </c>
      <c r="X217" s="7" t="n">
        <v>15348</v>
      </c>
      <c r="Y217" s="10" t="n">
        <f aca="false">IF(Q217="Yes",IFERROR(W217/V217,"-"),"")</f>
        <v>0.00360897289732118</v>
      </c>
      <c r="Z217" s="10" t="n">
        <f aca="false">IF(Q217="Yes",IFERROR(X217/V217,"-"),"")</f>
        <v>0.120676505507812</v>
      </c>
      <c r="AA217" s="7" t="n">
        <v>3</v>
      </c>
    </row>
    <row r="218" customFormat="false" ht="15" hidden="false" customHeight="false" outlineLevel="0" collapsed="false">
      <c r="A218" s="6" t="s">
        <v>318</v>
      </c>
      <c r="B218" s="22" t="n">
        <v>46286</v>
      </c>
      <c r="C218" s="6" t="str">
        <f aca="false">TEXT(B218,"yyyy-mm")</f>
        <v>2026-09</v>
      </c>
      <c r="D218" s="6" t="s">
        <v>52</v>
      </c>
      <c r="E218" s="6" t="s">
        <v>214</v>
      </c>
      <c r="F218" s="22" t="n">
        <v>46293</v>
      </c>
      <c r="G218" s="7" t="n">
        <f aca="false">Summary!$C$5-B218</f>
        <v>34</v>
      </c>
      <c r="H218" s="7" t="n">
        <v>3313.06</v>
      </c>
      <c r="I218" s="7" t="n">
        <v>7285</v>
      </c>
      <c r="J218" s="7" t="n">
        <v>59</v>
      </c>
      <c r="K218" s="7" t="n">
        <v>3115</v>
      </c>
      <c r="L218" s="10" t="n">
        <f aca="false">IFERROR(J218/I218,"-")</f>
        <v>0.00809883321894303</v>
      </c>
      <c r="M218" s="10" t="n">
        <f aca="false">IFERROR(K218/I218,"-")</f>
        <v>0.427590940288264</v>
      </c>
      <c r="N218" s="7" t="n">
        <f aca="false">IFERROR(H218/I218*1000,"-")</f>
        <v>454.778311599176</v>
      </c>
      <c r="O218" s="7" t="n">
        <v>1</v>
      </c>
      <c r="P218" s="7" t="n">
        <f aca="false">IFERROR(H218/O218,"-")</f>
        <v>3313.06</v>
      </c>
      <c r="Q218" s="6" t="s">
        <v>90</v>
      </c>
      <c r="R218" s="22"/>
      <c r="S218" s="7" t="str">
        <f aca="false">IF(Q218="Yes",R218-B218,"")</f>
        <v/>
      </c>
      <c r="T218" s="6"/>
      <c r="U218" s="7" t="n">
        <v>0</v>
      </c>
      <c r="V218" s="7" t="n">
        <v>0</v>
      </c>
      <c r="W218" s="7" t="n">
        <v>0</v>
      </c>
      <c r="X218" s="7" t="n">
        <v>0</v>
      </c>
      <c r="Y218" s="10" t="str">
        <f aca="false">IF(Q218="Yes",IFERROR(W218/V218,"-"),"")</f>
        <v/>
      </c>
      <c r="Z218" s="10" t="str">
        <f aca="false">IF(Q218="Yes",IFERROR(X218/V218,"-"),"")</f>
        <v/>
      </c>
      <c r="AA218" s="7" t="n">
        <v>0</v>
      </c>
    </row>
    <row r="219" customFormat="false" ht="15" hidden="false" customHeight="false" outlineLevel="0" collapsed="false">
      <c r="A219" s="6" t="s">
        <v>319</v>
      </c>
      <c r="B219" s="22" t="n">
        <v>46293</v>
      </c>
      <c r="C219" s="6" t="str">
        <f aca="false">TEXT(B219,"yyyy-mm")</f>
        <v>2026-09</v>
      </c>
      <c r="D219" s="6" t="s">
        <v>52</v>
      </c>
      <c r="E219" s="6" t="s">
        <v>238</v>
      </c>
      <c r="F219" s="22" t="n">
        <v>46307</v>
      </c>
      <c r="G219" s="7" t="n">
        <f aca="false">Summary!$C$5-B219</f>
        <v>27</v>
      </c>
      <c r="H219" s="7" t="n">
        <v>2641.25</v>
      </c>
      <c r="I219" s="7" t="n">
        <v>3581</v>
      </c>
      <c r="J219" s="7" t="n">
        <v>29</v>
      </c>
      <c r="K219" s="7" t="n">
        <v>384</v>
      </c>
      <c r="L219" s="10" t="n">
        <f aca="false">IFERROR(J219/I219,"-")</f>
        <v>0.00809829656520525</v>
      </c>
      <c r="M219" s="10" t="n">
        <f aca="false">IFERROR(K219/I219,"-")</f>
        <v>0.107232616587545</v>
      </c>
      <c r="N219" s="7" t="n">
        <f aca="false">IFERROR(H219/I219*1000,"-")</f>
        <v>737.573303546495</v>
      </c>
      <c r="O219" s="7" t="n">
        <v>1</v>
      </c>
      <c r="P219" s="7" t="n">
        <f aca="false">IFERROR(H219/O219,"-")</f>
        <v>2641.25</v>
      </c>
      <c r="Q219" s="6" t="s">
        <v>90</v>
      </c>
      <c r="R219" s="22"/>
      <c r="S219" s="7" t="str">
        <f aca="false">IF(Q219="Yes",R219-B219,"")</f>
        <v/>
      </c>
      <c r="T219" s="6"/>
      <c r="U219" s="7" t="n">
        <v>0</v>
      </c>
      <c r="V219" s="7" t="n">
        <v>0</v>
      </c>
      <c r="W219" s="7" t="n">
        <v>0</v>
      </c>
      <c r="X219" s="7" t="n">
        <v>0</v>
      </c>
      <c r="Y219" s="10" t="str">
        <f aca="false">IF(Q219="Yes",IFERROR(W219/V219,"-"),"")</f>
        <v/>
      </c>
      <c r="Z219" s="10" t="str">
        <f aca="false">IF(Q219="Yes",IFERROR(X219/V219,"-"),"")</f>
        <v/>
      </c>
      <c r="AA219" s="7" t="n">
        <v>0</v>
      </c>
    </row>
    <row r="220" customFormat="false" ht="15" hidden="false" customHeight="false" outlineLevel="0" collapsed="false">
      <c r="A220" s="6" t="s">
        <v>320</v>
      </c>
      <c r="B220" s="22" t="n">
        <v>46293</v>
      </c>
      <c r="C220" s="6" t="str">
        <f aca="false">TEXT(B220,"yyyy-mm")</f>
        <v>2026-09</v>
      </c>
      <c r="D220" s="6" t="s">
        <v>52</v>
      </c>
      <c r="E220" s="6" t="s">
        <v>238</v>
      </c>
      <c r="F220" s="22" t="n">
        <v>46307</v>
      </c>
      <c r="G220" s="7" t="n">
        <f aca="false">Summary!$C$5-B220</f>
        <v>27</v>
      </c>
      <c r="H220" s="7" t="n">
        <v>6789.09</v>
      </c>
      <c r="I220" s="7" t="n">
        <v>11170</v>
      </c>
      <c r="J220" s="7" t="n">
        <v>85</v>
      </c>
      <c r="K220" s="7" t="n">
        <v>1726</v>
      </c>
      <c r="L220" s="10" t="n">
        <f aca="false">IFERROR(J220/I220,"-")</f>
        <v>0.00760966875559535</v>
      </c>
      <c r="M220" s="10" t="n">
        <f aca="false">IFERROR(K220/I220,"-")</f>
        <v>0.154521038495971</v>
      </c>
      <c r="N220" s="7" t="n">
        <f aca="false">IFERROR(H220/I220*1000,"-")</f>
        <v>607.796777081468</v>
      </c>
      <c r="O220" s="7" t="n">
        <v>0</v>
      </c>
      <c r="P220" s="7" t="str">
        <f aca="false">IFERROR(H220/O220,"-")</f>
        <v>-</v>
      </c>
      <c r="Q220" s="6" t="s">
        <v>90</v>
      </c>
      <c r="R220" s="22"/>
      <c r="S220" s="7" t="str">
        <f aca="false">IF(Q220="Yes",R220-B220,"")</f>
        <v/>
      </c>
      <c r="T220" s="6"/>
      <c r="U220" s="7" t="n">
        <v>0</v>
      </c>
      <c r="V220" s="7" t="n">
        <v>0</v>
      </c>
      <c r="W220" s="7" t="n">
        <v>0</v>
      </c>
      <c r="X220" s="7" t="n">
        <v>0</v>
      </c>
      <c r="Y220" s="10" t="str">
        <f aca="false">IF(Q220="Yes",IFERROR(W220/V220,"-"),"")</f>
        <v/>
      </c>
      <c r="Z220" s="10" t="str">
        <f aca="false">IF(Q220="Yes",IFERROR(X220/V220,"-"),"")</f>
        <v/>
      </c>
      <c r="AA220" s="7" t="n">
        <v>0</v>
      </c>
    </row>
    <row r="221" customFormat="false" ht="15" hidden="false" customHeight="false" outlineLevel="0" collapsed="false">
      <c r="A221" s="6" t="s">
        <v>321</v>
      </c>
      <c r="B221" s="22" t="n">
        <v>46293</v>
      </c>
      <c r="C221" s="6" t="str">
        <f aca="false">TEXT(B221,"yyyy-mm")</f>
        <v>2026-09</v>
      </c>
      <c r="D221" s="6" t="s">
        <v>52</v>
      </c>
      <c r="E221" s="6" t="s">
        <v>238</v>
      </c>
      <c r="F221" s="22" t="n">
        <v>46300</v>
      </c>
      <c r="G221" s="7" t="n">
        <f aca="false">Summary!$C$5-B221</f>
        <v>27</v>
      </c>
      <c r="H221" s="7" t="n">
        <v>3791.53</v>
      </c>
      <c r="I221" s="7" t="n">
        <v>6751</v>
      </c>
      <c r="J221" s="7" t="n">
        <v>45</v>
      </c>
      <c r="K221" s="7" t="n">
        <v>1011</v>
      </c>
      <c r="L221" s="10" t="n">
        <f aca="false">IFERROR(J221/I221,"-")</f>
        <v>0.00666567915864316</v>
      </c>
      <c r="M221" s="10" t="n">
        <f aca="false">IFERROR(K221/I221,"-")</f>
        <v>0.149755591764183</v>
      </c>
      <c r="N221" s="7" t="n">
        <f aca="false">IFERROR(H221/I221*1000,"-")</f>
        <v>561.624944452674</v>
      </c>
      <c r="O221" s="7" t="n">
        <v>1</v>
      </c>
      <c r="P221" s="7" t="n">
        <f aca="false">IFERROR(H221/O221,"-")</f>
        <v>3791.53</v>
      </c>
      <c r="Q221" s="6" t="s">
        <v>90</v>
      </c>
      <c r="R221" s="22"/>
      <c r="S221" s="7" t="str">
        <f aca="false">IF(Q221="Yes",R221-B221,"")</f>
        <v/>
      </c>
      <c r="T221" s="6"/>
      <c r="U221" s="7" t="n">
        <v>0</v>
      </c>
      <c r="V221" s="7" t="n">
        <v>0</v>
      </c>
      <c r="W221" s="7" t="n">
        <v>0</v>
      </c>
      <c r="X221" s="7" t="n">
        <v>0</v>
      </c>
      <c r="Y221" s="10" t="str">
        <f aca="false">IF(Q221="Yes",IFERROR(W221/V221,"-"),"")</f>
        <v/>
      </c>
      <c r="Z221" s="10" t="str">
        <f aca="false">IF(Q221="Yes",IFERROR(X221/V221,"-"),"")</f>
        <v/>
      </c>
      <c r="AA221" s="7" t="n">
        <v>0</v>
      </c>
    </row>
    <row r="222" customFormat="false" ht="15" hidden="false" customHeight="false" outlineLevel="0" collapsed="false">
      <c r="A222" s="6" t="s">
        <v>322</v>
      </c>
      <c r="B222" s="22" t="n">
        <v>46293</v>
      </c>
      <c r="C222" s="6" t="str">
        <f aca="false">TEXT(B222,"yyyy-mm")</f>
        <v>2026-09</v>
      </c>
      <c r="D222" s="6" t="s">
        <v>52</v>
      </c>
      <c r="E222" s="6" t="s">
        <v>238</v>
      </c>
      <c r="F222" s="22" t="n">
        <v>46300</v>
      </c>
      <c r="G222" s="7" t="n">
        <f aca="false">Summary!$C$5-B222</f>
        <v>27</v>
      </c>
      <c r="H222" s="7" t="n">
        <v>3293.37</v>
      </c>
      <c r="I222" s="7" t="n">
        <v>4623</v>
      </c>
      <c r="J222" s="7" t="n">
        <v>45</v>
      </c>
      <c r="K222" s="7" t="n">
        <v>468</v>
      </c>
      <c r="L222" s="10" t="n">
        <f aca="false">IFERROR(J222/I222,"-")</f>
        <v>0.00973393900064893</v>
      </c>
      <c r="M222" s="10" t="n">
        <f aca="false">IFERROR(K222/I222,"-")</f>
        <v>0.101232965606749</v>
      </c>
      <c r="N222" s="7" t="n">
        <f aca="false">IFERROR(H222/I222*1000,"-")</f>
        <v>712.388059701492</v>
      </c>
      <c r="O222" s="7" t="n">
        <v>1</v>
      </c>
      <c r="P222" s="7" t="n">
        <f aca="false">IFERROR(H222/O222,"-")</f>
        <v>3293.37</v>
      </c>
      <c r="Q222" s="6" t="s">
        <v>90</v>
      </c>
      <c r="R222" s="22"/>
      <c r="S222" s="7" t="str">
        <f aca="false">IF(Q222="Yes",R222-B222,"")</f>
        <v/>
      </c>
      <c r="T222" s="6"/>
      <c r="U222" s="7" t="n">
        <v>0</v>
      </c>
      <c r="V222" s="7" t="n">
        <v>0</v>
      </c>
      <c r="W222" s="7" t="n">
        <v>0</v>
      </c>
      <c r="X222" s="7" t="n">
        <v>0</v>
      </c>
      <c r="Y222" s="10" t="str">
        <f aca="false">IF(Q222="Yes",IFERROR(W222/V222,"-"),"")</f>
        <v/>
      </c>
      <c r="Z222" s="10" t="str">
        <f aca="false">IF(Q222="Yes",IFERROR(X222/V222,"-"),"")</f>
        <v/>
      </c>
      <c r="AA222" s="7" t="n">
        <v>0</v>
      </c>
    </row>
    <row r="223" customFormat="false" ht="15" hidden="false" customHeight="false" outlineLevel="0" collapsed="false">
      <c r="A223" s="6" t="s">
        <v>323</v>
      </c>
      <c r="B223" s="22" t="n">
        <v>46293</v>
      </c>
      <c r="C223" s="6" t="str">
        <f aca="false">TEXT(B223,"yyyy-mm")</f>
        <v>2026-09</v>
      </c>
      <c r="D223" s="6" t="s">
        <v>52</v>
      </c>
      <c r="E223" s="6" t="s">
        <v>238</v>
      </c>
      <c r="F223" s="22" t="n">
        <v>46307</v>
      </c>
      <c r="G223" s="7" t="n">
        <f aca="false">Summary!$C$5-B223</f>
        <v>27</v>
      </c>
      <c r="H223" s="7" t="n">
        <v>3632.56</v>
      </c>
      <c r="I223" s="7" t="n">
        <v>5516</v>
      </c>
      <c r="J223" s="7" t="n">
        <v>40</v>
      </c>
      <c r="K223" s="7" t="n">
        <v>733</v>
      </c>
      <c r="L223" s="10" t="n">
        <f aca="false">IFERROR(J223/I223,"-")</f>
        <v>0.00725163161711385</v>
      </c>
      <c r="M223" s="10" t="n">
        <f aca="false">IFERROR(K223/I223,"-")</f>
        <v>0.132886149383611</v>
      </c>
      <c r="N223" s="7" t="n">
        <f aca="false">IFERROR(H223/I223*1000,"-")</f>
        <v>658.549673676577</v>
      </c>
      <c r="O223" s="7" t="n">
        <v>0</v>
      </c>
      <c r="P223" s="7" t="str">
        <f aca="false">IFERROR(H223/O223,"-")</f>
        <v>-</v>
      </c>
      <c r="Q223" s="6" t="s">
        <v>90</v>
      </c>
      <c r="R223" s="22"/>
      <c r="S223" s="7" t="str">
        <f aca="false">IF(Q223="Yes",R223-B223,"")</f>
        <v/>
      </c>
      <c r="T223" s="6"/>
      <c r="U223" s="7" t="n">
        <v>0</v>
      </c>
      <c r="V223" s="7" t="n">
        <v>0</v>
      </c>
      <c r="W223" s="7" t="n">
        <v>0</v>
      </c>
      <c r="X223" s="7" t="n">
        <v>0</v>
      </c>
      <c r="Y223" s="10" t="str">
        <f aca="false">IF(Q223="Yes",IFERROR(W223/V223,"-"),"")</f>
        <v/>
      </c>
      <c r="Z223" s="10" t="str">
        <f aca="false">IF(Q223="Yes",IFERROR(X223/V223,"-"),"")</f>
        <v/>
      </c>
      <c r="AA223" s="7" t="n">
        <v>0</v>
      </c>
    </row>
    <row r="224" customFormat="false" ht="15" hidden="false" customHeight="false" outlineLevel="0" collapsed="false">
      <c r="A224" s="6" t="s">
        <v>324</v>
      </c>
      <c r="B224" s="22" t="n">
        <v>46293</v>
      </c>
      <c r="C224" s="6" t="str">
        <f aca="false">TEXT(B224,"yyyy-mm")</f>
        <v>2026-09</v>
      </c>
      <c r="D224" s="6" t="s">
        <v>52</v>
      </c>
      <c r="E224" s="6" t="s">
        <v>238</v>
      </c>
      <c r="F224" s="22" t="n">
        <v>46300</v>
      </c>
      <c r="G224" s="7" t="n">
        <f aca="false">Summary!$C$5-B224</f>
        <v>27</v>
      </c>
      <c r="H224" s="7" t="n">
        <v>3853.47</v>
      </c>
      <c r="I224" s="7" t="n">
        <v>6455</v>
      </c>
      <c r="J224" s="7" t="n">
        <v>49</v>
      </c>
      <c r="K224" s="7" t="n">
        <v>930</v>
      </c>
      <c r="L224" s="10" t="n">
        <f aca="false">IFERROR(J224/I224,"-")</f>
        <v>0.00759101471727343</v>
      </c>
      <c r="M224" s="10" t="n">
        <f aca="false">IFERROR(K224/I224,"-")</f>
        <v>0.144074360960496</v>
      </c>
      <c r="N224" s="7" t="n">
        <f aca="false">IFERROR(H224/I224*1000,"-")</f>
        <v>596.97443841983</v>
      </c>
      <c r="O224" s="7" t="n">
        <v>0</v>
      </c>
      <c r="P224" s="7" t="str">
        <f aca="false">IFERROR(H224/O224,"-")</f>
        <v>-</v>
      </c>
      <c r="Q224" s="6" t="s">
        <v>90</v>
      </c>
      <c r="R224" s="22"/>
      <c r="S224" s="7" t="str">
        <f aca="false">IF(Q224="Yes",R224-B224,"")</f>
        <v/>
      </c>
      <c r="T224" s="6"/>
      <c r="U224" s="7" t="n">
        <v>0</v>
      </c>
      <c r="V224" s="7" t="n">
        <v>0</v>
      </c>
      <c r="W224" s="7" t="n">
        <v>0</v>
      </c>
      <c r="X224" s="7" t="n">
        <v>0</v>
      </c>
      <c r="Y224" s="10" t="str">
        <f aca="false">IF(Q224="Yes",IFERROR(W224/V224,"-"),"")</f>
        <v/>
      </c>
      <c r="Z224" s="10" t="str">
        <f aca="false">IF(Q224="Yes",IFERROR(X224/V224,"-"),"")</f>
        <v/>
      </c>
      <c r="AA224" s="7" t="n">
        <v>0</v>
      </c>
    </row>
    <row r="225" customFormat="false" ht="15" hidden="false" customHeight="false" outlineLevel="0" collapsed="false">
      <c r="A225" s="6" t="s">
        <v>325</v>
      </c>
      <c r="B225" s="22" t="n">
        <v>46293</v>
      </c>
      <c r="C225" s="6" t="str">
        <f aca="false">TEXT(B225,"yyyy-mm")</f>
        <v>2026-09</v>
      </c>
      <c r="D225" s="6" t="s">
        <v>52</v>
      </c>
      <c r="E225" s="6" t="s">
        <v>238</v>
      </c>
      <c r="F225" s="22" t="n">
        <v>46300</v>
      </c>
      <c r="G225" s="7" t="n">
        <f aca="false">Summary!$C$5-B225</f>
        <v>27</v>
      </c>
      <c r="H225" s="7" t="n">
        <v>7024.9</v>
      </c>
      <c r="I225" s="7" t="n">
        <v>15841</v>
      </c>
      <c r="J225" s="7" t="n">
        <v>103</v>
      </c>
      <c r="K225" s="7" t="n">
        <v>3325</v>
      </c>
      <c r="L225" s="10" t="n">
        <f aca="false">IFERROR(J225/I225,"-")</f>
        <v>0.00650211476548198</v>
      </c>
      <c r="M225" s="10" t="n">
        <f aca="false">IFERROR(K225/I225,"-")</f>
        <v>0.209898365002209</v>
      </c>
      <c r="N225" s="7" t="n">
        <f aca="false">IFERROR(H225/I225*1000,"-")</f>
        <v>443.463165204217</v>
      </c>
      <c r="O225" s="7" t="n">
        <v>3</v>
      </c>
      <c r="P225" s="7" t="n">
        <f aca="false">IFERROR(H225/O225,"-")</f>
        <v>2341.63333333333</v>
      </c>
      <c r="Q225" s="6" t="s">
        <v>90</v>
      </c>
      <c r="R225" s="22"/>
      <c r="S225" s="7" t="str">
        <f aca="false">IF(Q225="Yes",R225-B225,"")</f>
        <v/>
      </c>
      <c r="T225" s="6"/>
      <c r="U225" s="7" t="n">
        <v>0</v>
      </c>
      <c r="V225" s="7" t="n">
        <v>0</v>
      </c>
      <c r="W225" s="7" t="n">
        <v>0</v>
      </c>
      <c r="X225" s="7" t="n">
        <v>0</v>
      </c>
      <c r="Y225" s="10" t="str">
        <f aca="false">IF(Q225="Yes",IFERROR(W225/V225,"-"),"")</f>
        <v/>
      </c>
      <c r="Z225" s="10" t="str">
        <f aca="false">IF(Q225="Yes",IFERROR(X225/V225,"-"),"")</f>
        <v/>
      </c>
      <c r="AA225" s="7" t="n">
        <v>0</v>
      </c>
    </row>
    <row r="226" customFormat="false" ht="15" hidden="false" customHeight="false" outlineLevel="0" collapsed="false">
      <c r="A226" s="6" t="s">
        <v>326</v>
      </c>
      <c r="B226" s="22" t="n">
        <v>46293</v>
      </c>
      <c r="C226" s="6" t="str">
        <f aca="false">TEXT(B226,"yyyy-mm")</f>
        <v>2026-09</v>
      </c>
      <c r="D226" s="6" t="s">
        <v>52</v>
      </c>
      <c r="E226" s="6" t="s">
        <v>327</v>
      </c>
      <c r="F226" s="22" t="n">
        <v>46300</v>
      </c>
      <c r="G226" s="7" t="n">
        <f aca="false">Summary!$C$5-B226</f>
        <v>27</v>
      </c>
      <c r="H226" s="7" t="n">
        <v>4193.16</v>
      </c>
      <c r="I226" s="7" t="n">
        <v>8242</v>
      </c>
      <c r="J226" s="7" t="n">
        <v>61</v>
      </c>
      <c r="K226" s="7" t="n">
        <v>1238</v>
      </c>
      <c r="L226" s="10" t="n">
        <f aca="false">IFERROR(J226/I226,"-")</f>
        <v>0.00740111623392381</v>
      </c>
      <c r="M226" s="10" t="n">
        <f aca="false">IFERROR(K226/I226,"-")</f>
        <v>0.150206260616355</v>
      </c>
      <c r="N226" s="7" t="n">
        <f aca="false">IFERROR(H226/I226*1000,"-")</f>
        <v>508.755156515409</v>
      </c>
      <c r="O226" s="7" t="n">
        <v>0</v>
      </c>
      <c r="P226" s="7" t="str">
        <f aca="false">IFERROR(H226/O226,"-")</f>
        <v>-</v>
      </c>
      <c r="Q226" s="6" t="s">
        <v>90</v>
      </c>
      <c r="R226" s="22"/>
      <c r="S226" s="7" t="str">
        <f aca="false">IF(Q226="Yes",R226-B226,"")</f>
        <v/>
      </c>
      <c r="T226" s="6"/>
      <c r="U226" s="7" t="n">
        <v>0</v>
      </c>
      <c r="V226" s="7" t="n">
        <v>0</v>
      </c>
      <c r="W226" s="7" t="n">
        <v>0</v>
      </c>
      <c r="X226" s="7" t="n">
        <v>0</v>
      </c>
      <c r="Y226" s="10" t="str">
        <f aca="false">IF(Q226="Yes",IFERROR(W226/V226,"-"),"")</f>
        <v/>
      </c>
      <c r="Z226" s="10" t="str">
        <f aca="false">IF(Q226="Yes",IFERROR(X226/V226,"-"),"")</f>
        <v/>
      </c>
      <c r="AA226" s="7" t="n">
        <v>0</v>
      </c>
    </row>
    <row r="227" customFormat="false" ht="15" hidden="false" customHeight="false" outlineLevel="0" collapsed="false">
      <c r="A227" s="6" t="s">
        <v>328</v>
      </c>
      <c r="B227" s="22" t="n">
        <v>46293</v>
      </c>
      <c r="C227" s="6" t="str">
        <f aca="false">TEXT(B227,"yyyy-mm")</f>
        <v>2026-09</v>
      </c>
      <c r="D227" s="6" t="s">
        <v>52</v>
      </c>
      <c r="E227" s="6" t="s">
        <v>327</v>
      </c>
      <c r="F227" s="22" t="n">
        <v>46303</v>
      </c>
      <c r="G227" s="7" t="n">
        <f aca="false">Summary!$C$5-B227</f>
        <v>27</v>
      </c>
      <c r="H227" s="7" t="n">
        <v>5513.88</v>
      </c>
      <c r="I227" s="7" t="n">
        <v>7616</v>
      </c>
      <c r="J227" s="7" t="n">
        <v>99</v>
      </c>
      <c r="K227" s="7" t="n">
        <v>2125</v>
      </c>
      <c r="L227" s="10" t="n">
        <f aca="false">IFERROR(J227/I227,"-")</f>
        <v>0.0129989495798319</v>
      </c>
      <c r="M227" s="10" t="n">
        <f aca="false">IFERROR(K227/I227,"-")</f>
        <v>0.279017857142857</v>
      </c>
      <c r="N227" s="7" t="n">
        <f aca="false">IFERROR(H227/I227*1000,"-")</f>
        <v>723.986344537815</v>
      </c>
      <c r="O227" s="7" t="n">
        <v>3</v>
      </c>
      <c r="P227" s="7" t="n">
        <f aca="false">IFERROR(H227/O227,"-")</f>
        <v>1837.96</v>
      </c>
      <c r="Q227" s="6" t="s">
        <v>100</v>
      </c>
      <c r="R227" s="22" t="n">
        <v>46303</v>
      </c>
      <c r="S227" s="7" t="n">
        <f aca="false">IF(Q227="Yes",R227-B227,"")</f>
        <v>10</v>
      </c>
      <c r="T227" s="6" t="s">
        <v>53</v>
      </c>
      <c r="U227" s="7" t="n">
        <v>25507.34</v>
      </c>
      <c r="V227" s="7" t="n">
        <v>140096</v>
      </c>
      <c r="W227" s="7" t="n">
        <v>1140</v>
      </c>
      <c r="X227" s="7" t="n">
        <v>28811</v>
      </c>
      <c r="Y227" s="10" t="n">
        <f aca="false">IF(Q227="Yes",IFERROR(W227/V227,"-"),"")</f>
        <v>0.00813727729556875</v>
      </c>
      <c r="Z227" s="10" t="n">
        <f aca="false">IF(Q227="Yes",IFERROR(X227/V227,"-"),"")</f>
        <v>0.20565183873915</v>
      </c>
      <c r="AA227" s="7" t="n">
        <v>1</v>
      </c>
    </row>
    <row r="228" customFormat="false" ht="15" hidden="false" customHeight="false" outlineLevel="0" collapsed="false">
      <c r="A228" s="6" t="s">
        <v>329</v>
      </c>
      <c r="B228" s="22" t="n">
        <v>46293</v>
      </c>
      <c r="C228" s="6" t="str">
        <f aca="false">TEXT(B228,"yyyy-mm")</f>
        <v>2026-09</v>
      </c>
      <c r="D228" s="6" t="s">
        <v>52</v>
      </c>
      <c r="E228" s="6" t="s">
        <v>327</v>
      </c>
      <c r="F228" s="22" t="n">
        <v>46303</v>
      </c>
      <c r="G228" s="7" t="n">
        <f aca="false">Summary!$C$5-B228</f>
        <v>27</v>
      </c>
      <c r="H228" s="7" t="n">
        <v>5436.92</v>
      </c>
      <c r="I228" s="7" t="n">
        <v>10368</v>
      </c>
      <c r="J228" s="7" t="n">
        <v>93</v>
      </c>
      <c r="K228" s="7" t="n">
        <v>2889</v>
      </c>
      <c r="L228" s="10" t="n">
        <f aca="false">IFERROR(J228/I228,"-")</f>
        <v>0.00896990740740741</v>
      </c>
      <c r="M228" s="10" t="n">
        <f aca="false">IFERROR(K228/I228,"-")</f>
        <v>0.278645833333333</v>
      </c>
      <c r="N228" s="7" t="n">
        <f aca="false">IFERROR(H228/I228*1000,"-")</f>
        <v>524.394290123457</v>
      </c>
      <c r="O228" s="7" t="n">
        <v>0</v>
      </c>
      <c r="P228" s="7" t="str">
        <f aca="false">IFERROR(H228/O228,"-")</f>
        <v>-</v>
      </c>
      <c r="Q228" s="6" t="s">
        <v>90</v>
      </c>
      <c r="R228" s="22"/>
      <c r="S228" s="7" t="str">
        <f aca="false">IF(Q228="Yes",R228-B228,"")</f>
        <v/>
      </c>
      <c r="T228" s="6"/>
      <c r="U228" s="7" t="n">
        <v>0</v>
      </c>
      <c r="V228" s="7" t="n">
        <v>0</v>
      </c>
      <c r="W228" s="7" t="n">
        <v>0</v>
      </c>
      <c r="X228" s="7" t="n">
        <v>0</v>
      </c>
      <c r="Y228" s="10" t="str">
        <f aca="false">IF(Q228="Yes",IFERROR(W228/V228,"-"),"")</f>
        <v/>
      </c>
      <c r="Z228" s="10" t="str">
        <f aca="false">IF(Q228="Yes",IFERROR(X228/V228,"-"),"")</f>
        <v/>
      </c>
      <c r="AA228" s="7" t="n">
        <v>0</v>
      </c>
    </row>
    <row r="229" customFormat="false" ht="15" hidden="false" customHeight="false" outlineLevel="0" collapsed="false">
      <c r="A229" s="6" t="s">
        <v>330</v>
      </c>
      <c r="B229" s="22" t="n">
        <v>46294</v>
      </c>
      <c r="C229" s="6" t="str">
        <f aca="false">TEXT(B229,"yyyy-mm")</f>
        <v>2026-09</v>
      </c>
      <c r="D229" s="6" t="s">
        <v>52</v>
      </c>
      <c r="E229" s="6" t="s">
        <v>327</v>
      </c>
      <c r="F229" s="22" t="n">
        <v>46300</v>
      </c>
      <c r="G229" s="7" t="n">
        <f aca="false">Summary!$C$5-B229</f>
        <v>26</v>
      </c>
      <c r="H229" s="7" t="n">
        <v>5019.26</v>
      </c>
      <c r="I229" s="7" t="n">
        <v>6798</v>
      </c>
      <c r="J229" s="7" t="n">
        <v>49</v>
      </c>
      <c r="K229" s="7" t="n">
        <v>1417</v>
      </c>
      <c r="L229" s="10" t="n">
        <f aca="false">IFERROR(J229/I229,"-")</f>
        <v>0.00720800235363342</v>
      </c>
      <c r="M229" s="10" t="n">
        <f aca="false">IFERROR(K229/I229,"-")</f>
        <v>0.208443659899971</v>
      </c>
      <c r="N229" s="7" t="n">
        <f aca="false">IFERROR(H229/I229*1000,"-")</f>
        <v>738.343630479553</v>
      </c>
      <c r="O229" s="7" t="n">
        <v>1</v>
      </c>
      <c r="P229" s="7" t="n">
        <f aca="false">IFERROR(H229/O229,"-")</f>
        <v>5019.26</v>
      </c>
      <c r="Q229" s="6" t="s">
        <v>90</v>
      </c>
      <c r="R229" s="22"/>
      <c r="S229" s="7" t="str">
        <f aca="false">IF(Q229="Yes",R229-B229,"")</f>
        <v/>
      </c>
      <c r="T229" s="6"/>
      <c r="U229" s="7" t="n">
        <v>0</v>
      </c>
      <c r="V229" s="7" t="n">
        <v>0</v>
      </c>
      <c r="W229" s="7" t="n">
        <v>0</v>
      </c>
      <c r="X229" s="7" t="n">
        <v>0</v>
      </c>
      <c r="Y229" s="10" t="str">
        <f aca="false">IF(Q229="Yes",IFERROR(W229/V229,"-"),"")</f>
        <v/>
      </c>
      <c r="Z229" s="10" t="str">
        <f aca="false">IF(Q229="Yes",IFERROR(X229/V229,"-"),"")</f>
        <v/>
      </c>
      <c r="AA229" s="7" t="n">
        <v>0</v>
      </c>
    </row>
    <row r="230" customFormat="false" ht="15" hidden="false" customHeight="false" outlineLevel="0" collapsed="false">
      <c r="A230" s="6" t="s">
        <v>331</v>
      </c>
      <c r="B230" s="22" t="n">
        <v>46300</v>
      </c>
      <c r="C230" s="6" t="str">
        <f aca="false">TEXT(B230,"yyyy-mm")</f>
        <v>2026-10</v>
      </c>
      <c r="D230" s="6" t="s">
        <v>52</v>
      </c>
      <c r="E230" s="6" t="s">
        <v>332</v>
      </c>
      <c r="F230" s="22" t="n">
        <v>46310</v>
      </c>
      <c r="G230" s="7" t="n">
        <f aca="false">Summary!$C$5-B230</f>
        <v>20</v>
      </c>
      <c r="H230" s="7" t="n">
        <v>5108.76</v>
      </c>
      <c r="I230" s="7" t="n">
        <v>8162</v>
      </c>
      <c r="J230" s="7" t="n">
        <v>60</v>
      </c>
      <c r="K230" s="7" t="n">
        <v>1109</v>
      </c>
      <c r="L230" s="10" t="n">
        <f aca="false">IFERROR(J230/I230,"-")</f>
        <v>0.00735113942661112</v>
      </c>
      <c r="M230" s="10" t="n">
        <f aca="false">IFERROR(K230/I230,"-")</f>
        <v>0.135873560401862</v>
      </c>
      <c r="N230" s="7" t="n">
        <f aca="false">IFERROR(H230/I230*1000,"-")</f>
        <v>625.920117618231</v>
      </c>
      <c r="O230" s="7" t="n">
        <v>5</v>
      </c>
      <c r="P230" s="7" t="n">
        <f aca="false">IFERROR(H230/O230,"-")</f>
        <v>1021.752</v>
      </c>
      <c r="Q230" s="6" t="s">
        <v>90</v>
      </c>
      <c r="R230" s="22"/>
      <c r="S230" s="7" t="str">
        <f aca="false">IF(Q230="Yes",R230-B230,"")</f>
        <v/>
      </c>
      <c r="T230" s="6"/>
      <c r="U230" s="7" t="n">
        <v>0</v>
      </c>
      <c r="V230" s="7" t="n">
        <v>0</v>
      </c>
      <c r="W230" s="7" t="n">
        <v>0</v>
      </c>
      <c r="X230" s="7" t="n">
        <v>0</v>
      </c>
      <c r="Y230" s="10" t="str">
        <f aca="false">IF(Q230="Yes",IFERROR(W230/V230,"-"),"")</f>
        <v/>
      </c>
      <c r="Z230" s="10" t="str">
        <f aca="false">IF(Q230="Yes",IFERROR(X230/V230,"-"),"")</f>
        <v/>
      </c>
      <c r="AA230" s="7" t="n">
        <v>0</v>
      </c>
    </row>
    <row r="231" customFormat="false" ht="15" hidden="false" customHeight="false" outlineLevel="0" collapsed="false">
      <c r="A231" s="6" t="s">
        <v>333</v>
      </c>
      <c r="B231" s="22" t="n">
        <v>46300</v>
      </c>
      <c r="C231" s="6" t="str">
        <f aca="false">TEXT(B231,"yyyy-mm")</f>
        <v>2026-10</v>
      </c>
      <c r="D231" s="6" t="s">
        <v>52</v>
      </c>
      <c r="E231" s="6" t="s">
        <v>332</v>
      </c>
      <c r="F231" s="22" t="n">
        <v>46314</v>
      </c>
      <c r="G231" s="7" t="n">
        <f aca="false">Summary!$C$5-B231</f>
        <v>20</v>
      </c>
      <c r="H231" s="7" t="n">
        <v>5695.88</v>
      </c>
      <c r="I231" s="7" t="n">
        <v>7037</v>
      </c>
      <c r="J231" s="7" t="n">
        <v>40</v>
      </c>
      <c r="K231" s="7" t="n">
        <v>680</v>
      </c>
      <c r="L231" s="10" t="n">
        <f aca="false">IFERROR(J231/I231,"-")</f>
        <v>0.00568424044337075</v>
      </c>
      <c r="M231" s="10" t="n">
        <f aca="false">IFERROR(K231/I231,"-")</f>
        <v>0.0966320875373028</v>
      </c>
      <c r="N231" s="7" t="n">
        <f aca="false">IFERROR(H231/I231*1000,"-")</f>
        <v>809.418786414665</v>
      </c>
      <c r="O231" s="7" t="n">
        <v>1</v>
      </c>
      <c r="P231" s="7" t="n">
        <f aca="false">IFERROR(H231/O231,"-")</f>
        <v>5695.88</v>
      </c>
      <c r="Q231" s="6" t="s">
        <v>90</v>
      </c>
      <c r="R231" s="22"/>
      <c r="S231" s="7" t="str">
        <f aca="false">IF(Q231="Yes",R231-B231,"")</f>
        <v/>
      </c>
      <c r="T231" s="6"/>
      <c r="U231" s="7" t="n">
        <v>0</v>
      </c>
      <c r="V231" s="7" t="n">
        <v>0</v>
      </c>
      <c r="W231" s="7" t="n">
        <v>0</v>
      </c>
      <c r="X231" s="7" t="n">
        <v>0</v>
      </c>
      <c r="Y231" s="10" t="str">
        <f aca="false">IF(Q231="Yes",IFERROR(W231/V231,"-"),"")</f>
        <v/>
      </c>
      <c r="Z231" s="10" t="str">
        <f aca="false">IF(Q231="Yes",IFERROR(X231/V231,"-"),"")</f>
        <v/>
      </c>
      <c r="AA231" s="7" t="n">
        <v>0</v>
      </c>
    </row>
    <row r="232" customFormat="false" ht="15" hidden="false" customHeight="false" outlineLevel="0" collapsed="false">
      <c r="A232" s="6" t="s">
        <v>334</v>
      </c>
      <c r="B232" s="22" t="n">
        <v>46300</v>
      </c>
      <c r="C232" s="6" t="str">
        <f aca="false">TEXT(B232,"yyyy-mm")</f>
        <v>2026-10</v>
      </c>
      <c r="D232" s="6" t="s">
        <v>52</v>
      </c>
      <c r="E232" s="6" t="s">
        <v>332</v>
      </c>
      <c r="F232" s="22" t="n">
        <v>46314</v>
      </c>
      <c r="G232" s="7" t="n">
        <f aca="false">Summary!$C$5-B232</f>
        <v>20</v>
      </c>
      <c r="H232" s="7" t="n">
        <v>4320.84</v>
      </c>
      <c r="I232" s="7" t="n">
        <v>6030</v>
      </c>
      <c r="J232" s="7" t="n">
        <v>49</v>
      </c>
      <c r="K232" s="7" t="n">
        <v>529</v>
      </c>
      <c r="L232" s="10" t="n">
        <f aca="false">IFERROR(J232/I232,"-")</f>
        <v>0.00812603648424544</v>
      </c>
      <c r="M232" s="10" t="n">
        <f aca="false">IFERROR(K232/I232,"-")</f>
        <v>0.0877280265339967</v>
      </c>
      <c r="N232" s="7" t="n">
        <f aca="false">IFERROR(H232/I232*1000,"-")</f>
        <v>716.557213930348</v>
      </c>
      <c r="O232" s="7" t="n">
        <v>0</v>
      </c>
      <c r="P232" s="7" t="str">
        <f aca="false">IFERROR(H232/O232,"-")</f>
        <v>-</v>
      </c>
      <c r="Q232" s="6" t="s">
        <v>90</v>
      </c>
      <c r="R232" s="22"/>
      <c r="S232" s="7" t="str">
        <f aca="false">IF(Q232="Yes",R232-B232,"")</f>
        <v/>
      </c>
      <c r="T232" s="6"/>
      <c r="U232" s="7" t="n">
        <v>0</v>
      </c>
      <c r="V232" s="7" t="n">
        <v>0</v>
      </c>
      <c r="W232" s="7" t="n">
        <v>0</v>
      </c>
      <c r="X232" s="7" t="n">
        <v>0</v>
      </c>
      <c r="Y232" s="10" t="str">
        <f aca="false">IF(Q232="Yes",IFERROR(W232/V232,"-"),"")</f>
        <v/>
      </c>
      <c r="Z232" s="10" t="str">
        <f aca="false">IF(Q232="Yes",IFERROR(X232/V232,"-"),"")</f>
        <v/>
      </c>
      <c r="AA232" s="7" t="n">
        <v>0</v>
      </c>
    </row>
    <row r="233" customFormat="false" ht="15" hidden="false" customHeight="false" outlineLevel="0" collapsed="false">
      <c r="A233" s="6" t="s">
        <v>335</v>
      </c>
      <c r="B233" s="22" t="n">
        <v>46300</v>
      </c>
      <c r="C233" s="6" t="str">
        <f aca="false">TEXT(B233,"yyyy-mm")</f>
        <v>2026-10</v>
      </c>
      <c r="D233" s="6" t="s">
        <v>52</v>
      </c>
      <c r="E233" s="6" t="s">
        <v>332</v>
      </c>
      <c r="F233" s="22" t="n">
        <v>46307</v>
      </c>
      <c r="G233" s="7" t="n">
        <f aca="false">Summary!$C$5-B233</f>
        <v>20</v>
      </c>
      <c r="H233" s="7" t="n">
        <v>5476.24</v>
      </c>
      <c r="I233" s="7" t="n">
        <v>13039</v>
      </c>
      <c r="J233" s="7" t="n">
        <v>75</v>
      </c>
      <c r="K233" s="7" t="n">
        <v>1990</v>
      </c>
      <c r="L233" s="10" t="n">
        <f aca="false">IFERROR(J233/I233,"-")</f>
        <v>0.00575197484469668</v>
      </c>
      <c r="M233" s="10" t="n">
        <f aca="false">IFERROR(K233/I233,"-")</f>
        <v>0.152619065879285</v>
      </c>
      <c r="N233" s="7" t="n">
        <f aca="false">IFERROR(H233/I233*1000,"-")</f>
        <v>419.98926298029</v>
      </c>
      <c r="O233" s="7" t="n">
        <v>4</v>
      </c>
      <c r="P233" s="7" t="n">
        <f aca="false">IFERROR(H233/O233,"-")</f>
        <v>1369.06</v>
      </c>
      <c r="Q233" s="6" t="s">
        <v>90</v>
      </c>
      <c r="R233" s="22"/>
      <c r="S233" s="7" t="str">
        <f aca="false">IF(Q233="Yes",R233-B233,"")</f>
        <v/>
      </c>
      <c r="T233" s="6"/>
      <c r="U233" s="7" t="n">
        <v>0</v>
      </c>
      <c r="V233" s="7" t="n">
        <v>0</v>
      </c>
      <c r="W233" s="7" t="n">
        <v>0</v>
      </c>
      <c r="X233" s="7" t="n">
        <v>0</v>
      </c>
      <c r="Y233" s="10" t="str">
        <f aca="false">IF(Q233="Yes",IFERROR(W233/V233,"-"),"")</f>
        <v/>
      </c>
      <c r="Z233" s="10" t="str">
        <f aca="false">IF(Q233="Yes",IFERROR(X233/V233,"-"),"")</f>
        <v/>
      </c>
      <c r="AA233" s="7" t="n">
        <v>0</v>
      </c>
    </row>
    <row r="234" customFormat="false" ht="15" hidden="false" customHeight="false" outlineLevel="0" collapsed="false">
      <c r="A234" s="6" t="s">
        <v>336</v>
      </c>
      <c r="B234" s="22" t="n">
        <v>46300</v>
      </c>
      <c r="C234" s="6" t="str">
        <f aca="false">TEXT(B234,"yyyy-mm")</f>
        <v>2026-10</v>
      </c>
      <c r="D234" s="6" t="s">
        <v>52</v>
      </c>
      <c r="E234" s="6" t="s">
        <v>327</v>
      </c>
      <c r="F234" s="22" t="n">
        <v>46307</v>
      </c>
      <c r="G234" s="7" t="n">
        <f aca="false">Summary!$C$5-B234</f>
        <v>20</v>
      </c>
      <c r="H234" s="7" t="n">
        <v>4273.94</v>
      </c>
      <c r="I234" s="7" t="n">
        <v>15500</v>
      </c>
      <c r="J234" s="7" t="n">
        <v>157</v>
      </c>
      <c r="K234" s="7" t="n">
        <v>3753</v>
      </c>
      <c r="L234" s="10" t="n">
        <f aca="false">IFERROR(J234/I234,"-")</f>
        <v>0.0101290322580645</v>
      </c>
      <c r="M234" s="10" t="n">
        <f aca="false">IFERROR(K234/I234,"-")</f>
        <v>0.242129032258065</v>
      </c>
      <c r="N234" s="7" t="n">
        <f aca="false">IFERROR(H234/I234*1000,"-")</f>
        <v>275.738064516129</v>
      </c>
      <c r="O234" s="7" t="n">
        <v>2</v>
      </c>
      <c r="P234" s="7" t="n">
        <f aca="false">IFERROR(H234/O234,"-")</f>
        <v>2136.97</v>
      </c>
      <c r="Q234" s="6" t="s">
        <v>90</v>
      </c>
      <c r="R234" s="22"/>
      <c r="S234" s="7" t="str">
        <f aca="false">IF(Q234="Yes",R234-B234,"")</f>
        <v/>
      </c>
      <c r="T234" s="6"/>
      <c r="U234" s="7" t="n">
        <v>0</v>
      </c>
      <c r="V234" s="7" t="n">
        <v>0</v>
      </c>
      <c r="W234" s="7" t="n">
        <v>0</v>
      </c>
      <c r="X234" s="7" t="n">
        <v>0</v>
      </c>
      <c r="Y234" s="10" t="str">
        <f aca="false">IF(Q234="Yes",IFERROR(W234/V234,"-"),"")</f>
        <v/>
      </c>
      <c r="Z234" s="10" t="str">
        <f aca="false">IF(Q234="Yes",IFERROR(X234/V234,"-"),"")</f>
        <v/>
      </c>
      <c r="AA234" s="7" t="n">
        <v>0</v>
      </c>
    </row>
    <row r="235" customFormat="false" ht="15" hidden="false" customHeight="false" outlineLevel="0" collapsed="false">
      <c r="A235" s="6" t="s">
        <v>337</v>
      </c>
      <c r="B235" s="22" t="n">
        <v>46300</v>
      </c>
      <c r="C235" s="6" t="str">
        <f aca="false">TEXT(B235,"yyyy-mm")</f>
        <v>2026-10</v>
      </c>
      <c r="D235" s="6" t="s">
        <v>52</v>
      </c>
      <c r="E235" s="6" t="s">
        <v>327</v>
      </c>
      <c r="F235" s="22" t="n">
        <v>46320</v>
      </c>
      <c r="G235" s="7" t="n">
        <f aca="false">Summary!$C$5-B235</f>
        <v>20</v>
      </c>
      <c r="H235" s="7" t="n">
        <v>9004.61</v>
      </c>
      <c r="I235" s="7" t="n">
        <v>7857</v>
      </c>
      <c r="J235" s="7" t="n">
        <v>104</v>
      </c>
      <c r="K235" s="7" t="n">
        <v>2112</v>
      </c>
      <c r="L235" s="10" t="n">
        <f aca="false">IFERROR(J235/I235,"-")</f>
        <v>0.0132366043018964</v>
      </c>
      <c r="M235" s="10" t="n">
        <f aca="false">IFERROR(K235/I235,"-")</f>
        <v>0.268804887361588</v>
      </c>
      <c r="N235" s="7" t="n">
        <f aca="false">IFERROR(H235/I235*1000,"-")</f>
        <v>1146.06211022019</v>
      </c>
      <c r="O235" s="7" t="n">
        <v>1</v>
      </c>
      <c r="P235" s="7" t="n">
        <f aca="false">IFERROR(H235/O235,"-")</f>
        <v>9004.61</v>
      </c>
      <c r="Q235" s="6" t="s">
        <v>90</v>
      </c>
      <c r="R235" s="22"/>
      <c r="S235" s="7" t="str">
        <f aca="false">IF(Q235="Yes",R235-B235,"")</f>
        <v/>
      </c>
      <c r="T235" s="6"/>
      <c r="U235" s="7" t="n">
        <v>0</v>
      </c>
      <c r="V235" s="7" t="n">
        <v>0</v>
      </c>
      <c r="W235" s="7" t="n">
        <v>0</v>
      </c>
      <c r="X235" s="7" t="n">
        <v>0</v>
      </c>
      <c r="Y235" s="10" t="str">
        <f aca="false">IF(Q235="Yes",IFERROR(W235/V235,"-"),"")</f>
        <v/>
      </c>
      <c r="Z235" s="10" t="str">
        <f aca="false">IF(Q235="Yes",IFERROR(X235/V235,"-"),"")</f>
        <v/>
      </c>
      <c r="AA235" s="7" t="n">
        <v>0</v>
      </c>
    </row>
    <row r="236" customFormat="false" ht="15" hidden="false" customHeight="false" outlineLevel="0" collapsed="false">
      <c r="A236" s="6" t="s">
        <v>338</v>
      </c>
      <c r="B236" s="22" t="n">
        <v>46300</v>
      </c>
      <c r="C236" s="6" t="str">
        <f aca="false">TEXT(B236,"yyyy-mm")</f>
        <v>2026-10</v>
      </c>
      <c r="D236" s="6" t="s">
        <v>52</v>
      </c>
      <c r="E236" s="6" t="s">
        <v>327</v>
      </c>
      <c r="F236" s="22" t="n">
        <v>46307</v>
      </c>
      <c r="G236" s="7" t="n">
        <f aca="false">Summary!$C$5-B236</f>
        <v>20</v>
      </c>
      <c r="H236" s="7" t="n">
        <v>5603.12</v>
      </c>
      <c r="I236" s="7" t="n">
        <v>8124</v>
      </c>
      <c r="J236" s="7" t="n">
        <v>97</v>
      </c>
      <c r="K236" s="7" t="n">
        <v>1344</v>
      </c>
      <c r="L236" s="10" t="n">
        <f aca="false">IFERROR(J236/I236,"-")</f>
        <v>0.0119399310684392</v>
      </c>
      <c r="M236" s="10" t="n">
        <f aca="false">IFERROR(K236/I236,"-")</f>
        <v>0.165435745937962</v>
      </c>
      <c r="N236" s="7" t="n">
        <f aca="false">IFERROR(H236/I236*1000,"-")</f>
        <v>689.699655342196</v>
      </c>
      <c r="O236" s="7" t="n">
        <v>5</v>
      </c>
      <c r="P236" s="7" t="n">
        <f aca="false">IFERROR(H236/O236,"-")</f>
        <v>1120.624</v>
      </c>
      <c r="Q236" s="6" t="s">
        <v>100</v>
      </c>
      <c r="R236" s="22" t="n">
        <v>46307</v>
      </c>
      <c r="S236" s="7" t="n">
        <f aca="false">IF(Q236="Yes",R236-B236,"")</f>
        <v>7</v>
      </c>
      <c r="T236" s="6" t="s">
        <v>53</v>
      </c>
      <c r="U236" s="7" t="n">
        <v>56113.52</v>
      </c>
      <c r="V236" s="7" t="n">
        <v>118311</v>
      </c>
      <c r="W236" s="7" t="n">
        <v>543</v>
      </c>
      <c r="X236" s="7" t="n">
        <v>10575</v>
      </c>
      <c r="Y236" s="10" t="n">
        <f aca="false">IF(Q236="Yes",IFERROR(W236/V236,"-"),"")</f>
        <v>0.00458959860029921</v>
      </c>
      <c r="Z236" s="10" t="n">
        <f aca="false">IF(Q236="Yes",IFERROR(X236/V236,"-"),"")</f>
        <v>0.0893830666632857</v>
      </c>
      <c r="AA236" s="7" t="n">
        <v>11</v>
      </c>
    </row>
    <row r="237" customFormat="false" ht="15" hidden="false" customHeight="false" outlineLevel="0" collapsed="false">
      <c r="A237" s="6" t="s">
        <v>339</v>
      </c>
      <c r="B237" s="22" t="n">
        <v>46300</v>
      </c>
      <c r="C237" s="6" t="str">
        <f aca="false">TEXT(B237,"yyyy-mm")</f>
        <v>2026-10</v>
      </c>
      <c r="D237" s="6" t="s">
        <v>52</v>
      </c>
      <c r="E237" s="6" t="s">
        <v>327</v>
      </c>
      <c r="F237" s="22" t="n">
        <v>46314</v>
      </c>
      <c r="G237" s="7" t="n">
        <f aca="false">Summary!$C$5-B237</f>
        <v>20</v>
      </c>
      <c r="H237" s="7" t="n">
        <v>9859.98</v>
      </c>
      <c r="I237" s="7" t="n">
        <v>11913</v>
      </c>
      <c r="J237" s="7" t="n">
        <v>71</v>
      </c>
      <c r="K237" s="7" t="n">
        <v>2087</v>
      </c>
      <c r="L237" s="10" t="n">
        <f aca="false">IFERROR(J237/I237,"-")</f>
        <v>0.00595987576596995</v>
      </c>
      <c r="M237" s="10" t="n">
        <f aca="false">IFERROR(K237/I237,"-")</f>
        <v>0.175186770754638</v>
      </c>
      <c r="N237" s="7" t="n">
        <f aca="false">IFERROR(H237/I237*1000,"-")</f>
        <v>827.665575421808</v>
      </c>
      <c r="O237" s="7" t="n">
        <v>1</v>
      </c>
      <c r="P237" s="7" t="n">
        <f aca="false">IFERROR(H237/O237,"-")</f>
        <v>9859.98</v>
      </c>
      <c r="Q237" s="6" t="s">
        <v>90</v>
      </c>
      <c r="R237" s="22"/>
      <c r="S237" s="7" t="str">
        <f aca="false">IF(Q237="Yes",R237-B237,"")</f>
        <v/>
      </c>
      <c r="T237" s="6"/>
      <c r="U237" s="7" t="n">
        <v>0</v>
      </c>
      <c r="V237" s="7" t="n">
        <v>0</v>
      </c>
      <c r="W237" s="7" t="n">
        <v>0</v>
      </c>
      <c r="X237" s="7" t="n">
        <v>0</v>
      </c>
      <c r="Y237" s="10" t="str">
        <f aca="false">IF(Q237="Yes",IFERROR(W237/V237,"-"),"")</f>
        <v/>
      </c>
      <c r="Z237" s="10" t="str">
        <f aca="false">IF(Q237="Yes",IFERROR(X237/V237,"-"),"")</f>
        <v/>
      </c>
      <c r="AA237" s="7" t="n">
        <v>0</v>
      </c>
    </row>
    <row r="238" customFormat="false" ht="15" hidden="false" customHeight="false" outlineLevel="0" collapsed="false">
      <c r="A238" s="6" t="s">
        <v>340</v>
      </c>
      <c r="B238" s="22" t="n">
        <v>46300</v>
      </c>
      <c r="C238" s="6" t="str">
        <f aca="false">TEXT(B238,"yyyy-mm")</f>
        <v>2026-10</v>
      </c>
      <c r="D238" s="6" t="s">
        <v>52</v>
      </c>
      <c r="E238" s="6" t="s">
        <v>327</v>
      </c>
      <c r="F238" s="22" t="n">
        <v>46307</v>
      </c>
      <c r="G238" s="7" t="n">
        <f aca="false">Summary!$C$5-B238</f>
        <v>20</v>
      </c>
      <c r="H238" s="7" t="n">
        <v>4807.26</v>
      </c>
      <c r="I238" s="7" t="n">
        <v>19893</v>
      </c>
      <c r="J238" s="7" t="n">
        <v>190</v>
      </c>
      <c r="K238" s="7" t="n">
        <v>7047</v>
      </c>
      <c r="L238" s="10" t="n">
        <f aca="false">IFERROR(J238/I238,"-")</f>
        <v>0.00955109837631328</v>
      </c>
      <c r="M238" s="10" t="n">
        <f aca="false">IFERROR(K238/I238,"-")</f>
        <v>0.354245211883577</v>
      </c>
      <c r="N238" s="7" t="n">
        <f aca="false">IFERROR(H238/I238*1000,"-")</f>
        <v>241.65585884482</v>
      </c>
      <c r="O238" s="7" t="n">
        <v>1</v>
      </c>
      <c r="P238" s="7" t="n">
        <f aca="false">IFERROR(H238/O238,"-")</f>
        <v>4807.26</v>
      </c>
      <c r="Q238" s="6" t="s">
        <v>90</v>
      </c>
      <c r="R238" s="22"/>
      <c r="S238" s="7" t="str">
        <f aca="false">IF(Q238="Yes",R238-B238,"")</f>
        <v/>
      </c>
      <c r="T238" s="6"/>
      <c r="U238" s="7" t="n">
        <v>0</v>
      </c>
      <c r="V238" s="7" t="n">
        <v>0</v>
      </c>
      <c r="W238" s="7" t="n">
        <v>0</v>
      </c>
      <c r="X238" s="7" t="n">
        <v>0</v>
      </c>
      <c r="Y238" s="10" t="str">
        <f aca="false">IF(Q238="Yes",IFERROR(W238/V238,"-"),"")</f>
        <v/>
      </c>
      <c r="Z238" s="10" t="str">
        <f aca="false">IF(Q238="Yes",IFERROR(X238/V238,"-"),"")</f>
        <v/>
      </c>
      <c r="AA238" s="7" t="n">
        <v>0</v>
      </c>
    </row>
    <row r="239" customFormat="false" ht="15" hidden="false" customHeight="false" outlineLevel="0" collapsed="false">
      <c r="A239" s="6" t="s">
        <v>341</v>
      </c>
      <c r="B239" s="22" t="n">
        <v>46307</v>
      </c>
      <c r="C239" s="6" t="str">
        <f aca="false">TEXT(B239,"yyyy-mm")</f>
        <v>2026-10</v>
      </c>
      <c r="D239" s="6" t="s">
        <v>52</v>
      </c>
      <c r="E239" s="6" t="s">
        <v>332</v>
      </c>
      <c r="F239" s="22" t="n">
        <v>46315</v>
      </c>
      <c r="G239" s="7" t="n">
        <f aca="false">Summary!$C$5-B239</f>
        <v>13</v>
      </c>
      <c r="H239" s="7" t="n">
        <v>4652.68</v>
      </c>
      <c r="I239" s="7" t="n">
        <v>7730</v>
      </c>
      <c r="J239" s="7" t="n">
        <v>54</v>
      </c>
      <c r="K239" s="7" t="n">
        <v>1513</v>
      </c>
      <c r="L239" s="10" t="n">
        <f aca="false">IFERROR(J239/I239,"-")</f>
        <v>0.00698576972833118</v>
      </c>
      <c r="M239" s="10" t="n">
        <f aca="false">IFERROR(K239/I239,"-")</f>
        <v>0.195730918499353</v>
      </c>
      <c r="N239" s="7" t="n">
        <f aca="false">IFERROR(H239/I239*1000,"-")</f>
        <v>601.899094437258</v>
      </c>
      <c r="O239" s="7" t="n">
        <v>0</v>
      </c>
      <c r="P239" s="7" t="str">
        <f aca="false">IFERROR(H239/O239,"-")</f>
        <v>-</v>
      </c>
      <c r="Q239" s="6" t="s">
        <v>90</v>
      </c>
      <c r="R239" s="22"/>
      <c r="S239" s="7" t="str">
        <f aca="false">IF(Q239="Yes",R239-B239,"")</f>
        <v/>
      </c>
      <c r="T239" s="6"/>
      <c r="U239" s="7" t="n">
        <v>0</v>
      </c>
      <c r="V239" s="7" t="n">
        <v>0</v>
      </c>
      <c r="W239" s="7" t="n">
        <v>0</v>
      </c>
      <c r="X239" s="7" t="n">
        <v>0</v>
      </c>
      <c r="Y239" s="10" t="str">
        <f aca="false">IF(Q239="Yes",IFERROR(W239/V239,"-"),"")</f>
        <v/>
      </c>
      <c r="Z239" s="10" t="str">
        <f aca="false">IF(Q239="Yes",IFERROR(X239/V239,"-"),"")</f>
        <v/>
      </c>
      <c r="AA239" s="7" t="n">
        <v>0</v>
      </c>
    </row>
    <row r="240" customFormat="false" ht="15" hidden="false" customHeight="false" outlineLevel="0" collapsed="false">
      <c r="A240" s="6" t="s">
        <v>342</v>
      </c>
      <c r="B240" s="22" t="n">
        <v>46307</v>
      </c>
      <c r="C240" s="6" t="str">
        <f aca="false">TEXT(B240,"yyyy-mm")</f>
        <v>2026-10</v>
      </c>
      <c r="D240" s="6" t="s">
        <v>52</v>
      </c>
      <c r="E240" s="6" t="s">
        <v>332</v>
      </c>
      <c r="F240" s="22" t="n">
        <v>46320</v>
      </c>
      <c r="G240" s="7" t="n">
        <f aca="false">Summary!$C$5-B240</f>
        <v>13</v>
      </c>
      <c r="H240" s="7" t="n">
        <v>9298</v>
      </c>
      <c r="I240" s="7" t="n">
        <v>14942</v>
      </c>
      <c r="J240" s="7" t="n">
        <v>172</v>
      </c>
      <c r="K240" s="7" t="n">
        <v>3148</v>
      </c>
      <c r="L240" s="10" t="n">
        <f aca="false">IFERROR(J240/I240,"-")</f>
        <v>0.0115111765493241</v>
      </c>
      <c r="M240" s="10" t="n">
        <f aca="false">IFERROR(K240/I240,"-")</f>
        <v>0.210681301030652</v>
      </c>
      <c r="N240" s="7" t="n">
        <f aca="false">IFERROR(H240/I240*1000,"-")</f>
        <v>622.272788114041</v>
      </c>
      <c r="O240" s="7" t="n">
        <v>1</v>
      </c>
      <c r="P240" s="7" t="n">
        <f aca="false">IFERROR(H240/O240,"-")</f>
        <v>9298</v>
      </c>
      <c r="Q240" s="6" t="s">
        <v>90</v>
      </c>
      <c r="R240" s="22"/>
      <c r="S240" s="7" t="str">
        <f aca="false">IF(Q240="Yes",R240-B240,"")</f>
        <v/>
      </c>
      <c r="T240" s="6"/>
      <c r="U240" s="7" t="n">
        <v>0</v>
      </c>
      <c r="V240" s="7" t="n">
        <v>0</v>
      </c>
      <c r="W240" s="7" t="n">
        <v>0</v>
      </c>
      <c r="X240" s="7" t="n">
        <v>0</v>
      </c>
      <c r="Y240" s="10" t="str">
        <f aca="false">IF(Q240="Yes",IFERROR(W240/V240,"-"),"")</f>
        <v/>
      </c>
      <c r="Z240" s="10" t="str">
        <f aca="false">IF(Q240="Yes",IFERROR(X240/V240,"-"),"")</f>
        <v/>
      </c>
      <c r="AA240" s="7" t="n">
        <v>0</v>
      </c>
    </row>
    <row r="241" customFormat="false" ht="15" hidden="false" customHeight="false" outlineLevel="0" collapsed="false">
      <c r="A241" s="6" t="s">
        <v>343</v>
      </c>
      <c r="B241" s="22" t="n">
        <v>46307</v>
      </c>
      <c r="C241" s="6" t="str">
        <f aca="false">TEXT(B241,"yyyy-mm")</f>
        <v>2026-10</v>
      </c>
      <c r="D241" s="6" t="s">
        <v>52</v>
      </c>
      <c r="E241" s="6" t="s">
        <v>332</v>
      </c>
      <c r="F241" s="22" t="n">
        <v>46320</v>
      </c>
      <c r="G241" s="7" t="n">
        <f aca="false">Summary!$C$5-B241</f>
        <v>13</v>
      </c>
      <c r="H241" s="7" t="n">
        <v>8124.69</v>
      </c>
      <c r="I241" s="7" t="n">
        <v>10518</v>
      </c>
      <c r="J241" s="7" t="n">
        <v>106</v>
      </c>
      <c r="K241" s="7" t="n">
        <v>2003</v>
      </c>
      <c r="L241" s="10" t="n">
        <f aca="false">IFERROR(J241/I241,"-")</f>
        <v>0.0100779615896558</v>
      </c>
      <c r="M241" s="10" t="n">
        <f aca="false">IFERROR(K241/I241,"-")</f>
        <v>0.190435444000761</v>
      </c>
      <c r="N241" s="7" t="n">
        <f aca="false">IFERROR(H241/I241*1000,"-")</f>
        <v>772.455790074159</v>
      </c>
      <c r="O241" s="7" t="n">
        <v>3</v>
      </c>
      <c r="P241" s="7" t="n">
        <f aca="false">IFERROR(H241/O241,"-")</f>
        <v>2708.23</v>
      </c>
      <c r="Q241" s="6" t="s">
        <v>90</v>
      </c>
      <c r="R241" s="22"/>
      <c r="S241" s="7" t="str">
        <f aca="false">IF(Q241="Yes",R241-B241,"")</f>
        <v/>
      </c>
      <c r="T241" s="6"/>
      <c r="U241" s="7" t="n">
        <v>0</v>
      </c>
      <c r="V241" s="7" t="n">
        <v>0</v>
      </c>
      <c r="W241" s="7" t="n">
        <v>0</v>
      </c>
      <c r="X241" s="7" t="n">
        <v>0</v>
      </c>
      <c r="Y241" s="10" t="str">
        <f aca="false">IF(Q241="Yes",IFERROR(W241/V241,"-"),"")</f>
        <v/>
      </c>
      <c r="Z241" s="10" t="str">
        <f aca="false">IF(Q241="Yes",IFERROR(X241/V241,"-"),"")</f>
        <v/>
      </c>
      <c r="AA241" s="7" t="n">
        <v>0</v>
      </c>
    </row>
    <row r="242" customFormat="false" ht="15" hidden="false" customHeight="false" outlineLevel="0" collapsed="false">
      <c r="A242" s="6" t="s">
        <v>344</v>
      </c>
      <c r="B242" s="22" t="n">
        <v>46307</v>
      </c>
      <c r="C242" s="6" t="str">
        <f aca="false">TEXT(B242,"yyyy-mm")</f>
        <v>2026-10</v>
      </c>
      <c r="D242" s="6" t="s">
        <v>52</v>
      </c>
      <c r="E242" s="6" t="s">
        <v>332</v>
      </c>
      <c r="F242" s="22" t="n">
        <v>46320</v>
      </c>
      <c r="G242" s="7" t="n">
        <f aca="false">Summary!$C$5-B242</f>
        <v>13</v>
      </c>
      <c r="H242" s="7" t="n">
        <v>6177.29</v>
      </c>
      <c r="I242" s="7" t="n">
        <v>5734</v>
      </c>
      <c r="J242" s="7" t="n">
        <v>47</v>
      </c>
      <c r="K242" s="7" t="n">
        <v>656</v>
      </c>
      <c r="L242" s="10" t="n">
        <f aca="false">IFERROR(J242/I242,"-")</f>
        <v>0.00819672131147541</v>
      </c>
      <c r="M242" s="10" t="n">
        <f aca="false">IFERROR(K242/I242,"-")</f>
        <v>0.114405301709104</v>
      </c>
      <c r="N242" s="7" t="n">
        <f aca="false">IFERROR(H242/I242*1000,"-")</f>
        <v>1077.30903383328</v>
      </c>
      <c r="O242" s="7" t="n">
        <v>2</v>
      </c>
      <c r="P242" s="7" t="n">
        <f aca="false">IFERROR(H242/O242,"-")</f>
        <v>3088.645</v>
      </c>
      <c r="Q242" s="6" t="s">
        <v>90</v>
      </c>
      <c r="R242" s="22"/>
      <c r="S242" s="7" t="str">
        <f aca="false">IF(Q242="Yes",R242-B242,"")</f>
        <v/>
      </c>
      <c r="T242" s="6"/>
      <c r="U242" s="7" t="n">
        <v>0</v>
      </c>
      <c r="V242" s="7" t="n">
        <v>0</v>
      </c>
      <c r="W242" s="7" t="n">
        <v>0</v>
      </c>
      <c r="X242" s="7" t="n">
        <v>0</v>
      </c>
      <c r="Y242" s="10" t="str">
        <f aca="false">IF(Q242="Yes",IFERROR(W242/V242,"-"),"")</f>
        <v/>
      </c>
      <c r="Z242" s="10" t="str">
        <f aca="false">IF(Q242="Yes",IFERROR(X242/V242,"-"),"")</f>
        <v/>
      </c>
      <c r="AA242" s="7" t="n">
        <v>0</v>
      </c>
    </row>
    <row r="243" customFormat="false" ht="15" hidden="false" customHeight="false" outlineLevel="0" collapsed="false">
      <c r="A243" s="6" t="s">
        <v>345</v>
      </c>
      <c r="B243" s="22" t="n">
        <v>46307</v>
      </c>
      <c r="C243" s="6" t="str">
        <f aca="false">TEXT(B243,"yyyy-mm")</f>
        <v>2026-10</v>
      </c>
      <c r="D243" s="6" t="s">
        <v>52</v>
      </c>
      <c r="E243" s="6" t="s">
        <v>332</v>
      </c>
      <c r="F243" s="22" t="n">
        <v>46320</v>
      </c>
      <c r="G243" s="7" t="n">
        <f aca="false">Summary!$C$5-B243</f>
        <v>13</v>
      </c>
      <c r="H243" s="7" t="n">
        <v>6458.13</v>
      </c>
      <c r="I243" s="7" t="n">
        <v>11173</v>
      </c>
      <c r="J243" s="7" t="n">
        <v>95</v>
      </c>
      <c r="K243" s="7" t="n">
        <v>1703</v>
      </c>
      <c r="L243" s="10" t="n">
        <f aca="false">IFERROR(J243/I243,"-")</f>
        <v>0.00850264029356484</v>
      </c>
      <c r="M243" s="10" t="n">
        <f aca="false">IFERROR(K243/I243,"-")</f>
        <v>0.152421014946747</v>
      </c>
      <c r="N243" s="7" t="n">
        <f aca="false">IFERROR(H243/I243*1000,"-")</f>
        <v>578.012172200841</v>
      </c>
      <c r="O243" s="7" t="n">
        <v>3</v>
      </c>
      <c r="P243" s="7" t="n">
        <f aca="false">IFERROR(H243/O243,"-")</f>
        <v>2152.71</v>
      </c>
      <c r="Q243" s="6" t="s">
        <v>90</v>
      </c>
      <c r="R243" s="22"/>
      <c r="S243" s="7" t="str">
        <f aca="false">IF(Q243="Yes",R243-B243,"")</f>
        <v/>
      </c>
      <c r="T243" s="6"/>
      <c r="U243" s="7" t="n">
        <v>0</v>
      </c>
      <c r="V243" s="7" t="n">
        <v>0</v>
      </c>
      <c r="W243" s="7" t="n">
        <v>0</v>
      </c>
      <c r="X243" s="7" t="n">
        <v>0</v>
      </c>
      <c r="Y243" s="10" t="str">
        <f aca="false">IF(Q243="Yes",IFERROR(W243/V243,"-"),"")</f>
        <v/>
      </c>
      <c r="Z243" s="10" t="str">
        <f aca="false">IF(Q243="Yes",IFERROR(X243/V243,"-"),"")</f>
        <v/>
      </c>
      <c r="AA243" s="7" t="n">
        <v>0</v>
      </c>
    </row>
    <row r="244" customFormat="false" ht="15" hidden="false" customHeight="false" outlineLevel="0" collapsed="false">
      <c r="A244" s="6" t="s">
        <v>346</v>
      </c>
      <c r="B244" s="22" t="n">
        <v>46307</v>
      </c>
      <c r="C244" s="6" t="str">
        <f aca="false">TEXT(B244,"yyyy-mm")</f>
        <v>2026-10</v>
      </c>
      <c r="D244" s="6" t="s">
        <v>52</v>
      </c>
      <c r="E244" s="6" t="s">
        <v>332</v>
      </c>
      <c r="F244" s="22" t="n">
        <v>46314</v>
      </c>
      <c r="G244" s="7" t="n">
        <f aca="false">Summary!$C$5-B244</f>
        <v>13</v>
      </c>
      <c r="H244" s="7" t="n">
        <v>4500.01</v>
      </c>
      <c r="I244" s="7" t="n">
        <v>7934</v>
      </c>
      <c r="J244" s="7" t="n">
        <v>30</v>
      </c>
      <c r="K244" s="7" t="n">
        <v>1079</v>
      </c>
      <c r="L244" s="10" t="n">
        <f aca="false">IFERROR(J244/I244,"-")</f>
        <v>0.00378119485757499</v>
      </c>
      <c r="M244" s="10" t="n">
        <f aca="false">IFERROR(K244/I244,"-")</f>
        <v>0.135996975044114</v>
      </c>
      <c r="N244" s="7" t="n">
        <f aca="false">IFERROR(H244/I244*1000,"-")</f>
        <v>567.180489034535</v>
      </c>
      <c r="O244" s="7" t="n">
        <v>0</v>
      </c>
      <c r="P244" s="7" t="str">
        <f aca="false">IFERROR(H244/O244,"-")</f>
        <v>-</v>
      </c>
      <c r="Q244" s="6" t="s">
        <v>90</v>
      </c>
      <c r="R244" s="22"/>
      <c r="S244" s="7" t="str">
        <f aca="false">IF(Q244="Yes",R244-B244,"")</f>
        <v/>
      </c>
      <c r="T244" s="6"/>
      <c r="U244" s="7" t="n">
        <v>0</v>
      </c>
      <c r="V244" s="7" t="n">
        <v>0</v>
      </c>
      <c r="W244" s="7" t="n">
        <v>0</v>
      </c>
      <c r="X244" s="7" t="n">
        <v>0</v>
      </c>
      <c r="Y244" s="10" t="str">
        <f aca="false">IF(Q244="Yes",IFERROR(W244/V244,"-"),"")</f>
        <v/>
      </c>
      <c r="Z244" s="10" t="str">
        <f aca="false">IF(Q244="Yes",IFERROR(X244/V244,"-"),"")</f>
        <v/>
      </c>
      <c r="AA244" s="7" t="n">
        <v>0</v>
      </c>
    </row>
    <row r="245" customFormat="false" ht="15" hidden="false" customHeight="false" outlineLevel="0" collapsed="false">
      <c r="A245" s="6" t="s">
        <v>347</v>
      </c>
      <c r="B245" s="22" t="n">
        <v>46307</v>
      </c>
      <c r="C245" s="6" t="str">
        <f aca="false">TEXT(B245,"yyyy-mm")</f>
        <v>2026-10</v>
      </c>
      <c r="D245" s="6" t="s">
        <v>52</v>
      </c>
      <c r="E245" s="6" t="s">
        <v>332</v>
      </c>
      <c r="F245" s="22" t="n">
        <v>46314</v>
      </c>
      <c r="G245" s="7" t="n">
        <f aca="false">Summary!$C$5-B245</f>
        <v>13</v>
      </c>
      <c r="H245" s="7" t="n">
        <v>7573.39</v>
      </c>
      <c r="I245" s="7" t="n">
        <v>11297</v>
      </c>
      <c r="J245" s="7" t="n">
        <v>90</v>
      </c>
      <c r="K245" s="7" t="n">
        <v>1623</v>
      </c>
      <c r="L245" s="10" t="n">
        <f aca="false">IFERROR(J245/I245,"-")</f>
        <v>0.00796671682747632</v>
      </c>
      <c r="M245" s="10" t="n">
        <f aca="false">IFERROR(K245/I245,"-")</f>
        <v>0.143666460122156</v>
      </c>
      <c r="N245" s="7" t="n">
        <f aca="false">IFERROR(H245/I245*1000,"-")</f>
        <v>670.389483933788</v>
      </c>
      <c r="O245" s="7" t="n">
        <v>2</v>
      </c>
      <c r="P245" s="7" t="n">
        <f aca="false">IFERROR(H245/O245,"-")</f>
        <v>3786.695</v>
      </c>
      <c r="Q245" s="6" t="s">
        <v>90</v>
      </c>
      <c r="R245" s="22"/>
      <c r="S245" s="7" t="str">
        <f aca="false">IF(Q245="Yes",R245-B245,"")</f>
        <v/>
      </c>
      <c r="T245" s="6"/>
      <c r="U245" s="7" t="n">
        <v>0</v>
      </c>
      <c r="V245" s="7" t="n">
        <v>0</v>
      </c>
      <c r="W245" s="7" t="n">
        <v>0</v>
      </c>
      <c r="X245" s="7" t="n">
        <v>0</v>
      </c>
      <c r="Y245" s="10" t="str">
        <f aca="false">IF(Q245="Yes",IFERROR(W245/V245,"-"),"")</f>
        <v/>
      </c>
      <c r="Z245" s="10" t="str">
        <f aca="false">IF(Q245="Yes",IFERROR(X245/V245,"-"),"")</f>
        <v/>
      </c>
      <c r="AA245" s="7" t="n">
        <v>0</v>
      </c>
    </row>
    <row r="246" customFormat="false" ht="15" hidden="false" customHeight="false" outlineLevel="0" collapsed="false">
      <c r="A246" s="6" t="s">
        <v>348</v>
      </c>
      <c r="B246" s="22" t="n">
        <v>46307</v>
      </c>
      <c r="C246" s="6" t="str">
        <f aca="false">TEXT(B246,"yyyy-mm")</f>
        <v>2026-10</v>
      </c>
      <c r="D246" s="6" t="s">
        <v>52</v>
      </c>
      <c r="E246" s="6" t="s">
        <v>327</v>
      </c>
      <c r="F246" s="22" t="n">
        <v>46320</v>
      </c>
      <c r="G246" s="7" t="n">
        <f aca="false">Summary!$C$5-B246</f>
        <v>13</v>
      </c>
      <c r="H246" s="7" t="n">
        <v>6509.67</v>
      </c>
      <c r="I246" s="7" t="n">
        <v>9117</v>
      </c>
      <c r="J246" s="7" t="n">
        <v>65</v>
      </c>
      <c r="K246" s="7" t="n">
        <v>1720</v>
      </c>
      <c r="L246" s="10" t="n">
        <f aca="false">IFERROR(J246/I246,"-")</f>
        <v>0.00712953822529341</v>
      </c>
      <c r="M246" s="10" t="n">
        <f aca="false">IFERROR(K246/I246,"-")</f>
        <v>0.18865854996161</v>
      </c>
      <c r="N246" s="7" t="n">
        <f aca="false">IFERROR(H246/I246*1000,"-")</f>
        <v>714.014478446858</v>
      </c>
      <c r="O246" s="7" t="n">
        <v>1</v>
      </c>
      <c r="P246" s="7" t="n">
        <f aca="false">IFERROR(H246/O246,"-")</f>
        <v>6509.67</v>
      </c>
      <c r="Q246" s="6" t="s">
        <v>90</v>
      </c>
      <c r="R246" s="22"/>
      <c r="S246" s="7" t="str">
        <f aca="false">IF(Q246="Yes",R246-B246,"")</f>
        <v/>
      </c>
      <c r="T246" s="6"/>
      <c r="U246" s="7" t="n">
        <v>0</v>
      </c>
      <c r="V246" s="7" t="n">
        <v>0</v>
      </c>
      <c r="W246" s="7" t="n">
        <v>0</v>
      </c>
      <c r="X246" s="7" t="n">
        <v>0</v>
      </c>
      <c r="Y246" s="10" t="str">
        <f aca="false">IF(Q246="Yes",IFERROR(W246/V246,"-"),"")</f>
        <v/>
      </c>
      <c r="Z246" s="10" t="str">
        <f aca="false">IF(Q246="Yes",IFERROR(X246/V246,"-"),"")</f>
        <v/>
      </c>
      <c r="AA246" s="7" t="n">
        <v>0</v>
      </c>
    </row>
    <row r="247" customFormat="false" ht="15" hidden="false" customHeight="false" outlineLevel="0" collapsed="false">
      <c r="A247" s="6" t="s">
        <v>349</v>
      </c>
      <c r="B247" s="22" t="n">
        <v>46307</v>
      </c>
      <c r="C247" s="6" t="str">
        <f aca="false">TEXT(B247,"yyyy-mm")</f>
        <v>2026-10</v>
      </c>
      <c r="D247" s="6" t="s">
        <v>52</v>
      </c>
      <c r="E247" s="6" t="s">
        <v>327</v>
      </c>
      <c r="F247" s="22" t="n">
        <v>46314</v>
      </c>
      <c r="G247" s="7" t="n">
        <f aca="false">Summary!$C$5-B247</f>
        <v>13</v>
      </c>
      <c r="H247" s="7" t="n">
        <v>3699.12</v>
      </c>
      <c r="I247" s="7" t="n">
        <v>11950</v>
      </c>
      <c r="J247" s="7" t="n">
        <v>88</v>
      </c>
      <c r="K247" s="7" t="n">
        <v>2251</v>
      </c>
      <c r="L247" s="10" t="n">
        <f aca="false">IFERROR(J247/I247,"-")</f>
        <v>0.00736401673640167</v>
      </c>
      <c r="M247" s="10" t="n">
        <f aca="false">IFERROR(K247/I247,"-")</f>
        <v>0.18836820083682</v>
      </c>
      <c r="N247" s="7" t="n">
        <f aca="false">IFERROR(H247/I247*1000,"-")</f>
        <v>309.549790794979</v>
      </c>
      <c r="O247" s="7" t="n">
        <v>1</v>
      </c>
      <c r="P247" s="7" t="n">
        <f aca="false">IFERROR(H247/O247,"-")</f>
        <v>3699.12</v>
      </c>
      <c r="Q247" s="6" t="s">
        <v>90</v>
      </c>
      <c r="R247" s="22"/>
      <c r="S247" s="7" t="str">
        <f aca="false">IF(Q247="Yes",R247-B247,"")</f>
        <v/>
      </c>
      <c r="T247" s="6"/>
      <c r="U247" s="7" t="n">
        <v>0</v>
      </c>
      <c r="V247" s="7" t="n">
        <v>0</v>
      </c>
      <c r="W247" s="7" t="n">
        <v>0</v>
      </c>
      <c r="X247" s="7" t="n">
        <v>0</v>
      </c>
      <c r="Y247" s="10" t="str">
        <f aca="false">IF(Q247="Yes",IFERROR(W247/V247,"-"),"")</f>
        <v/>
      </c>
      <c r="Z247" s="10" t="str">
        <f aca="false">IF(Q247="Yes",IFERROR(X247/V247,"-"),"")</f>
        <v/>
      </c>
      <c r="AA247" s="7" t="n">
        <v>0</v>
      </c>
    </row>
    <row r="248" customFormat="false" ht="15" hidden="false" customHeight="false" outlineLevel="0" collapsed="false">
      <c r="A248" s="6" t="s">
        <v>350</v>
      </c>
      <c r="B248" s="22" t="n">
        <v>46307</v>
      </c>
      <c r="C248" s="6" t="str">
        <f aca="false">TEXT(B248,"yyyy-mm")</f>
        <v>2026-10</v>
      </c>
      <c r="D248" s="6" t="s">
        <v>52</v>
      </c>
      <c r="E248" s="6" t="s">
        <v>327</v>
      </c>
      <c r="F248" s="22" t="n">
        <v>46320</v>
      </c>
      <c r="G248" s="7" t="n">
        <f aca="false">Summary!$C$5-B248</f>
        <v>13</v>
      </c>
      <c r="H248" s="7" t="n">
        <v>3580.58</v>
      </c>
      <c r="I248" s="7" t="n">
        <v>3768</v>
      </c>
      <c r="J248" s="7" t="n">
        <v>37</v>
      </c>
      <c r="K248" s="7" t="n">
        <v>602</v>
      </c>
      <c r="L248" s="10" t="n">
        <f aca="false">IFERROR(J248/I248,"-")</f>
        <v>0.00981953290870488</v>
      </c>
      <c r="M248" s="10" t="n">
        <f aca="false">IFERROR(K248/I248,"-")</f>
        <v>0.159766454352442</v>
      </c>
      <c r="N248" s="7" t="n">
        <f aca="false">IFERROR(H248/I248*1000,"-")</f>
        <v>950.26008492569</v>
      </c>
      <c r="O248" s="7" t="n">
        <v>1</v>
      </c>
      <c r="P248" s="7" t="n">
        <f aca="false">IFERROR(H248/O248,"-")</f>
        <v>3580.58</v>
      </c>
      <c r="Q248" s="6" t="s">
        <v>90</v>
      </c>
      <c r="R248" s="22"/>
      <c r="S248" s="7" t="str">
        <f aca="false">IF(Q248="Yes",R248-B248,"")</f>
        <v/>
      </c>
      <c r="T248" s="6"/>
      <c r="U248" s="7" t="n">
        <v>0</v>
      </c>
      <c r="V248" s="7" t="n">
        <v>0</v>
      </c>
      <c r="W248" s="7" t="n">
        <v>0</v>
      </c>
      <c r="X248" s="7" t="n">
        <v>0</v>
      </c>
      <c r="Y248" s="10" t="str">
        <f aca="false">IF(Q248="Yes",IFERROR(W248/V248,"-"),"")</f>
        <v/>
      </c>
      <c r="Z248" s="10" t="str">
        <f aca="false">IF(Q248="Yes",IFERROR(X248/V248,"-"),"")</f>
        <v/>
      </c>
      <c r="AA248" s="7" t="n">
        <v>0</v>
      </c>
    </row>
    <row r="249" customFormat="false" ht="15" hidden="false" customHeight="false" outlineLevel="0" collapsed="false">
      <c r="A249" s="6" t="s">
        <v>351</v>
      </c>
      <c r="B249" s="22" t="n">
        <v>46307</v>
      </c>
      <c r="C249" s="6" t="str">
        <f aca="false">TEXT(B249,"yyyy-mm")</f>
        <v>2026-10</v>
      </c>
      <c r="D249" s="6" t="s">
        <v>52</v>
      </c>
      <c r="E249" s="6" t="s">
        <v>327</v>
      </c>
      <c r="F249" s="22" t="n">
        <v>46310</v>
      </c>
      <c r="G249" s="7" t="n">
        <f aca="false">Summary!$C$5-B249</f>
        <v>13</v>
      </c>
      <c r="H249" s="7" t="n">
        <v>1313.38</v>
      </c>
      <c r="I249" s="7" t="n">
        <v>7154</v>
      </c>
      <c r="J249" s="7" t="n">
        <v>21</v>
      </c>
      <c r="K249" s="7" t="n">
        <v>605</v>
      </c>
      <c r="L249" s="10" t="n">
        <f aca="false">IFERROR(J249/I249,"-")</f>
        <v>0.00293542074363992</v>
      </c>
      <c r="M249" s="10" t="n">
        <f aca="false">IFERROR(K249/I249,"-")</f>
        <v>0.0845680738048644</v>
      </c>
      <c r="N249" s="7" t="n">
        <f aca="false">IFERROR(H249/I249*1000,"-")</f>
        <v>183.586804584848</v>
      </c>
      <c r="O249" s="7" t="n">
        <v>1</v>
      </c>
      <c r="P249" s="7" t="n">
        <f aca="false">IFERROR(H249/O249,"-")</f>
        <v>1313.38</v>
      </c>
      <c r="Q249" s="6" t="s">
        <v>90</v>
      </c>
      <c r="R249" s="22"/>
      <c r="S249" s="7" t="str">
        <f aca="false">IF(Q249="Yes",R249-B249,"")</f>
        <v/>
      </c>
      <c r="T249" s="6"/>
      <c r="U249" s="7" t="n">
        <v>0</v>
      </c>
      <c r="V249" s="7" t="n">
        <v>0</v>
      </c>
      <c r="W249" s="7" t="n">
        <v>0</v>
      </c>
      <c r="X249" s="7" t="n">
        <v>0</v>
      </c>
      <c r="Y249" s="10" t="str">
        <f aca="false">IF(Q249="Yes",IFERROR(W249/V249,"-"),"")</f>
        <v/>
      </c>
      <c r="Z249" s="10" t="str">
        <f aca="false">IF(Q249="Yes",IFERROR(X249/V249,"-"),"")</f>
        <v/>
      </c>
      <c r="AA249" s="7" t="n">
        <v>0</v>
      </c>
    </row>
    <row r="250" customFormat="false" ht="15" hidden="false" customHeight="false" outlineLevel="0" collapsed="false">
      <c r="A250" s="6" t="s">
        <v>352</v>
      </c>
      <c r="B250" s="22" t="n">
        <v>46307</v>
      </c>
      <c r="C250" s="6" t="str">
        <f aca="false">TEXT(B250,"yyyy-mm")</f>
        <v>2026-10</v>
      </c>
      <c r="D250" s="6" t="s">
        <v>52</v>
      </c>
      <c r="E250" s="6" t="s">
        <v>327</v>
      </c>
      <c r="F250" s="22" t="n">
        <v>46315</v>
      </c>
      <c r="G250" s="7" t="n">
        <f aca="false">Summary!$C$5-B250</f>
        <v>13</v>
      </c>
      <c r="H250" s="7" t="n">
        <v>4297.59</v>
      </c>
      <c r="I250" s="7" t="n">
        <v>8308</v>
      </c>
      <c r="J250" s="7" t="n">
        <v>61</v>
      </c>
      <c r="K250" s="7" t="n">
        <v>2571</v>
      </c>
      <c r="L250" s="10" t="n">
        <f aca="false">IFERROR(J250/I250,"-")</f>
        <v>0.00734232065479056</v>
      </c>
      <c r="M250" s="10" t="n">
        <f aca="false">IFERROR(K250/I250,"-")</f>
        <v>0.309460760712566</v>
      </c>
      <c r="N250" s="7" t="n">
        <f aca="false">IFERROR(H250/I250*1000,"-")</f>
        <v>517.283341357728</v>
      </c>
      <c r="O250" s="7" t="n">
        <v>2</v>
      </c>
      <c r="P250" s="7" t="n">
        <f aca="false">IFERROR(H250/O250,"-")</f>
        <v>2148.795</v>
      </c>
      <c r="Q250" s="6" t="s">
        <v>90</v>
      </c>
      <c r="R250" s="22"/>
      <c r="S250" s="7" t="str">
        <f aca="false">IF(Q250="Yes",R250-B250,"")</f>
        <v/>
      </c>
      <c r="T250" s="6"/>
      <c r="U250" s="7" t="n">
        <v>0</v>
      </c>
      <c r="V250" s="7" t="n">
        <v>0</v>
      </c>
      <c r="W250" s="7" t="n">
        <v>0</v>
      </c>
      <c r="X250" s="7" t="n">
        <v>0</v>
      </c>
      <c r="Y250" s="10" t="str">
        <f aca="false">IF(Q250="Yes",IFERROR(W250/V250,"-"),"")</f>
        <v/>
      </c>
      <c r="Z250" s="10" t="str">
        <f aca="false">IF(Q250="Yes",IFERROR(X250/V250,"-"),"")</f>
        <v/>
      </c>
      <c r="AA250" s="7" t="n">
        <v>0</v>
      </c>
    </row>
    <row r="251" customFormat="false" ht="15" hidden="false" customHeight="false" outlineLevel="0" collapsed="false">
      <c r="A251" s="6" t="s">
        <v>353</v>
      </c>
      <c r="B251" s="22" t="n">
        <v>46307</v>
      </c>
      <c r="C251" s="6" t="str">
        <f aca="false">TEXT(B251,"yyyy-mm")</f>
        <v>2026-10</v>
      </c>
      <c r="D251" s="6" t="s">
        <v>52</v>
      </c>
      <c r="E251" s="6" t="s">
        <v>354</v>
      </c>
      <c r="F251" s="22" t="n">
        <v>46314</v>
      </c>
      <c r="G251" s="7" t="n">
        <f aca="false">Summary!$C$5-B251</f>
        <v>13</v>
      </c>
      <c r="H251" s="7" t="n">
        <v>3178.64</v>
      </c>
      <c r="I251" s="7" t="n">
        <v>7424</v>
      </c>
      <c r="J251" s="7" t="n">
        <v>58</v>
      </c>
      <c r="K251" s="7" t="n">
        <v>1031</v>
      </c>
      <c r="L251" s="10" t="n">
        <f aca="false">IFERROR(J251/I251,"-")</f>
        <v>0.0078125</v>
      </c>
      <c r="M251" s="10" t="n">
        <f aca="false">IFERROR(K251/I251,"-")</f>
        <v>0.138873922413793</v>
      </c>
      <c r="N251" s="7" t="n">
        <f aca="false">IFERROR(H251/I251*1000,"-")</f>
        <v>428.157327586207</v>
      </c>
      <c r="O251" s="7" t="n">
        <v>1</v>
      </c>
      <c r="P251" s="7" t="n">
        <f aca="false">IFERROR(H251/O251,"-")</f>
        <v>3178.64</v>
      </c>
      <c r="Q251" s="6" t="s">
        <v>90</v>
      </c>
      <c r="R251" s="22"/>
      <c r="S251" s="7" t="str">
        <f aca="false">IF(Q251="Yes",R251-B251,"")</f>
        <v/>
      </c>
      <c r="T251" s="6"/>
      <c r="U251" s="7" t="n">
        <v>0</v>
      </c>
      <c r="V251" s="7" t="n">
        <v>0</v>
      </c>
      <c r="W251" s="7" t="n">
        <v>0</v>
      </c>
      <c r="X251" s="7" t="n">
        <v>0</v>
      </c>
      <c r="Y251" s="10" t="str">
        <f aca="false">IF(Q251="Yes",IFERROR(W251/V251,"-"),"")</f>
        <v/>
      </c>
      <c r="Z251" s="10" t="str">
        <f aca="false">IF(Q251="Yes",IFERROR(X251/V251,"-"),"")</f>
        <v/>
      </c>
      <c r="AA251" s="7" t="n">
        <v>0</v>
      </c>
    </row>
    <row r="252" customFormat="false" ht="15" hidden="false" customHeight="false" outlineLevel="0" collapsed="false">
      <c r="A252" s="6" t="s">
        <v>355</v>
      </c>
      <c r="B252" s="22" t="n">
        <v>46307</v>
      </c>
      <c r="C252" s="6" t="str">
        <f aca="false">TEXT(B252,"yyyy-mm")</f>
        <v>2026-10</v>
      </c>
      <c r="D252" s="6" t="s">
        <v>52</v>
      </c>
      <c r="E252" s="6" t="s">
        <v>354</v>
      </c>
      <c r="F252" s="22" t="n">
        <v>46320</v>
      </c>
      <c r="G252" s="7" t="n">
        <f aca="false">Summary!$C$5-B252</f>
        <v>13</v>
      </c>
      <c r="H252" s="7" t="n">
        <v>7997.36</v>
      </c>
      <c r="I252" s="7" t="n">
        <v>19024</v>
      </c>
      <c r="J252" s="7" t="n">
        <v>252</v>
      </c>
      <c r="K252" s="7" t="n">
        <v>5567</v>
      </c>
      <c r="L252" s="10" t="n">
        <f aca="false">IFERROR(J252/I252,"-")</f>
        <v>0.013246425567704</v>
      </c>
      <c r="M252" s="10" t="n">
        <f aca="false">IFERROR(K252/I252,"-")</f>
        <v>0.292630361648444</v>
      </c>
      <c r="N252" s="7" t="n">
        <f aca="false">IFERROR(H252/I252*1000,"-")</f>
        <v>420.3826745164</v>
      </c>
      <c r="O252" s="7" t="n">
        <v>2</v>
      </c>
      <c r="P252" s="7" t="n">
        <f aca="false">IFERROR(H252/O252,"-")</f>
        <v>3998.68</v>
      </c>
      <c r="Q252" s="6" t="s">
        <v>100</v>
      </c>
      <c r="R252" s="22" t="n">
        <v>46317</v>
      </c>
      <c r="S252" s="7" t="n">
        <f aca="false">IF(Q252="Yes",R252-B252,"")</f>
        <v>10</v>
      </c>
      <c r="T252" s="6" t="s">
        <v>53</v>
      </c>
      <c r="U252" s="7" t="n">
        <v>59353.32</v>
      </c>
      <c r="V252" s="7" t="n">
        <v>267363</v>
      </c>
      <c r="W252" s="7" t="n">
        <v>1350</v>
      </c>
      <c r="X252" s="7" t="n">
        <v>41447</v>
      </c>
      <c r="Y252" s="10" t="n">
        <f aca="false">IF(Q252="Yes",IFERROR(W252/V252,"-"),"")</f>
        <v>0.00504931497626822</v>
      </c>
      <c r="Z252" s="10" t="n">
        <f aca="false">IF(Q252="Yes",IFERROR(X252/V252,"-"),"")</f>
        <v>0.155021450238066</v>
      </c>
      <c r="AA252" s="7" t="n">
        <v>12</v>
      </c>
    </row>
    <row r="253" customFormat="false" ht="15" hidden="false" customHeight="false" outlineLevel="0" collapsed="false">
      <c r="A253" s="6" t="s">
        <v>356</v>
      </c>
      <c r="B253" s="22" t="n">
        <v>46307</v>
      </c>
      <c r="C253" s="6" t="str">
        <f aca="false">TEXT(B253,"yyyy-mm")</f>
        <v>2026-10</v>
      </c>
      <c r="D253" s="6" t="s">
        <v>52</v>
      </c>
      <c r="E253" s="6" t="s">
        <v>354</v>
      </c>
      <c r="F253" s="22" t="n">
        <v>46320</v>
      </c>
      <c r="G253" s="7" t="n">
        <f aca="false">Summary!$C$5-B253</f>
        <v>13</v>
      </c>
      <c r="H253" s="7" t="n">
        <v>6329.57</v>
      </c>
      <c r="I253" s="7" t="n">
        <v>10923</v>
      </c>
      <c r="J253" s="7" t="n">
        <v>57</v>
      </c>
      <c r="K253" s="7" t="n">
        <v>1836</v>
      </c>
      <c r="L253" s="10" t="n">
        <f aca="false">IFERROR(J253/I253,"-")</f>
        <v>0.00521834660807471</v>
      </c>
      <c r="M253" s="10" t="n">
        <f aca="false">IFERROR(K253/I253,"-")</f>
        <v>0.168085690744301</v>
      </c>
      <c r="N253" s="7" t="n">
        <f aca="false">IFERROR(H253/I253*1000,"-")</f>
        <v>579.471756843358</v>
      </c>
      <c r="O253" s="7" t="n">
        <v>0</v>
      </c>
      <c r="P253" s="7" t="str">
        <f aca="false">IFERROR(H253/O253,"-")</f>
        <v>-</v>
      </c>
      <c r="Q253" s="6" t="s">
        <v>90</v>
      </c>
      <c r="R253" s="22"/>
      <c r="S253" s="7" t="str">
        <f aca="false">IF(Q253="Yes",R253-B253,"")</f>
        <v/>
      </c>
      <c r="T253" s="6"/>
      <c r="U253" s="7" t="n">
        <v>0</v>
      </c>
      <c r="V253" s="7" t="n">
        <v>0</v>
      </c>
      <c r="W253" s="7" t="n">
        <v>0</v>
      </c>
      <c r="X253" s="7" t="n">
        <v>0</v>
      </c>
      <c r="Y253" s="10" t="str">
        <f aca="false">IF(Q253="Yes",IFERROR(W253/V253,"-"),"")</f>
        <v/>
      </c>
      <c r="Z253" s="10" t="str">
        <f aca="false">IF(Q253="Yes",IFERROR(X253/V253,"-"),"")</f>
        <v/>
      </c>
      <c r="AA253" s="7" t="n">
        <v>0</v>
      </c>
    </row>
    <row r="254" customFormat="false" ht="15" hidden="false" customHeight="false" outlineLevel="0" collapsed="false">
      <c r="A254" s="6" t="s">
        <v>357</v>
      </c>
      <c r="B254" s="22" t="n">
        <v>46307</v>
      </c>
      <c r="C254" s="6" t="str">
        <f aca="false">TEXT(B254,"yyyy-mm")</f>
        <v>2026-10</v>
      </c>
      <c r="D254" s="6" t="s">
        <v>52</v>
      </c>
      <c r="E254" s="6" t="s">
        <v>354</v>
      </c>
      <c r="F254" s="22" t="n">
        <v>46314</v>
      </c>
      <c r="G254" s="7" t="n">
        <f aca="false">Summary!$C$5-B254</f>
        <v>13</v>
      </c>
      <c r="H254" s="7" t="n">
        <v>3403.5</v>
      </c>
      <c r="I254" s="7" t="n">
        <v>8229</v>
      </c>
      <c r="J254" s="7" t="n">
        <v>73</v>
      </c>
      <c r="K254" s="7" t="n">
        <v>1307</v>
      </c>
      <c r="L254" s="10" t="n">
        <f aca="false">IFERROR(J254/I254,"-")</f>
        <v>0.00887106574310366</v>
      </c>
      <c r="M254" s="10" t="n">
        <f aca="false">IFERROR(K254/I254,"-")</f>
        <v>0.158828533236116</v>
      </c>
      <c r="N254" s="7" t="n">
        <f aca="false">IFERROR(H254/I254*1000,"-")</f>
        <v>413.598250091141</v>
      </c>
      <c r="O254" s="7" t="n">
        <v>1</v>
      </c>
      <c r="P254" s="7" t="n">
        <f aca="false">IFERROR(H254/O254,"-")</f>
        <v>3403.5</v>
      </c>
      <c r="Q254" s="6" t="s">
        <v>90</v>
      </c>
      <c r="R254" s="22"/>
      <c r="S254" s="7" t="str">
        <f aca="false">IF(Q254="Yes",R254-B254,"")</f>
        <v/>
      </c>
      <c r="T254" s="6"/>
      <c r="U254" s="7" t="n">
        <v>0</v>
      </c>
      <c r="V254" s="7" t="n">
        <v>0</v>
      </c>
      <c r="W254" s="7" t="n">
        <v>0</v>
      </c>
      <c r="X254" s="7" t="n">
        <v>0</v>
      </c>
      <c r="Y254" s="10" t="str">
        <f aca="false">IF(Q254="Yes",IFERROR(W254/V254,"-"),"")</f>
        <v/>
      </c>
      <c r="Z254" s="10" t="str">
        <f aca="false">IF(Q254="Yes",IFERROR(X254/V254,"-"),"")</f>
        <v/>
      </c>
      <c r="AA254" s="7" t="n">
        <v>0</v>
      </c>
    </row>
    <row r="255" customFormat="false" ht="15" hidden="false" customHeight="false" outlineLevel="0" collapsed="false">
      <c r="A255" s="6" t="s">
        <v>358</v>
      </c>
      <c r="B255" s="22" t="n">
        <v>46307</v>
      </c>
      <c r="C255" s="6" t="str">
        <f aca="false">TEXT(B255,"yyyy-mm")</f>
        <v>2026-10</v>
      </c>
      <c r="D255" s="6" t="s">
        <v>52</v>
      </c>
      <c r="E255" s="6" t="s">
        <v>354</v>
      </c>
      <c r="F255" s="22" t="n">
        <v>46320</v>
      </c>
      <c r="G255" s="7" t="n">
        <f aca="false">Summary!$C$5-B255</f>
        <v>13</v>
      </c>
      <c r="H255" s="7" t="n">
        <v>5901.53</v>
      </c>
      <c r="I255" s="7" t="n">
        <v>8259</v>
      </c>
      <c r="J255" s="7" t="n">
        <v>100</v>
      </c>
      <c r="K255" s="7" t="n">
        <v>1787</v>
      </c>
      <c r="L255" s="10" t="n">
        <f aca="false">IFERROR(J255/I255,"-")</f>
        <v>0.012108003390241</v>
      </c>
      <c r="M255" s="10" t="n">
        <f aca="false">IFERROR(K255/I255,"-")</f>
        <v>0.216370020583606</v>
      </c>
      <c r="N255" s="7" t="n">
        <f aca="false">IFERROR(H255/I255*1000,"-")</f>
        <v>714.557452476087</v>
      </c>
      <c r="O255" s="7" t="n">
        <v>1</v>
      </c>
      <c r="P255" s="7" t="n">
        <f aca="false">IFERROR(H255/O255,"-")</f>
        <v>5901.53</v>
      </c>
      <c r="Q255" s="6" t="s">
        <v>90</v>
      </c>
      <c r="R255" s="22"/>
      <c r="S255" s="7" t="str">
        <f aca="false">IF(Q255="Yes",R255-B255,"")</f>
        <v/>
      </c>
      <c r="T255" s="6"/>
      <c r="U255" s="7" t="n">
        <v>0</v>
      </c>
      <c r="V255" s="7" t="n">
        <v>0</v>
      </c>
      <c r="W255" s="7" t="n">
        <v>0</v>
      </c>
      <c r="X255" s="7" t="n">
        <v>0</v>
      </c>
      <c r="Y255" s="10" t="str">
        <f aca="false">IF(Q255="Yes",IFERROR(W255/V255,"-"),"")</f>
        <v/>
      </c>
      <c r="Z255" s="10" t="str">
        <f aca="false">IF(Q255="Yes",IFERROR(X255/V255,"-"),"")</f>
        <v/>
      </c>
      <c r="AA255" s="7" t="n">
        <v>0</v>
      </c>
    </row>
    <row r="256" customFormat="false" ht="15" hidden="false" customHeight="false" outlineLevel="0" collapsed="false">
      <c r="A256" s="6" t="s">
        <v>359</v>
      </c>
      <c r="B256" s="22" t="n">
        <v>46314</v>
      </c>
      <c r="C256" s="6" t="str">
        <f aca="false">TEXT(B256,"yyyy-mm")</f>
        <v>2026-10</v>
      </c>
      <c r="D256" s="6" t="s">
        <v>52</v>
      </c>
      <c r="E256" s="6" t="s">
        <v>327</v>
      </c>
      <c r="F256" s="22" t="n">
        <v>46320</v>
      </c>
      <c r="G256" s="7" t="n">
        <f aca="false">Summary!$C$5-B256</f>
        <v>6</v>
      </c>
      <c r="H256" s="7" t="n">
        <v>3186.52</v>
      </c>
      <c r="I256" s="7" t="n">
        <v>5307</v>
      </c>
      <c r="J256" s="7" t="n">
        <v>40</v>
      </c>
      <c r="K256" s="7" t="n">
        <v>1214</v>
      </c>
      <c r="L256" s="10" t="n">
        <f aca="false">IFERROR(J256/I256,"-")</f>
        <v>0.00753721499905785</v>
      </c>
      <c r="M256" s="10" t="n">
        <f aca="false">IFERROR(K256/I256,"-")</f>
        <v>0.228754475221406</v>
      </c>
      <c r="N256" s="7" t="n">
        <f aca="false">IFERROR(H256/I256*1000,"-")</f>
        <v>600.437158469945</v>
      </c>
      <c r="O256" s="7" t="n">
        <v>0</v>
      </c>
      <c r="P256" s="7" t="str">
        <f aca="false">IFERROR(H256/O256,"-")</f>
        <v>-</v>
      </c>
      <c r="Q256" s="6" t="s">
        <v>90</v>
      </c>
      <c r="R256" s="22"/>
      <c r="S256" s="7" t="str">
        <f aca="false">IF(Q256="Yes",R256-B256,"")</f>
        <v/>
      </c>
      <c r="T256" s="6"/>
      <c r="U256" s="7" t="n">
        <v>0</v>
      </c>
      <c r="V256" s="7" t="n">
        <v>0</v>
      </c>
      <c r="W256" s="7" t="n">
        <v>0</v>
      </c>
      <c r="X256" s="7" t="n">
        <v>0</v>
      </c>
      <c r="Y256" s="10" t="str">
        <f aca="false">IF(Q256="Yes",IFERROR(W256/V256,"-"),"")</f>
        <v/>
      </c>
      <c r="Z256" s="10" t="str">
        <f aca="false">IF(Q256="Yes",IFERROR(X256/V256,"-"),"")</f>
        <v/>
      </c>
      <c r="AA256" s="7" t="n">
        <v>0</v>
      </c>
    </row>
    <row r="257" customFormat="false" ht="15" hidden="false" customHeight="false" outlineLevel="0" collapsed="false">
      <c r="A257" s="6" t="s">
        <v>360</v>
      </c>
      <c r="B257" s="22" t="n">
        <v>46314</v>
      </c>
      <c r="C257" s="6" t="str">
        <f aca="false">TEXT(B257,"yyyy-mm")</f>
        <v>2026-10</v>
      </c>
      <c r="D257" s="6" t="s">
        <v>52</v>
      </c>
      <c r="E257" s="6" t="s">
        <v>327</v>
      </c>
      <c r="F257" s="22" t="n">
        <v>46320</v>
      </c>
      <c r="G257" s="7" t="n">
        <f aca="false">Summary!$C$5-B257</f>
        <v>6</v>
      </c>
      <c r="H257" s="7" t="n">
        <v>1959.55</v>
      </c>
      <c r="I257" s="7" t="n">
        <v>2636</v>
      </c>
      <c r="J257" s="7" t="n">
        <v>19</v>
      </c>
      <c r="K257" s="7" t="n">
        <v>335</v>
      </c>
      <c r="L257" s="10" t="n">
        <f aca="false">IFERROR(J257/I257,"-")</f>
        <v>0.00720789074355083</v>
      </c>
      <c r="M257" s="10" t="n">
        <f aca="false">IFERROR(K257/I257,"-")</f>
        <v>0.127086494688923</v>
      </c>
      <c r="N257" s="7" t="n">
        <f aca="false">IFERROR(H257/I257*1000,"-")</f>
        <v>743.380121396055</v>
      </c>
      <c r="O257" s="7" t="n">
        <v>0</v>
      </c>
      <c r="P257" s="7" t="str">
        <f aca="false">IFERROR(H257/O257,"-")</f>
        <v>-</v>
      </c>
      <c r="Q257" s="6" t="s">
        <v>90</v>
      </c>
      <c r="R257" s="22"/>
      <c r="S257" s="7" t="str">
        <f aca="false">IF(Q257="Yes",R257-B257,"")</f>
        <v/>
      </c>
      <c r="T257" s="6"/>
      <c r="U257" s="7" t="n">
        <v>0</v>
      </c>
      <c r="V257" s="7" t="n">
        <v>0</v>
      </c>
      <c r="W257" s="7" t="n">
        <v>0</v>
      </c>
      <c r="X257" s="7" t="n">
        <v>0</v>
      </c>
      <c r="Y257" s="10" t="str">
        <f aca="false">IF(Q257="Yes",IFERROR(W257/V257,"-"),"")</f>
        <v/>
      </c>
      <c r="Z257" s="10" t="str">
        <f aca="false">IF(Q257="Yes",IFERROR(X257/V257,"-"),"")</f>
        <v/>
      </c>
      <c r="AA257" s="7" t="n">
        <v>0</v>
      </c>
    </row>
    <row r="258" customFormat="false" ht="15" hidden="false" customHeight="false" outlineLevel="0" collapsed="false">
      <c r="A258" s="6" t="s">
        <v>361</v>
      </c>
      <c r="B258" s="22" t="n">
        <v>46314</v>
      </c>
      <c r="C258" s="6" t="str">
        <f aca="false">TEXT(B258,"yyyy-mm")</f>
        <v>2026-10</v>
      </c>
      <c r="D258" s="6" t="s">
        <v>52</v>
      </c>
      <c r="E258" s="6" t="s">
        <v>354</v>
      </c>
      <c r="F258" s="22" t="n">
        <v>46320</v>
      </c>
      <c r="G258" s="7" t="n">
        <f aca="false">Summary!$C$5-B258</f>
        <v>6</v>
      </c>
      <c r="H258" s="7" t="n">
        <v>1665.93</v>
      </c>
      <c r="I258" s="7" t="n">
        <v>2432</v>
      </c>
      <c r="J258" s="7" t="n">
        <v>16</v>
      </c>
      <c r="K258" s="7" t="n">
        <v>942</v>
      </c>
      <c r="L258" s="10" t="n">
        <f aca="false">IFERROR(J258/I258,"-")</f>
        <v>0.00657894736842105</v>
      </c>
      <c r="M258" s="10" t="n">
        <f aca="false">IFERROR(K258/I258,"-")</f>
        <v>0.38733552631579</v>
      </c>
      <c r="N258" s="7" t="n">
        <f aca="false">IFERROR(H258/I258*1000,"-")</f>
        <v>685.004111842105</v>
      </c>
      <c r="O258" s="7" t="n">
        <v>0</v>
      </c>
      <c r="P258" s="7" t="str">
        <f aca="false">IFERROR(H258/O258,"-")</f>
        <v>-</v>
      </c>
      <c r="Q258" s="6" t="s">
        <v>90</v>
      </c>
      <c r="R258" s="22"/>
      <c r="S258" s="7" t="str">
        <f aca="false">IF(Q258="Yes",R258-B258,"")</f>
        <v/>
      </c>
      <c r="T258" s="6"/>
      <c r="U258" s="7" t="n">
        <v>0</v>
      </c>
      <c r="V258" s="7" t="n">
        <v>0</v>
      </c>
      <c r="W258" s="7" t="n">
        <v>0</v>
      </c>
      <c r="X258" s="7" t="n">
        <v>0</v>
      </c>
      <c r="Y258" s="10" t="str">
        <f aca="false">IF(Q258="Yes",IFERROR(W258/V258,"-"),"")</f>
        <v/>
      </c>
      <c r="Z258" s="10" t="str">
        <f aca="false">IF(Q258="Yes",IFERROR(X258/V258,"-"),"")</f>
        <v/>
      </c>
      <c r="AA258" s="7" t="n">
        <v>0</v>
      </c>
    </row>
    <row r="259" customFormat="false" ht="15" hidden="false" customHeight="false" outlineLevel="0" collapsed="false">
      <c r="A259" s="6" t="s">
        <v>362</v>
      </c>
      <c r="B259" s="22" t="n">
        <v>46314</v>
      </c>
      <c r="C259" s="6" t="str">
        <f aca="false">TEXT(B259,"yyyy-mm")</f>
        <v>2026-10</v>
      </c>
      <c r="D259" s="6" t="s">
        <v>52</v>
      </c>
      <c r="E259" s="6" t="s">
        <v>327</v>
      </c>
      <c r="F259" s="22" t="n">
        <v>46320</v>
      </c>
      <c r="G259" s="7" t="n">
        <f aca="false">Summary!$C$5-B259</f>
        <v>6</v>
      </c>
      <c r="H259" s="7" t="n">
        <v>10999.78</v>
      </c>
      <c r="I259" s="7" t="n">
        <v>42066</v>
      </c>
      <c r="J259" s="7" t="n">
        <v>423</v>
      </c>
      <c r="K259" s="7" t="n">
        <v>19073</v>
      </c>
      <c r="L259" s="10" t="n">
        <f aca="false">IFERROR(J259/I259,"-")</f>
        <v>0.0100556268720582</v>
      </c>
      <c r="M259" s="10" t="n">
        <f aca="false">IFERROR(K259/I259,"-")</f>
        <v>0.453406551609376</v>
      </c>
      <c r="N259" s="7" t="n">
        <f aca="false">IFERROR(H259/I259*1000,"-")</f>
        <v>261.488613131745</v>
      </c>
      <c r="O259" s="7" t="n">
        <v>6</v>
      </c>
      <c r="P259" s="7" t="n">
        <f aca="false">IFERROR(H259/O259,"-")</f>
        <v>1833.29666666667</v>
      </c>
      <c r="Q259" s="6" t="s">
        <v>90</v>
      </c>
      <c r="R259" s="22"/>
      <c r="S259" s="7" t="str">
        <f aca="false">IF(Q259="Yes",R259-B259,"")</f>
        <v/>
      </c>
      <c r="T259" s="6"/>
      <c r="U259" s="7" t="n">
        <v>0</v>
      </c>
      <c r="V259" s="7" t="n">
        <v>0</v>
      </c>
      <c r="W259" s="7" t="n">
        <v>0</v>
      </c>
      <c r="X259" s="7" t="n">
        <v>0</v>
      </c>
      <c r="Y259" s="10" t="str">
        <f aca="false">IF(Q259="Yes",IFERROR(W259/V259,"-"),"")</f>
        <v/>
      </c>
      <c r="Z259" s="10" t="str">
        <f aca="false">IF(Q259="Yes",IFERROR(X259/V259,"-"),"")</f>
        <v/>
      </c>
      <c r="AA259" s="7" t="n">
        <v>0</v>
      </c>
    </row>
    <row r="260" customFormat="false" ht="15" hidden="false" customHeight="false" outlineLevel="0" collapsed="false">
      <c r="A260" s="6" t="s">
        <v>363</v>
      </c>
      <c r="B260" s="22" t="n">
        <v>46314</v>
      </c>
      <c r="C260" s="6" t="str">
        <f aca="false">TEXT(B260,"yyyy-mm")</f>
        <v>2026-10</v>
      </c>
      <c r="D260" s="6" t="s">
        <v>52</v>
      </c>
      <c r="E260" s="6" t="s">
        <v>354</v>
      </c>
      <c r="F260" s="22" t="n">
        <v>46320</v>
      </c>
      <c r="G260" s="7" t="n">
        <f aca="false">Summary!$C$5-B260</f>
        <v>6</v>
      </c>
      <c r="H260" s="7" t="n">
        <v>3400.97</v>
      </c>
      <c r="I260" s="7" t="n">
        <v>6689</v>
      </c>
      <c r="J260" s="7" t="n">
        <v>59</v>
      </c>
      <c r="K260" s="7" t="n">
        <v>1873</v>
      </c>
      <c r="L260" s="10" t="n">
        <f aca="false">IFERROR(J260/I260,"-")</f>
        <v>0.00882045148751682</v>
      </c>
      <c r="M260" s="10" t="n">
        <f aca="false">IFERROR(K260/I260,"-")</f>
        <v>0.28001195993422</v>
      </c>
      <c r="N260" s="7" t="n">
        <f aca="false">IFERROR(H260/I260*1000,"-")</f>
        <v>508.442218567798</v>
      </c>
      <c r="O260" s="7" t="n">
        <v>1</v>
      </c>
      <c r="P260" s="7" t="n">
        <f aca="false">IFERROR(H260/O260,"-")</f>
        <v>3400.97</v>
      </c>
      <c r="Q260" s="6" t="s">
        <v>90</v>
      </c>
      <c r="R260" s="22"/>
      <c r="S260" s="7" t="str">
        <f aca="false">IF(Q260="Yes",R260-B260,"")</f>
        <v/>
      </c>
      <c r="T260" s="6"/>
      <c r="U260" s="7" t="n">
        <v>0</v>
      </c>
      <c r="V260" s="7" t="n">
        <v>0</v>
      </c>
      <c r="W260" s="7" t="n">
        <v>0</v>
      </c>
      <c r="X260" s="7" t="n">
        <v>0</v>
      </c>
      <c r="Y260" s="10" t="str">
        <f aca="false">IF(Q260="Yes",IFERROR(W260/V260,"-"),"")</f>
        <v/>
      </c>
      <c r="Z260" s="10" t="str">
        <f aca="false">IF(Q260="Yes",IFERROR(X260/V260,"-"),"")</f>
        <v/>
      </c>
      <c r="AA260" s="7" t="n">
        <v>0</v>
      </c>
    </row>
    <row r="261" customFormat="false" ht="15" hidden="false" customHeight="false" outlineLevel="0" collapsed="false">
      <c r="A261" s="6" t="s">
        <v>364</v>
      </c>
      <c r="B261" s="22" t="n">
        <v>46314</v>
      </c>
      <c r="C261" s="6" t="str">
        <f aca="false">TEXT(B261,"yyyy-mm")</f>
        <v>2026-10</v>
      </c>
      <c r="D261" s="6" t="s">
        <v>52</v>
      </c>
      <c r="E261" s="6" t="s">
        <v>354</v>
      </c>
      <c r="F261" s="22" t="n">
        <v>46320</v>
      </c>
      <c r="G261" s="7" t="n">
        <f aca="false">Summary!$C$5-B261</f>
        <v>6</v>
      </c>
      <c r="H261" s="7" t="n">
        <v>1636.97</v>
      </c>
      <c r="I261" s="7" t="n">
        <v>2861</v>
      </c>
      <c r="J261" s="7" t="n">
        <v>14</v>
      </c>
      <c r="K261" s="7" t="n">
        <v>410</v>
      </c>
      <c r="L261" s="10" t="n">
        <f aca="false">IFERROR(J261/I261,"-")</f>
        <v>0.00489339391821042</v>
      </c>
      <c r="M261" s="10" t="n">
        <f aca="false">IFERROR(K261/I261,"-")</f>
        <v>0.143306536176162</v>
      </c>
      <c r="N261" s="7" t="n">
        <f aca="false">IFERROR(H261/I261*1000,"-")</f>
        <v>572.167074449493</v>
      </c>
      <c r="O261" s="7" t="n">
        <v>2</v>
      </c>
      <c r="P261" s="7" t="n">
        <f aca="false">IFERROR(H261/O261,"-")</f>
        <v>818.485</v>
      </c>
      <c r="Q261" s="6" t="s">
        <v>90</v>
      </c>
      <c r="R261" s="22"/>
      <c r="S261" s="7" t="str">
        <f aca="false">IF(Q261="Yes",R261-B261,"")</f>
        <v/>
      </c>
      <c r="T261" s="6"/>
      <c r="U261" s="7" t="n">
        <v>0</v>
      </c>
      <c r="V261" s="7" t="n">
        <v>0</v>
      </c>
      <c r="W261" s="7" t="n">
        <v>0</v>
      </c>
      <c r="X261" s="7" t="n">
        <v>0</v>
      </c>
      <c r="Y261" s="10" t="str">
        <f aca="false">IF(Q261="Yes",IFERROR(W261/V261,"-"),"")</f>
        <v/>
      </c>
      <c r="Z261" s="10" t="str">
        <f aca="false">IF(Q261="Yes",IFERROR(X261/V261,"-"),"")</f>
        <v/>
      </c>
      <c r="AA261" s="7" t="n">
        <v>0</v>
      </c>
    </row>
    <row r="262" customFormat="false" ht="15" hidden="false" customHeight="false" outlineLevel="0" collapsed="false">
      <c r="A262" s="6" t="s">
        <v>365</v>
      </c>
      <c r="B262" s="22" t="n">
        <v>46315</v>
      </c>
      <c r="C262" s="6" t="str">
        <f aca="false">TEXT(B262,"yyyy-mm")</f>
        <v>2026-10</v>
      </c>
      <c r="D262" s="6" t="s">
        <v>52</v>
      </c>
      <c r="E262" s="6" t="s">
        <v>332</v>
      </c>
      <c r="F262" s="22" t="n">
        <v>46320</v>
      </c>
      <c r="G262" s="7" t="n">
        <f aca="false">Summary!$C$5-B262</f>
        <v>5</v>
      </c>
      <c r="H262" s="7" t="n">
        <v>5623.06</v>
      </c>
      <c r="I262" s="7" t="n">
        <v>11210</v>
      </c>
      <c r="J262" s="7" t="n">
        <v>59</v>
      </c>
      <c r="K262" s="7" t="n">
        <v>1447</v>
      </c>
      <c r="L262" s="10" t="n">
        <f aca="false">IFERROR(J262/I262,"-")</f>
        <v>0.00526315789473684</v>
      </c>
      <c r="M262" s="10" t="n">
        <f aca="false">IFERROR(K262/I262,"-")</f>
        <v>0.129081177520071</v>
      </c>
      <c r="N262" s="7" t="n">
        <f aca="false">IFERROR(H262/I262*1000,"-")</f>
        <v>501.611061552186</v>
      </c>
      <c r="O262" s="7" t="n">
        <v>2</v>
      </c>
      <c r="P262" s="7" t="n">
        <f aca="false">IFERROR(H262/O262,"-")</f>
        <v>2811.53</v>
      </c>
      <c r="Q262" s="6" t="s">
        <v>90</v>
      </c>
      <c r="R262" s="22"/>
      <c r="S262" s="7" t="str">
        <f aca="false">IF(Q262="Yes",R262-B262,"")</f>
        <v/>
      </c>
      <c r="T262" s="6"/>
      <c r="U262" s="7" t="n">
        <v>0</v>
      </c>
      <c r="V262" s="7" t="n">
        <v>0</v>
      </c>
      <c r="W262" s="7" t="n">
        <v>0</v>
      </c>
      <c r="X262" s="7" t="n">
        <v>0</v>
      </c>
      <c r="Y262" s="10" t="str">
        <f aca="false">IF(Q262="Yes",IFERROR(W262/V262,"-"),"")</f>
        <v/>
      </c>
      <c r="Z262" s="10" t="str">
        <f aca="false">IF(Q262="Yes",IFERROR(X262/V262,"-"),"")</f>
        <v/>
      </c>
      <c r="AA262" s="7" t="n">
        <v>0</v>
      </c>
    </row>
    <row r="263" customFormat="false" ht="15" hidden="false" customHeight="false" outlineLevel="0" collapsed="false">
      <c r="A263" s="6" t="s">
        <v>366</v>
      </c>
      <c r="B263" s="22" t="n">
        <v>46315</v>
      </c>
      <c r="C263" s="6" t="str">
        <f aca="false">TEXT(B263,"yyyy-mm")</f>
        <v>2026-10</v>
      </c>
      <c r="D263" s="6" t="s">
        <v>52</v>
      </c>
      <c r="E263" s="6" t="s">
        <v>332</v>
      </c>
      <c r="F263" s="22" t="n">
        <v>46320</v>
      </c>
      <c r="G263" s="7" t="n">
        <f aca="false">Summary!$C$5-B263</f>
        <v>5</v>
      </c>
      <c r="H263" s="7" t="n">
        <v>6084.87</v>
      </c>
      <c r="I263" s="7" t="n">
        <v>10425</v>
      </c>
      <c r="J263" s="7" t="n">
        <v>57</v>
      </c>
      <c r="K263" s="7" t="n">
        <v>982</v>
      </c>
      <c r="L263" s="10" t="n">
        <f aca="false">IFERROR(J263/I263,"-")</f>
        <v>0.00546762589928058</v>
      </c>
      <c r="M263" s="10" t="n">
        <f aca="false">IFERROR(K263/I263,"-")</f>
        <v>0.0941966426858513</v>
      </c>
      <c r="N263" s="7" t="n">
        <f aca="false">IFERROR(H263/I263*1000,"-")</f>
        <v>583.680575539568</v>
      </c>
      <c r="O263" s="7" t="n">
        <v>0</v>
      </c>
      <c r="P263" s="7" t="str">
        <f aca="false">IFERROR(H263/O263,"-")</f>
        <v>-</v>
      </c>
      <c r="Q263" s="6" t="s">
        <v>90</v>
      </c>
      <c r="R263" s="22"/>
      <c r="S263" s="7" t="str">
        <f aca="false">IF(Q263="Yes",R263-B263,"")</f>
        <v/>
      </c>
      <c r="T263" s="6"/>
      <c r="U263" s="7" t="n">
        <v>0</v>
      </c>
      <c r="V263" s="7" t="n">
        <v>0</v>
      </c>
      <c r="W263" s="7" t="n">
        <v>0</v>
      </c>
      <c r="X263" s="7" t="n">
        <v>0</v>
      </c>
      <c r="Y263" s="10" t="str">
        <f aca="false">IF(Q263="Yes",IFERROR(W263/V263,"-"),"")</f>
        <v/>
      </c>
      <c r="Z263" s="10" t="str">
        <f aca="false">IF(Q263="Yes",IFERROR(X263/V263,"-"),"")</f>
        <v/>
      </c>
      <c r="AA263" s="7" t="n">
        <v>0</v>
      </c>
    </row>
    <row r="264" customFormat="false" ht="15" hidden="false" customHeight="false" outlineLevel="0" collapsed="false">
      <c r="A264" s="6" t="s">
        <v>367</v>
      </c>
      <c r="B264" s="22" t="n">
        <v>46315</v>
      </c>
      <c r="C264" s="6" t="str">
        <f aca="false">TEXT(B264,"yyyy-mm")</f>
        <v>2026-10</v>
      </c>
      <c r="D264" s="6" t="s">
        <v>52</v>
      </c>
      <c r="E264" s="6" t="s">
        <v>332</v>
      </c>
      <c r="F264" s="22" t="n">
        <v>46320</v>
      </c>
      <c r="G264" s="7" t="n">
        <f aca="false">Summary!$C$5-B264</f>
        <v>5</v>
      </c>
      <c r="H264" s="7" t="n">
        <v>3210.08</v>
      </c>
      <c r="I264" s="7" t="n">
        <v>4845</v>
      </c>
      <c r="J264" s="7" t="n">
        <v>41</v>
      </c>
      <c r="K264" s="7" t="n">
        <v>1015</v>
      </c>
      <c r="L264" s="10" t="n">
        <f aca="false">IFERROR(J264/I264,"-")</f>
        <v>0.00846233230134159</v>
      </c>
      <c r="M264" s="10" t="n">
        <f aca="false">IFERROR(K264/I264,"-")</f>
        <v>0.209494324045408</v>
      </c>
      <c r="N264" s="7" t="n">
        <f aca="false">IFERROR(H264/I264*1000,"-")</f>
        <v>662.555211558308</v>
      </c>
      <c r="O264" s="7" t="n">
        <v>0</v>
      </c>
      <c r="P264" s="7" t="str">
        <f aca="false">IFERROR(H264/O264,"-")</f>
        <v>-</v>
      </c>
      <c r="Q264" s="6" t="s">
        <v>90</v>
      </c>
      <c r="R264" s="22"/>
      <c r="S264" s="7" t="str">
        <f aca="false">IF(Q264="Yes",R264-B264,"")</f>
        <v/>
      </c>
      <c r="T264" s="6"/>
      <c r="U264" s="7" t="n">
        <v>0</v>
      </c>
      <c r="V264" s="7" t="n">
        <v>0</v>
      </c>
      <c r="W264" s="7" t="n">
        <v>0</v>
      </c>
      <c r="X264" s="7" t="n">
        <v>0</v>
      </c>
      <c r="Y264" s="10" t="str">
        <f aca="false">IF(Q264="Yes",IFERROR(W264/V264,"-"),"")</f>
        <v/>
      </c>
      <c r="Z264" s="10" t="str">
        <f aca="false">IF(Q264="Yes",IFERROR(X264/V264,"-"),"")</f>
        <v/>
      </c>
      <c r="AA264" s="7" t="n">
        <v>0</v>
      </c>
    </row>
  </sheetData>
  <autoFilter ref="A1:AA26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LibreOffice/26.2.6.3$Linux_AARCH64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2026-10-26T10:53:00Z</dcterms:created>
  <dc:creator>openpyxl</dc:creator>
  <dc:description/>
  <dc:language>en-US</dc:language>
  <cp:lastModifiedBy/>
  <dcterms:modified xsi:type="dcterms:W3CDTF">2026-10-26T10:53:00Z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